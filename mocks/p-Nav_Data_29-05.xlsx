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stos" sheetId="1" r:id="rId5"/>
    <sheet state="hidden" name="cursos" sheetId="2" r:id="rId6"/>
    <sheet state="hidden" name="equipo" sheetId="3" r:id="rId7"/>
    <sheet state="visible" name="proyectos" sheetId="4" r:id="rId8"/>
    <sheet state="visible" name="actividades" sheetId="5" r:id="rId9"/>
    <sheet state="visible" name="sprint" sheetId="6" r:id="rId10"/>
    <sheet state="visible" name="hitos" sheetId="7" r:id="rId11"/>
    <sheet state="hidden" name="capacidades" sheetId="8" r:id="rId12"/>
    <sheet state="hidden" name="repositorios" sheetId="9" r:id="rId13"/>
    <sheet state="hidden" name="user_rol" sheetId="10" r:id="rId14"/>
    <sheet state="hidden" name="bbdd" sheetId="11" r:id="rId15"/>
  </sheets>
  <definedNames>
    <definedName hidden="1" localSheetId="3" name="_xlnm._FilterDatabase">proyectos!$A$1:$AI$64</definedName>
    <definedName hidden="1" localSheetId="4" name="_xlnm._FilterDatabase">actividades!$A$1:$AB$114</definedName>
    <definedName hidden="1" localSheetId="5" name="_xlnm._FilterDatabase">sprint!$A$1:$K$9</definedName>
    <definedName hidden="1" localSheetId="9" name="_xlnm._FilterDatabase">user_rol!$A$1:$AE$33</definedName>
  </definedNames>
  <calcPr/>
</workbook>
</file>

<file path=xl/sharedStrings.xml><?xml version="1.0" encoding="utf-8"?>
<sst xmlns="http://schemas.openxmlformats.org/spreadsheetml/2006/main" count="10400" uniqueCount="3672">
  <si>
    <t>Rol</t>
  </si>
  <si>
    <t>Recursos</t>
  </si>
  <si>
    <t>Horas/recurso</t>
  </si>
  <si>
    <t>Costo/Mensual</t>
  </si>
  <si>
    <t>Costo/hora</t>
  </si>
  <si>
    <t>Horas</t>
  </si>
  <si>
    <t>TOTAL</t>
  </si>
  <si>
    <t>Tech Manager</t>
  </si>
  <si>
    <t>Product Manager</t>
  </si>
  <si>
    <t>Project Manager Officer</t>
  </si>
  <si>
    <t>Arquitecto técnico</t>
  </si>
  <si>
    <t>Project Manager</t>
  </si>
  <si>
    <t>Product Owner</t>
  </si>
  <si>
    <t>Desarrollador Sr</t>
  </si>
  <si>
    <t>Desarrollador Semi Sr</t>
  </si>
  <si>
    <t>Desarrollador Jr</t>
  </si>
  <si>
    <t>QA</t>
  </si>
  <si>
    <t>UX/UI</t>
  </si>
  <si>
    <t>Consultoría/Diseño</t>
  </si>
  <si>
    <t>Costo operativo</t>
  </si>
  <si>
    <t>Valor de la experiencia</t>
  </si>
  <si>
    <t>Subtotal después de Valor de la experiencia</t>
  </si>
  <si>
    <t>Costo administrativo</t>
  </si>
  <si>
    <t>Subtotal después de costo administrativo</t>
  </si>
  <si>
    <t>Margen de beneficio</t>
  </si>
  <si>
    <t>Subtotal</t>
  </si>
  <si>
    <t>IVA</t>
  </si>
  <si>
    <t>nombre</t>
  </si>
  <si>
    <t>email</t>
  </si>
  <si>
    <t>id</t>
  </si>
  <si>
    <t>departamento</t>
  </si>
  <si>
    <t>rol</t>
  </si>
  <si>
    <t>jefe</t>
  </si>
  <si>
    <t>email_jefe</t>
  </si>
  <si>
    <t>id_jefe</t>
  </si>
  <si>
    <t>Progreso</t>
  </si>
  <si>
    <t>Dulce Lucero Pérez Salazar</t>
  </si>
  <si>
    <t>dperez@bit.lat</t>
  </si>
  <si>
    <t>Allies Networking</t>
  </si>
  <si>
    <t>Consultor de Éxito del Cliente  (Customer Success Explorer)</t>
  </si>
  <si>
    <t>Favio Antonio González Vaca</t>
  </si>
  <si>
    <t>fgonzalez@bit.lat</t>
  </si>
  <si>
    <t>Graciela Martínez Mejía</t>
  </si>
  <si>
    <t>gmartinez@bit.lat</t>
  </si>
  <si>
    <t>Analytics Solutions</t>
  </si>
  <si>
    <t>Data Empowerment Explorer</t>
  </si>
  <si>
    <t>Ana Luz Aguilar Pecina</t>
  </si>
  <si>
    <t>aaguilar@bit.lat</t>
  </si>
  <si>
    <t>Growth Experiences</t>
  </si>
  <si>
    <t>Project Manager (Successful Project Explorer)</t>
  </si>
  <si>
    <t>David Haylton Loredo Ruiz</t>
  </si>
  <si>
    <t>hloredo@bit.lat</t>
  </si>
  <si>
    <t>Product Manager (Successful Product Explorer)</t>
  </si>
  <si>
    <t>Fabian Gonzalez Ruiz</t>
  </si>
  <si>
    <t>fgonzalezr@bit.lat</t>
  </si>
  <si>
    <t>David Alejandro González Velázquez</t>
  </si>
  <si>
    <t>dgonzalez@bit.lat</t>
  </si>
  <si>
    <t>Rodolfo Alejandro Cuevas Infante</t>
  </si>
  <si>
    <t>rcuevas@bit.lat</t>
  </si>
  <si>
    <t>Erithan Eduardo Gonzalez Ruiz</t>
  </si>
  <si>
    <t>egonzalez@bit.lat</t>
  </si>
  <si>
    <t>Tech Ambition</t>
  </si>
  <si>
    <t>QA Analyst  (Tech Excellence Explorer)</t>
  </si>
  <si>
    <t>Eduardo Montaño Gómez</t>
  </si>
  <si>
    <t>emontano@bit.lat</t>
  </si>
  <si>
    <t>Software Architect  (Tech Ambition Explorer)</t>
  </si>
  <si>
    <t>Raúl Bernal Velázquez</t>
  </si>
  <si>
    <t>rbernal@bit.lat</t>
  </si>
  <si>
    <t>Tech Lead  (Successful Innovation Explorer)</t>
  </si>
  <si>
    <t>Jorge Alberto Enríquez Salazar</t>
  </si>
  <si>
    <t>jenriquez@bit.lat</t>
  </si>
  <si>
    <t>Alejandra Lolita Serrano Alcantara</t>
  </si>
  <si>
    <t>aserrano@bit.lat</t>
  </si>
  <si>
    <t>Full-Stack Developer (Innovative Tech Explorer)</t>
  </si>
  <si>
    <t>Lorena Raquel Olvera Rodriguez</t>
  </si>
  <si>
    <t>lolvera@bit.lat</t>
  </si>
  <si>
    <t>Backend Developer   (Innovative Tech Explorer)</t>
  </si>
  <si>
    <t>Mario Ramírez Pérez</t>
  </si>
  <si>
    <t>mramirez@bit.lat</t>
  </si>
  <si>
    <t>Product Support Engineer  (Innovative Tech Explorer)</t>
  </si>
  <si>
    <t>Gregorio Guadarrama Ayala</t>
  </si>
  <si>
    <t>gguadarrama@bit.lat</t>
  </si>
  <si>
    <t>Desarrollador . net SR  (Innovative Tech Explorer Sr)</t>
  </si>
  <si>
    <t>Alfredo Lara Dotor</t>
  </si>
  <si>
    <t>alara@bit.lat</t>
  </si>
  <si>
    <t>Emilio Contreras Vilchis</t>
  </si>
  <si>
    <t>econtreras@bit.lat</t>
  </si>
  <si>
    <t>Guillermo Hugo Enríquez Venegas</t>
  </si>
  <si>
    <t>henriquez@bit.lat</t>
  </si>
  <si>
    <t>Jose Armando Meza Vigueras</t>
  </si>
  <si>
    <t>ameza@bit.lat</t>
  </si>
  <si>
    <t>Mobile Engineer  (Innovative Tech Explorer)</t>
  </si>
  <si>
    <t>Luis Bernal Velázquez</t>
  </si>
  <si>
    <t>lbernal@bit.lat</t>
  </si>
  <si>
    <t>Jasiel López Arellano</t>
  </si>
  <si>
    <t>jlopez@bit.lat</t>
  </si>
  <si>
    <t>Julia Rojas Ampudia</t>
  </si>
  <si>
    <t>jrojas@bit.lat</t>
  </si>
  <si>
    <t>Edgar Arturo Torres Hernandez</t>
  </si>
  <si>
    <t>etorres@bit.lat</t>
  </si>
  <si>
    <t>Alejandro Vázquez Carbajal</t>
  </si>
  <si>
    <t>avazquez@bit.lat</t>
  </si>
  <si>
    <t>Jonathan Alexis Sierra Pacheco</t>
  </si>
  <si>
    <t>asierra@bit.lat</t>
  </si>
  <si>
    <t>Frontend Developer Mid Sr (Innovative Tech Explorer)</t>
  </si>
  <si>
    <t>Josue Salvador Patiño Degollado</t>
  </si>
  <si>
    <t>jpatino@bit.lat</t>
  </si>
  <si>
    <t>tag</t>
  </si>
  <si>
    <t>nickname</t>
  </si>
  <si>
    <t>user</t>
  </si>
  <si>
    <t>puesto</t>
  </si>
  <si>
    <t>jefe_id</t>
  </si>
  <si>
    <t>Alejandra Serrano</t>
  </si>
  <si>
    <t>Ale</t>
  </si>
  <si>
    <t>desarrollador-jr</t>
  </si>
  <si>
    <t>Alfredo Lara</t>
  </si>
  <si>
    <t>Alfred</t>
  </si>
  <si>
    <t>Ana Luz Aguilar</t>
  </si>
  <si>
    <t>Luz</t>
  </si>
  <si>
    <t>project-manager</t>
  </si>
  <si>
    <t>Dulce Perez</t>
  </si>
  <si>
    <t>ed-tech</t>
  </si>
  <si>
    <t>Edgar Torres</t>
  </si>
  <si>
    <t>Emilio Contreras</t>
  </si>
  <si>
    <t>desarrollador-sr</t>
  </si>
  <si>
    <t>Graciela Martinez</t>
  </si>
  <si>
    <t>Grace</t>
  </si>
  <si>
    <t>desarrollador-mid</t>
  </si>
  <si>
    <t>Gregorio Guadarrama</t>
  </si>
  <si>
    <t>Hugo Enríquez</t>
  </si>
  <si>
    <t>Hugo</t>
  </si>
  <si>
    <t>Jasiel López</t>
  </si>
  <si>
    <t>Alexis Sierra</t>
  </si>
  <si>
    <t>Alexis</t>
  </si>
  <si>
    <t>Armando Meza</t>
  </si>
  <si>
    <t>Arman</t>
  </si>
  <si>
    <t>Josue Patiño</t>
  </si>
  <si>
    <t>arquitecto-tecnico</t>
  </si>
  <si>
    <t>Julia Rojas</t>
  </si>
  <si>
    <t>July</t>
  </si>
  <si>
    <t>Luis Bernal</t>
  </si>
  <si>
    <t>Mario Ramírez</t>
  </si>
  <si>
    <t>Raúl Bernal</t>
  </si>
  <si>
    <t>Alejandro Vázquez</t>
  </si>
  <si>
    <t>Angel Morales</t>
  </si>
  <si>
    <t>amorales@bit.lat</t>
  </si>
  <si>
    <t>Carlos Zamudio</t>
  </si>
  <si>
    <t>czamudio@bit.lat</t>
  </si>
  <si>
    <t>David González</t>
  </si>
  <si>
    <t>Dave</t>
  </si>
  <si>
    <t>Haylton Loredo</t>
  </si>
  <si>
    <t>Haylton</t>
  </si>
  <si>
    <t>product-manager</t>
  </si>
  <si>
    <t>Edin Ramirez</t>
  </si>
  <si>
    <t>eramirez@bit.lat</t>
  </si>
  <si>
    <t>Ux / Ui</t>
  </si>
  <si>
    <t>ux-ui</t>
  </si>
  <si>
    <t>Eduardo Montaño</t>
  </si>
  <si>
    <t>Montaño</t>
  </si>
  <si>
    <t>Erithan González</t>
  </si>
  <si>
    <t>qa</t>
  </si>
  <si>
    <t>Lorena Olvera</t>
  </si>
  <si>
    <t>Lore</t>
  </si>
  <si>
    <t>Nallely Mejia Torres</t>
  </si>
  <si>
    <t>nmejia@bit.lat</t>
  </si>
  <si>
    <t>Nallely Mejía</t>
  </si>
  <si>
    <t>Nalle</t>
  </si>
  <si>
    <t>Rafael Escobar</t>
  </si>
  <si>
    <t>rescobar@bit.lat</t>
  </si>
  <si>
    <t>Rafa</t>
  </si>
  <si>
    <t>desarrollador-trainee</t>
  </si>
  <si>
    <t>Rodolfo Cuevas</t>
  </si>
  <si>
    <t>Fito</t>
  </si>
  <si>
    <t>Jorge Enríquez</t>
  </si>
  <si>
    <t>George</t>
  </si>
  <si>
    <t>Favio Gonzalez</t>
  </si>
  <si>
    <t>Service Manager (Allies Networking)</t>
  </si>
  <si>
    <t>service-manager</t>
  </si>
  <si>
    <t xml:space="preserve">Edgar Alfonso Arzate </t>
  </si>
  <si>
    <t>Fabián González</t>
  </si>
  <si>
    <t>Chief Information Officer</t>
  </si>
  <si>
    <t>cio</t>
  </si>
  <si>
    <t>Maricruz Hernández</t>
  </si>
  <si>
    <t>mhernandez@bit.lat</t>
  </si>
  <si>
    <t>Edgar Alfonso Arzate</t>
  </si>
  <si>
    <t>earzate@bit.lat</t>
  </si>
  <si>
    <t>Edgar Arzate</t>
  </si>
  <si>
    <t>Arzate</t>
  </si>
  <si>
    <t>ceo</t>
  </si>
  <si>
    <t>URL</t>
  </si>
  <si>
    <t>folio</t>
  </si>
  <si>
    <t>tipo</t>
  </si>
  <si>
    <t>producto</t>
  </si>
  <si>
    <t>servicio</t>
  </si>
  <si>
    <t>aliado</t>
  </si>
  <si>
    <t>estatus</t>
  </si>
  <si>
    <t>salud</t>
  </si>
  <si>
    <t>progreso</t>
  </si>
  <si>
    <t>prioridad</t>
  </si>
  <si>
    <t>Épica (Producto)</t>
  </si>
  <si>
    <t>cuatrimestre</t>
  </si>
  <si>
    <t>sprint</t>
  </si>
  <si>
    <t>Puntos</t>
  </si>
  <si>
    <t>Registro</t>
  </si>
  <si>
    <t>Inicio estimado</t>
  </si>
  <si>
    <t>Fecha inicio</t>
  </si>
  <si>
    <t>Fin estimado</t>
  </si>
  <si>
    <t>Fin real</t>
  </si>
  <si>
    <t>PO</t>
  </si>
  <si>
    <t>PO_ID</t>
  </si>
  <si>
    <t>PM</t>
  </si>
  <si>
    <t>PM_ID</t>
  </si>
  <si>
    <t>Arquitecto</t>
  </si>
  <si>
    <t>Arquitecto_ID</t>
  </si>
  <si>
    <t>DEVs</t>
  </si>
  <si>
    <t>DEVs_ID</t>
  </si>
  <si>
    <t>SQA</t>
  </si>
  <si>
    <t>SQA_ID</t>
  </si>
  <si>
    <t>Requiere de</t>
  </si>
  <si>
    <t>Requiere_ID</t>
  </si>
  <si>
    <t>Accion requerida</t>
  </si>
  <si>
    <t>Fecha de accion</t>
  </si>
  <si>
    <t>https://app.samva.io/PnlCliente/ListarClientesColasProyectosDetalle.aspx?eSUQ9NDE0ODQ3JlA9MTEyNDI=</t>
  </si>
  <si>
    <t>H/PROJECT-65</t>
  </si>
  <si>
    <t>Rediseño roles y Parametros de sistema</t>
  </si>
  <si>
    <t>Project</t>
  </si>
  <si>
    <t>Academic</t>
  </si>
  <si>
    <t>Core</t>
  </si>
  <si>
    <t>Ninguno</t>
  </si>
  <si>
    <t>Hypercare</t>
  </si>
  <si>
    <t>En riesgo</t>
  </si>
  <si>
    <t>Bloqueadora</t>
  </si>
  <si>
    <t>2026 Q2</t>
  </si>
  <si>
    <t>S16</t>
  </si>
  <si>
    <t>-</t>
  </si>
  <si>
    <t>Luis</t>
  </si>
  <si>
    <t>Gregorio</t>
  </si>
  <si>
    <t>Erithan</t>
  </si>
  <si>
    <t>Correccion de Bugs
Retrazo del doble</t>
  </si>
  <si>
    <t>https://app.samva.io/PnlCliente/ListarClientesColasProyectosDetalle.aspx?ID=411556&amp;P=11242</t>
  </si>
  <si>
    <t>H/PROJECT-45</t>
  </si>
  <si>
    <t>Caja Rapida --&gt; POS 2.0</t>
  </si>
  <si>
    <t>At Risk</t>
  </si>
  <si>
    <t>Requiere atencion</t>
  </si>
  <si>
    <t>Mayor</t>
  </si>
  <si>
    <t>2026 Q1</t>
  </si>
  <si>
    <t>S16, S17, S15</t>
  </si>
  <si>
    <t>Luis, Jasiel</t>
  </si>
  <si>
    <t>Analsis de informacion faltante
Nuevas funcionalidades</t>
  </si>
  <si>
    <t>https://app.samva.io/PnlCliente/ListarClientesColasProyectosDetalle.aspx?eSUQ9NDE4MDk0JlA9MTEyNDI=</t>
  </si>
  <si>
    <t>H/PROJECT-70</t>
  </si>
  <si>
    <t>Refactorizar Pagos (Procesamiento)</t>
  </si>
  <si>
    <t>Menor</t>
  </si>
  <si>
    <t>S17, S16</t>
  </si>
  <si>
    <t>Luis, George</t>
  </si>
  <si>
    <t>Reunión con desarrollador asignados.
Asignar DEV</t>
  </si>
  <si>
    <t>https://app.samva.io/PnlCliente/ListarClientesColasProyectosDetalle.aspx?ID=414269&amp;P=11242</t>
  </si>
  <si>
    <t>H/PROJECT-60</t>
  </si>
  <si>
    <t>UNIMEL - Academic/Moodle</t>
  </si>
  <si>
    <t>Proposal</t>
  </si>
  <si>
    <t>UNIMEL</t>
  </si>
  <si>
    <t>Blocked / Critical</t>
  </si>
  <si>
    <t>S17</t>
  </si>
  <si>
    <t>Alejandro</t>
  </si>
  <si>
    <t>Contacto con el Aliado</t>
  </si>
  <si>
    <t>https://app.samva.io/PnlCliente/ListarClientesColasProyectosDetalle.aspx?ID=411158&amp;P=11242</t>
  </si>
  <si>
    <t>PROJECT-4</t>
  </si>
  <si>
    <t>Módulo de Autofacturación y Gestión Fiscal para Residentes</t>
  </si>
  <si>
    <t>Togie</t>
  </si>
  <si>
    <t>Crítica</t>
  </si>
  <si>
    <t>S12</t>
  </si>
  <si>
    <t>---</t>
  </si>
  <si>
    <t>N/A</t>
  </si>
  <si>
    <t>https://app.samva.io/PnlCliente/ListarClientesColasProyectosDetalle.aspx?ID=411210&amp;P=11242</t>
  </si>
  <si>
    <t>H/PROJECT-18</t>
  </si>
  <si>
    <t>Billpocket</t>
  </si>
  <si>
    <t>Done</t>
  </si>
  <si>
    <t>Estable</t>
  </si>
  <si>
    <t>S13</t>
  </si>
  <si>
    <t>https://app.samva.io/PnlCliente/ListarClientesColasProyectosDetalle.aspx?ID=411217&amp;P=11242</t>
  </si>
  <si>
    <t>H/PROJECT-25</t>
  </si>
  <si>
    <t>Boleta de calificaciones (APP)</t>
  </si>
  <si>
    <t>APP</t>
  </si>
  <si>
    <t>Edgar</t>
  </si>
  <si>
    <t>https://app.samva.io/PnlCliente/ListarClientesColasProyectosDetalle.aspx?ID=411225&amp;P=11242</t>
  </si>
  <si>
    <t>H/PROJECT-33</t>
  </si>
  <si>
    <t>Asistencia App (Prof App)</t>
  </si>
  <si>
    <t>2025 Q4</t>
  </si>
  <si>
    <t>https://app.samva.io/PnlCliente/ListarClientesColasProyectosDetalle.aspx?ID=411231&amp;P=11242</t>
  </si>
  <si>
    <t>H/PROJECT-38</t>
  </si>
  <si>
    <t>Geolocalización</t>
  </si>
  <si>
    <t>Edgar, Arman, Lore</t>
  </si>
  <si>
    <t>https://app.samva.io/PnlCliente/ListarClientesColasProyectosDetalle.aspx?ID=411159&amp;P=11242</t>
  </si>
  <si>
    <t>H/PROJECT-5</t>
  </si>
  <si>
    <t>Carrusel</t>
  </si>
  <si>
    <t>Arman, Edgar, Lore, Rafa</t>
  </si>
  <si>
    <t>https://app.samva.io/PnlCliente/ListarClientesColasProyectosDetalle.aspx?ID=412550&amp;P=11242</t>
  </si>
  <si>
    <t>H/PROJECT-57</t>
  </si>
  <si>
    <t>ChatbotV1 - (RAG)</t>
  </si>
  <si>
    <t>Trivial</t>
  </si>
  <si>
    <t>S15</t>
  </si>
  <si>
    <t>Josue</t>
  </si>
  <si>
    <t>Edin, George, Haylton</t>
  </si>
  <si>
    <t>Definir metricas de "Exito"</t>
  </si>
  <si>
    <t>https://app.samva.io/PnlCliente/ListarClientesColasProyectosDetalle.aspx?ID=414779&amp;P=11242</t>
  </si>
  <si>
    <t>H/PROJECT-62</t>
  </si>
  <si>
    <t>Universidad Riviera</t>
  </si>
  <si>
    <t>Riviera</t>
  </si>
  <si>
    <t>Pago referenciado</t>
  </si>
  <si>
    <t>Definir metodo de Codigo de barras</t>
  </si>
  <si>
    <t>https://app.samva.io/PnlCliente/ListarClientesColasProyectosDetalle.aspx?ID=412309&amp;P=11242</t>
  </si>
  <si>
    <t>PROJECT-51</t>
  </si>
  <si>
    <t>Pagos Recurrentes - Togie</t>
  </si>
  <si>
    <t>DiscoverIT</t>
  </si>
  <si>
    <t>https://app.samva.io/PnlCliente/ListarClientesColasProyectosDetalle.aspx?ID=411160&amp;P=11242</t>
  </si>
  <si>
    <t>PROJECT-6</t>
  </si>
  <si>
    <t>Sitio Web Colegio Alemán</t>
  </si>
  <si>
    <t>Colegio Aleman</t>
  </si>
  <si>
    <t>https://app.samva.io/PnlCliente/ListarClientesColasProyectosDetalle.aspx?eSUQ9NDE4MDk2JlA9MTEyNDI=</t>
  </si>
  <si>
    <t>H/PROJECT-71</t>
  </si>
  <si>
    <t>AgenteAWS - Chatbot - (RAG/MCP)</t>
  </si>
  <si>
    <t>2026 Q3</t>
  </si>
  <si>
    <t>S18</t>
  </si>
  <si>
    <t>Definir Objetivos</t>
  </si>
  <si>
    <t>https://app.samva.io/PnlCliente/ListarClientesColasProyectosDetalle.aspx?ID=411263&amp;P=11242</t>
  </si>
  <si>
    <t>H/PROJECT-39</t>
  </si>
  <si>
    <t>Procesos BIT</t>
  </si>
  <si>
    <t>Bit</t>
  </si>
  <si>
    <t>Maricruz, Gerentes</t>
  </si>
  <si>
    <t>Envío de todos los procesos de los involucrados para firma</t>
  </si>
  <si>
    <t>https://app.samva.io/PnlCliente/ListarClientesColasProyectosDetalle.aspx?ID=411224&amp;P=11242</t>
  </si>
  <si>
    <t>H/PROJECT-32</t>
  </si>
  <si>
    <t>WAF - Hackmetrix - goLive</t>
  </si>
  <si>
    <t>Erithan, Montaño, Luis</t>
  </si>
  <si>
    <t>Definir plan de acción.</t>
  </si>
  <si>
    <t>https://app.samva.io/PnlCliente/ListarClientesColasProyectosDetalle.aspx?ID=411226&amp;P=11242</t>
  </si>
  <si>
    <t>H/PROJECT-34</t>
  </si>
  <si>
    <t>IA-Analitycs / a-Intelligence</t>
  </si>
  <si>
    <t>Dither</t>
  </si>
  <si>
    <t>Hugo, Angel, Carlos, Ale</t>
  </si>
  <si>
    <t>Fabian, Haylton, Edin</t>
  </si>
  <si>
    <t>Roadmap consecuente. VoBo Ux/Ui</t>
  </si>
  <si>
    <t>https://app.samva.io/PnlCliente/ListarClientesColasProyectosDetalle.aspx?ID=411273&amp;P=11242</t>
  </si>
  <si>
    <t>H/PROJECT-40</t>
  </si>
  <si>
    <t>Renovación Liverpool 2025</t>
  </si>
  <si>
    <t>UVL</t>
  </si>
  <si>
    <t>https://app.samva.io/PnlCliente/ListarClientesColasProyectosDetalle.aspx?ID=411365&amp;P=11242</t>
  </si>
  <si>
    <t>H/PROJECT-43</t>
  </si>
  <si>
    <t>CRIA 2.0</t>
  </si>
  <si>
    <t>Fito, George</t>
  </si>
  <si>
    <t>Autorizar el cierre del proyecto</t>
  </si>
  <si>
    <t>https://app.samva.io/PnlCliente/ListarClientesColasProyectosDetalle.aspx?ID=412534&amp;P=11242</t>
  </si>
  <si>
    <t>H/PROJECT-55</t>
  </si>
  <si>
    <t>Academic &lt;&gt; Defontana</t>
  </si>
  <si>
    <t>Defontana</t>
  </si>
  <si>
    <t>Emilio</t>
  </si>
  <si>
    <t>Defontana, Fito</t>
  </si>
  <si>
    <t>Entregar las ultimas adecuaciones en APIs DEfontana y definir plan de  KickOff con aliado en produccion</t>
  </si>
  <si>
    <t>https://app.samva.io/PnlCliente/ListarClientesColasProyectosDetalle.aspx?ID=414780&amp;P=11242</t>
  </si>
  <si>
    <t>H/PROJECT-63</t>
  </si>
  <si>
    <t>PUI</t>
  </si>
  <si>
    <t>S14</t>
  </si>
  <si>
    <t>George, Haylton</t>
  </si>
  <si>
    <t>Endpoints de modificacion
Aliado con credenciales</t>
  </si>
  <si>
    <t>https://app.samva.io/PnlCliente/ListarClientesColasProyectosDetalle.aspx?eSUQ9NDE1MDA0JlA9MTEyNDI=</t>
  </si>
  <si>
    <t>H/PROJECT-67</t>
  </si>
  <si>
    <t>Dosificador de folios.</t>
  </si>
  <si>
    <t>Hugo, Jasiel, Alfred</t>
  </si>
  <si>
    <t>Luis, Haylton</t>
  </si>
  <si>
    <t>Formalizar el orden de liberación y comunicacion  hacía a los aliados.</t>
  </si>
  <si>
    <t>https://app.samva.io/PnlCliente/ListarClientesColasProyectosDetalle.aspx?ID=414744&amp;P=11242</t>
  </si>
  <si>
    <t>H/PROJECT-61</t>
  </si>
  <si>
    <t>Academic &lt;&gt; Canvas (LMS)</t>
  </si>
  <si>
    <t>Canvas</t>
  </si>
  <si>
    <t>https://app.samva.io/PnlCliente/ListarClientesColasProyectosDetalle.aspx?ID=411219&amp;P=11242</t>
  </si>
  <si>
    <t>H/PROJECT-27</t>
  </si>
  <si>
    <t>Solución de Kiosko físico</t>
  </si>
  <si>
    <t>On Hold</t>
  </si>
  <si>
    <t>2026 Q4</t>
  </si>
  <si>
    <t>Favio, Fabian, Haylton</t>
  </si>
  <si>
    <t>Definir continuidad o próximos pasos.</t>
  </si>
  <si>
    <t>https://app.samva.io/PnlCliente/ListarClientesColasProyectosDetalle.aspx?ID=411227&amp;P=11242</t>
  </si>
  <si>
    <t>H/PROJECT-35</t>
  </si>
  <si>
    <t xml:space="preserve">Git Actions - ApiDogs </t>
  </si>
  <si>
    <t>Validar continuidad y alcances</t>
  </si>
  <si>
    <t>https://app.samva.io/PnlCliente/ListarClientesColasProyectosDetalle.aspx?ID=411228&amp;P=11242</t>
  </si>
  <si>
    <t>H/PROJECT-36</t>
  </si>
  <si>
    <t>Admissions</t>
  </si>
  <si>
    <t>CEO</t>
  </si>
  <si>
    <t xml:space="preserve">Reunion  con directivos para compartir la visión. </t>
  </si>
  <si>
    <t>https://app.samva.io/PnlCliente/ListarClientesColasProyectosDetalle.aspx?ID=411229&amp;P=11242</t>
  </si>
  <si>
    <t>H/PROJECT-37</t>
  </si>
  <si>
    <t>Admin App / Evolution</t>
  </si>
  <si>
    <t>https://app.samva.io/PnlCliente/ListarClientesColasProyectosDetalle.aspx?ID=411361&amp;P=11242</t>
  </si>
  <si>
    <t>H/PROJECT-42</t>
  </si>
  <si>
    <t>aEvolution</t>
  </si>
  <si>
    <t>https://app.samva.io/PnlCliente/ListarClientesColasProyectosDetalle.aspx?ID=413032&amp;P=11242</t>
  </si>
  <si>
    <t>H/PROJECT-59</t>
  </si>
  <si>
    <t>Academic Safe (v3)</t>
  </si>
  <si>
    <t>Luis, Montaño</t>
  </si>
  <si>
    <t>Validar la priorización de las hallazgos para ser traducidas a historias de usuario.
Asignar recursos (Posible Emilio y/o Gregorio)</t>
  </si>
  <si>
    <t>https://app.samva.io/PnlCliente/ListarClientesColasProyectosDetalle.aspx?eSUQ9NDE0ODUyJlA9MTEyNDI=</t>
  </si>
  <si>
    <t>H/PROJECT-66</t>
  </si>
  <si>
    <t>PROF - Justificar Inasistencia de Alumnos</t>
  </si>
  <si>
    <t>Core, APP</t>
  </si>
  <si>
    <t>Edgar, Emilio, Lore</t>
  </si>
  <si>
    <t>Terminar Actividades</t>
  </si>
  <si>
    <t>https://app.samva.io/PnlCliente/ListarClientesColasProyectosDetalle.aspx?ID=411213&amp;P=11242</t>
  </si>
  <si>
    <t>H/PROJECT-21</t>
  </si>
  <si>
    <t>IA - Generativa</t>
  </si>
  <si>
    <t>Jasiel, Arman, Josue</t>
  </si>
  <si>
    <t>Validar la propuesta para IA de Armando</t>
  </si>
  <si>
    <t>https://app.samva.io/PnlCliente/ListarClientesColasProyectosDetalle.aspx?ID=411218&amp;P=11242</t>
  </si>
  <si>
    <t>H/PROJECT-26</t>
  </si>
  <si>
    <t>Connect</t>
  </si>
  <si>
    <t>S19</t>
  </si>
  <si>
    <t>Validar arquitectura propuesta, avances de prototipado. Historias de usuario.</t>
  </si>
  <si>
    <t>https://app.samva.io/PnlCliente/ListarClientesColasProyectosDetalle.aspx?ID=411223&amp;P=11242</t>
  </si>
  <si>
    <t>H/PROJECT-31</t>
  </si>
  <si>
    <t>2FA - gO Live</t>
  </si>
  <si>
    <t>https://app.samva.io/PnlCliente/ListarClientesColasProyectosDetalle.aspx?eSUQ9NDE5MzQzJlA9MTEyNDI=</t>
  </si>
  <si>
    <t>H/PROJECT-79</t>
  </si>
  <si>
    <t>Mouseflow</t>
  </si>
  <si>
    <t>Ux/Ui</t>
  </si>
  <si>
    <t>On Track</t>
  </si>
  <si>
    <t>Edin</t>
  </si>
  <si>
    <t>Definir flujos, Implermentar flujos</t>
  </si>
  <si>
    <t>https://app.samva.io/PnlCliente/ListarClientesColasProyectosDetalle.aspx?eSUQ9NDIwMTUwJlA9MTEyNDI=</t>
  </si>
  <si>
    <t>H/PROJECT-84</t>
  </si>
  <si>
    <t xml:space="preserve">Credencial aplicación </t>
  </si>
  <si>
    <t>Definir prioridad</t>
  </si>
  <si>
    <t>PROJECT-11</t>
  </si>
  <si>
    <t>Soporte / Mantenimiento Centro Tolzú</t>
  </si>
  <si>
    <t>Retainer</t>
  </si>
  <si>
    <t>https://app.samva.io/PnlCliente/ListarClientesColasProyectosDetalle.aspx?ID=411191&amp;P=11242</t>
  </si>
  <si>
    <t>PROJECT-15</t>
  </si>
  <si>
    <t>Fondeo CO</t>
  </si>
  <si>
    <t>Atrevus</t>
  </si>
  <si>
    <t>Soporte</t>
  </si>
  <si>
    <t>Desarrollo 2da fase</t>
  </si>
  <si>
    <t>https://app.samva.io/PnlCliente/ListarClientesColasProyectosDetalle.aspx?ID=411193&amp;P=11242</t>
  </si>
  <si>
    <t>PROJECT-16</t>
  </si>
  <si>
    <t>Sabbi Soporte</t>
  </si>
  <si>
    <t>Sabbi</t>
  </si>
  <si>
    <t>Raúl, George</t>
  </si>
  <si>
    <t>https://app.samva.io/PnlCliente/ListarClientesColasProyectosDetalle.aspx?ID=411156&amp;P=11242</t>
  </si>
  <si>
    <t>PROJECT-2</t>
  </si>
  <si>
    <t>App Fase 1</t>
  </si>
  <si>
    <t>Samva</t>
  </si>
  <si>
    <t>https://app.samva.io/PnlCliente/ListarClientesColasProyectosDetalle.aspx?ID=411157&amp;P=11242</t>
  </si>
  <si>
    <t>PROJECT-3</t>
  </si>
  <si>
    <t>Gestión Centralizada de Accesos y Sincronización con Hardware</t>
  </si>
  <si>
    <t>https://app.samva.io/PnlCliente/ListarClientesColasProyectosDetalle.aspx?ID=411276&amp;P=11242</t>
  </si>
  <si>
    <t>PROJECT-41</t>
  </si>
  <si>
    <t>Integración CODI</t>
  </si>
  <si>
    <t>Organizacional</t>
  </si>
  <si>
    <t>https://app.samva.io/PnlCliente/ListarClientesColasProyectosDetalle.aspx?ID=417738&amp;P=11242</t>
  </si>
  <si>
    <t>PROJECT-69</t>
  </si>
  <si>
    <t>Samva | Integración con Intelisis</t>
  </si>
  <si>
    <t>https://app.samva.io/PnlCliente/ListarClientesColasProyectosDetalle.aspx?eSUQ9NDE1MDA1JlA9MTEyNDI=</t>
  </si>
  <si>
    <t>PROJECT-68</t>
  </si>
  <si>
    <t>Login (rediseño)</t>
  </si>
  <si>
    <t>Jasiel</t>
  </si>
  <si>
    <t>https://app.samva.io/PnlCliente/ListarClientesColasProyectosDetalle.aspx?ID=411209&amp;P=11242</t>
  </si>
  <si>
    <t>H/PROJECT-17</t>
  </si>
  <si>
    <t xml:space="preserve">Experiencia en informes </t>
  </si>
  <si>
    <t>Upcoming</t>
  </si>
  <si>
    <t>Haylton, Luis</t>
  </si>
  <si>
    <t>Validacion de HU</t>
  </si>
  <si>
    <t>https://app.samva.io/PnlCliente/ListarClientesColasProyectosDetalle.aspx?ID=411211&amp;P=11242</t>
  </si>
  <si>
    <t>H/PROJECT-19</t>
  </si>
  <si>
    <t>Rediseño paneles (Alumno/Prospecto)</t>
  </si>
  <si>
    <t>S18, S17</t>
  </si>
  <si>
    <t>Alexis, George, Lore</t>
  </si>
  <si>
    <t xml:space="preserve">Definir prioridad y fechas en las que se trabajarán. </t>
  </si>
  <si>
    <t>https://app.samva.io/PnlCliente/ListarClientesColasProyectosDetalle.aspx?ID=411220&amp;P=11242</t>
  </si>
  <si>
    <t>H/PROJECT-28</t>
  </si>
  <si>
    <t>Complemento control de acceso</t>
  </si>
  <si>
    <t>Haylton, Luis, Alejandro</t>
  </si>
  <si>
    <t>Definir visión de negocio y qué es lo que se espera</t>
  </si>
  <si>
    <t>Envíos automáticos de comprobantes de pago</t>
  </si>
  <si>
    <t>Haylton, Luis, Erithan, Carlos</t>
  </si>
  <si>
    <t>Revision de area</t>
  </si>
  <si>
    <t>Portal de inscripciones</t>
  </si>
  <si>
    <t>Materias multi plantel</t>
  </si>
  <si>
    <t>Pagos recurrentes</t>
  </si>
  <si>
    <t>Academic shop</t>
  </si>
  <si>
    <t>Edgar, Arman, Lore, Rafa, Jasiel</t>
  </si>
  <si>
    <t>Complementos</t>
  </si>
  <si>
    <t>Jasiel, Gregorio</t>
  </si>
  <si>
    <t>Niveles de usuarios</t>
  </si>
  <si>
    <t>Permiso especial caja rápida</t>
  </si>
  <si>
    <t>Jasiel, Emilio</t>
  </si>
  <si>
    <t>Materias asesoras</t>
  </si>
  <si>
    <t>Emilio, Jasiel</t>
  </si>
  <si>
    <t>Notificación de actividades | Panel del profesor</t>
  </si>
  <si>
    <t>Gregorio, Jasiel</t>
  </si>
  <si>
    <t>Calificaciones</t>
  </si>
  <si>
    <t>S16, S17</t>
  </si>
  <si>
    <t>Analitycs</t>
  </si>
  <si>
    <t>Notificaciones en Documentos de Prospecto</t>
  </si>
  <si>
    <t>Expediente Digital App</t>
  </si>
  <si>
    <t>Edgar, Lore, Arman</t>
  </si>
  <si>
    <t>Proyecto</t>
  </si>
  <si>
    <t>ProyectoId</t>
  </si>
  <si>
    <t>Producto</t>
  </si>
  <si>
    <t>Folio</t>
  </si>
  <si>
    <t>Asignado</t>
  </si>
  <si>
    <t>Estatus</t>
  </si>
  <si>
    <t>Actividad</t>
  </si>
  <si>
    <t>AsignadoId</t>
  </si>
  <si>
    <t>Salud</t>
  </si>
  <si>
    <t>Fase</t>
  </si>
  <si>
    <t>Tipo</t>
  </si>
  <si>
    <t>Prioridad</t>
  </si>
  <si>
    <t>Dificultad</t>
  </si>
  <si>
    <t>Épica</t>
  </si>
  <si>
    <t>Hito</t>
  </si>
  <si>
    <t>HitoId</t>
  </si>
  <si>
    <t>Cuenta</t>
  </si>
  <si>
    <t>Traking</t>
  </si>
  <si>
    <t>avance</t>
  </si>
  <si>
    <t>inicio estimado</t>
  </si>
  <si>
    <t>AM-I-560 | Historia de usuario</t>
  </si>
  <si>
    <t>https://app.samva.io/PnlCliente/ListarClientesColasProyectosDetalle.aspx?ID=418105&amp;P=617</t>
  </si>
  <si>
    <t>Desenrolar alumno | Canvas</t>
  </si>
  <si>
    <t>Atrazada</t>
  </si>
  <si>
    <t>Desarrollo</t>
  </si>
  <si>
    <t>Nueva característica</t>
  </si>
  <si>
    <t>Media</t>
  </si>
  <si>
    <t>General</t>
  </si>
  <si>
    <t>Dev Jr</t>
  </si>
  <si>
    <t>AM-I-577 | Historia de usuario</t>
  </si>
  <si>
    <t>https://app.samva.io/PnlCliente/ListarClientesColasProyectosDetalle.aspx?ID=419194&amp;P=617</t>
  </si>
  <si>
    <t>Dia Cero (Alex)</t>
  </si>
  <si>
    <t>A tiempo</t>
  </si>
  <si>
    <t>Arquitectrura</t>
  </si>
  <si>
    <t>Ayuda</t>
  </si>
  <si>
    <t>Nula</t>
  </si>
  <si>
    <t>AM-I-561 | Historia de usuario</t>
  </si>
  <si>
    <t>https://app.samva.io/PnlCliente/ListarClientesColasProyectosDetalle.aspx?ID=418106&amp;P=617</t>
  </si>
  <si>
    <t>Inactivar alumno con estatus de baja | Canvas</t>
  </si>
  <si>
    <t>Sin avance</t>
  </si>
  <si>
    <t>AM-I-568 | Historia de usuario</t>
  </si>
  <si>
    <t>https://app.samva.io/PnlCliente/ListarClientesColasProyectosDetalle.aspx?ID=418336&amp;P=617</t>
  </si>
  <si>
    <t>Desenrolar alumno | Brigthspace</t>
  </si>
  <si>
    <t>AM-I-570 | Historia de usuario</t>
  </si>
  <si>
    <t>https://app.samva.io/PnlCliente/ListarClientesColasProyectosDetalle.aspx?ID=418474&amp;P=617</t>
  </si>
  <si>
    <t>Desenrolar alumno | Moodle</t>
  </si>
  <si>
    <t>Compormetida</t>
  </si>
  <si>
    <t>-  -  -  -  -</t>
  </si>
  <si>
    <t>Soporte Prioritario - s16</t>
  </si>
  <si>
    <t>Managment</t>
  </si>
  <si>
    <t>Soporte Copilot</t>
  </si>
  <si>
    <t>AM-I-566 | Historia de usuario</t>
  </si>
  <si>
    <t>https://app.samva.io/PnlCliente/ListarClientesColasProyectosDetalle.aspx?ID=418220&amp;P=617</t>
  </si>
  <si>
    <t>Credencial App móvil convesion</t>
  </si>
  <si>
    <t>Mejora</t>
  </si>
  <si>
    <t>Alta</t>
  </si>
  <si>
    <t>Dulce</t>
  </si>
  <si>
    <t>Plan estrategico pedagogico</t>
  </si>
  <si>
    <t>Planeacion</t>
  </si>
  <si>
    <t>EdTech</t>
  </si>
  <si>
    <t>AM-I-528 | Historia de usuario</t>
  </si>
  <si>
    <t>https://app.samva.io/PnlCliente/ListarClientesProyectosHitosDetalle.aspx?eUD02MTcmSUQ9MzQzNzE=</t>
  </si>
  <si>
    <t>Justificar faltas App</t>
  </si>
  <si>
    <t>Administración y finanzas</t>
  </si>
  <si>
    <t>AM-I-566-1 | Tarea</t>
  </si>
  <si>
    <t>https://app.samva.io/PnlCliente/ListarClientesColasProyectosDetalle.aspx?ID=419116&amp;P=617</t>
  </si>
  <si>
    <t>Consultar el código QR</t>
  </si>
  <si>
    <t>Corrección</t>
  </si>
  <si>
    <t>Baja</t>
  </si>
  <si>
    <t>Validacion UX - s16</t>
  </si>
  <si>
    <t>Refactorizar la BBDD</t>
  </si>
  <si>
    <t>Justificar faltas (4 / 5)</t>
  </si>
  <si>
    <t>Dev Sr</t>
  </si>
  <si>
    <t>AM-I-559 | Historia de usuario</t>
  </si>
  <si>
    <t>https://app.samva.io/PnlCliente/ListarClientesColasProyectosDetalle.aspx?ID=418104&amp;P=617</t>
  </si>
  <si>
    <t>Informe estatus de documentos | Prospectos</t>
  </si>
  <si>
    <t>Informes</t>
  </si>
  <si>
    <t>AM-I-564 | Historia de usuario</t>
  </si>
  <si>
    <t>https://app.samva.io/PnlCliente/ListarClientesColasProyectosDetalle.aspx?ID=418109&amp;P=617</t>
  </si>
  <si>
    <t>Inicios de sesión | App móvil</t>
  </si>
  <si>
    <t>AM-I-569 | Historia de usuario</t>
  </si>
  <si>
    <t>https://app.samva.io/PnlCliente/ListarClientesColasProyectosDetalle.aspx?ID=418465&amp;P=617</t>
  </si>
  <si>
    <t>Documentos de la institución</t>
  </si>
  <si>
    <t>Panel alumno</t>
  </si>
  <si>
    <t>AM-I-537 | Historia de usuario</t>
  </si>
  <si>
    <t>https://app.samva.io/PnlCliente/ListarClientesColasProyectosDetalle.aspx?ID=413918&amp;P=617</t>
  </si>
  <si>
    <t>Parámetros de sistema UX/UI</t>
  </si>
  <si>
    <t>AM-I-558 | Historia de usuario</t>
  </si>
  <si>
    <t>https://app.samva.io/PnlCliente/ListarClientesColasProyectosDetalle.aspx?ID=416896&amp;P=617</t>
  </si>
  <si>
    <t>Roles de seguridad</t>
  </si>
  <si>
    <t>Configuración</t>
  </si>
  <si>
    <t>AM-I-572 | Historia de usuario</t>
  </si>
  <si>
    <t>https://app.samva.io/PnlCliente/ListarClientesColasProyectosDetalle.aspx?ID=419142&amp;P=617</t>
  </si>
  <si>
    <t>WEBHOOK - Inc Academica</t>
  </si>
  <si>
    <t>https://app.samva.io/PnlCliente/ListarClientesColasProyectosDetalle.aspx?eSUQ9NDE5MjA1JlA9MTExMzY=</t>
  </si>
  <si>
    <t>Plan de pruebas</t>
  </si>
  <si>
    <t>Validacion TEST - s16</t>
  </si>
  <si>
    <t>AM-I-563 | Historia de usuario</t>
  </si>
  <si>
    <t>https://app.samva.io/PnlCliente/ListarClientesColasProyectosDetalle.aspx?ID=418108&amp;P=617</t>
  </si>
  <si>
    <t>Facturas globales (Pagos realizados)</t>
  </si>
  <si>
    <t>AM-I-563-1 | Tarea</t>
  </si>
  <si>
    <t>https://app.samva.io/PnlCliente/ListarClientesColasProyectosDetalle.aspx?ID=419171&amp;P=617</t>
  </si>
  <si>
    <t>Rediseño visual</t>
  </si>
  <si>
    <t>AM-I-575 | Historia de usuario</t>
  </si>
  <si>
    <t>https://app.samva.io/PnlCliente/ListarClientesColasProyectosDetalle.aspx?ID=419192&amp;P=617</t>
  </si>
  <si>
    <t>Dia Cero (Emilio)</t>
  </si>
  <si>
    <t>AM-I-573 | Historia de usuario</t>
  </si>
  <si>
    <t>https://app.samva.io/PnlCliente/ListarClientesColasProyectosDetalle.aspx?ID=419143&amp;P=617</t>
  </si>
  <si>
    <t>Factura personalizada (antes facturas globales por montos personalizados)</t>
  </si>
  <si>
    <t>AM-I-573-1 | Tarea</t>
  </si>
  <si>
    <t>https://app.samva.io/PnlCliente/ListarClientesColasProyectosDetalle.aspx?ID=419166&amp;P=617</t>
  </si>
  <si>
    <t>1. Creación de página</t>
  </si>
  <si>
    <t>https://app.samva.io/PnlCliente/ListarClientesColasProyectosDetalle.aspx?eSUQ9NDE5MjA5JlA9NjE3</t>
  </si>
  <si>
    <t>Dudas Jasiel</t>
  </si>
  <si>
    <t>Analisis</t>
  </si>
  <si>
    <t>DUDAS</t>
  </si>
  <si>
    <t>AM-I-573-2 | Tarea</t>
  </si>
  <si>
    <t>https://app.samva.io/PnlCliente/ListarClientesColasProyectosDetalle.aspx?ID=419167&amp;P=617</t>
  </si>
  <si>
    <t>2. Rediseño de página</t>
  </si>
  <si>
    <t>https://app.samva.io/PnlCliente/ListarClientesColasProyectosDetalle.aspx?ID=420597&amp;P=617</t>
  </si>
  <si>
    <t>Pending</t>
  </si>
  <si>
    <t>Day0 (Alex)</t>
  </si>
  <si>
    <t>AM-I-612</t>
  </si>
  <si>
    <t>https://app.samva.io/PnlCliente/ListarClientesColasProyectosDetalle.aspx?ID=420602&amp;P=617</t>
  </si>
  <si>
    <t>EDapp02: Alumno</t>
  </si>
  <si>
    <t>Control escolar</t>
  </si>
  <si>
    <t>Flexibilidad en Control Escolar y Estructura Académica</t>
  </si>
  <si>
    <t xml:space="preserve">-  -  -  -  - </t>
  </si>
  <si>
    <t>AM-I-613</t>
  </si>
  <si>
    <t>https://app.samva.io/PnlCliente/ListarClientesColasProyectosDetalle.aspx?ID=420603&amp;P=617</t>
  </si>
  <si>
    <t>EDapp03: Tutor / Familiar</t>
  </si>
  <si>
    <t>AM-I-566</t>
  </si>
  <si>
    <t xml:space="preserve">Credencial 02: App móvil </t>
  </si>
  <si>
    <t>App Alumno</t>
  </si>
  <si>
    <t>Transformación Digital de Portales y UX</t>
  </si>
  <si>
    <t>Mario</t>
  </si>
  <si>
    <t>Soporte Lead</t>
  </si>
  <si>
    <t>Dev Mid</t>
  </si>
  <si>
    <t>In progress</t>
  </si>
  <si>
    <t>Material pedagogico de actualizacion</t>
  </si>
  <si>
    <t>Liberacion</t>
  </si>
  <si>
    <t>Casos de uso s17</t>
  </si>
  <si>
    <t>DoD / DoR - s17</t>
  </si>
  <si>
    <t>Validacion Projects</t>
  </si>
  <si>
    <t>Validacion UAT - s16</t>
  </si>
  <si>
    <t>Analisis de riesgos s17</t>
  </si>
  <si>
    <t>Backlog s17</t>
  </si>
  <si>
    <t>Comunicacion Aliados - s16</t>
  </si>
  <si>
    <t>Cancelada</t>
  </si>
  <si>
    <t>PO Review</t>
  </si>
  <si>
    <t>Comunicacion Interna - s16</t>
  </si>
  <si>
    <t>Sprint Retrospective - s16</t>
  </si>
  <si>
    <t>AM-I-576 | Historia de usuario</t>
  </si>
  <si>
    <t>https://app.samva.io/PnlCliente/ListarClientesColasProyectosDetalle.aspx?ID=419193&amp;P=617</t>
  </si>
  <si>
    <t>Dia Cero (Gregorio)</t>
  </si>
  <si>
    <t>https://app.samva.io/PnlCliente/ListarClientesColasProyectosDetalle.aspx?ID=420595&amp;P=617</t>
  </si>
  <si>
    <t>Day0 (Edgar)</t>
  </si>
  <si>
    <t>AM-I-622-1</t>
  </si>
  <si>
    <t>https://app.samva.io/PnlCliente/ListarClientesColasProyectosDetalle.aspx?ID=420746&amp;P=617</t>
  </si>
  <si>
    <t>01 Análisis: Mapear puntos de inicio de procesos de pago en línea.</t>
  </si>
  <si>
    <t>Automatización Financiera y Monetización (E-Commerce)</t>
  </si>
  <si>
    <t>AM-I-600</t>
  </si>
  <si>
    <t>https://app.samva.io/PnlCliente/ListarClientesColasProyectosDetalle.aspx?ID=420590&amp;P=617</t>
  </si>
  <si>
    <t>Notificacion de actividades</t>
  </si>
  <si>
    <t>Panel profesor</t>
  </si>
  <si>
    <t xml:space="preserve"> Motor de Notificaciones</t>
  </si>
  <si>
    <t>Factibilidad - s17</t>
  </si>
  <si>
    <t>ARQ</t>
  </si>
  <si>
    <t>GoLive - s16</t>
  </si>
  <si>
    <t>Publicacion RC - s16</t>
  </si>
  <si>
    <t>https://app.samva.io/PnlCliente/ListarClientesColasProyectosDetalle.aspx?ID=420592&amp;P=617</t>
  </si>
  <si>
    <t>Day0 (Emilio)</t>
  </si>
  <si>
    <t>Plan estrategico pedagogico - s17</t>
  </si>
  <si>
    <t>Material pedagogico de actualizacion - s17</t>
  </si>
  <si>
    <t>AM-I-623</t>
  </si>
  <si>
    <t>https://app.samva.io/PnlCliente/ListarClientesColasProyectosDetalle.aspx?ID=420756&amp;P=617</t>
  </si>
  <si>
    <t>Analitycs - Correccion de visualizaciones</t>
  </si>
  <si>
    <t>Validacion UX - s17</t>
  </si>
  <si>
    <t>AM-I-608</t>
  </si>
  <si>
    <t>https://app.samva.io/PnlCliente/ListarClientesColasProyectosDetalle.aspx?ID=420598&amp;P=617</t>
  </si>
  <si>
    <t>NP01: Configuración y Envío</t>
  </si>
  <si>
    <t>Captación y atención</t>
  </si>
  <si>
    <t>Casos de uso - s18</t>
  </si>
  <si>
    <t>DoD / DoR - s18</t>
  </si>
  <si>
    <t>Plan de pruebas - s17</t>
  </si>
  <si>
    <t>Validacion Projects - s17</t>
  </si>
  <si>
    <t>Validacion TEST - s17</t>
  </si>
  <si>
    <t>Validacion UAT - s17</t>
  </si>
  <si>
    <t>AM-I-578 | Historia de usuario</t>
  </si>
  <si>
    <t>https://app.samva.io/PnlCliente/ListarClientesColasProyectosDetalle.aspx?ID=419195&amp;P=617</t>
  </si>
  <si>
    <t>Dia Cero (Jasiel)</t>
  </si>
  <si>
    <t>Analisis de riesgos - s18</t>
  </si>
  <si>
    <t>Backlog - s18</t>
  </si>
  <si>
    <t>Comunicacion Aliados - s17</t>
  </si>
  <si>
    <t>Comunicacion Interna - s17</t>
  </si>
  <si>
    <t>Sprint Retrospective - s17</t>
  </si>
  <si>
    <t>AM-I-609</t>
  </si>
  <si>
    <t>https://app.samva.io/PnlCliente/ListarClientesColasProyectosDetalle.aspx?ID=420599&amp;P=617</t>
  </si>
  <si>
    <t>NP02: Prospecto</t>
  </si>
  <si>
    <t>AM-I-610</t>
  </si>
  <si>
    <t>https://app.samva.io/PnlCliente/ListarClientesColasProyectosDetalle.aspx?ID=420600&amp;P=617</t>
  </si>
  <si>
    <t>NP03: Agente de ventas</t>
  </si>
  <si>
    <t>DESARROLLO</t>
  </si>
  <si>
    <t>Factibilidad - s18</t>
  </si>
  <si>
    <t>GoLive - s17</t>
  </si>
  <si>
    <t>Publicacion RC - s17</t>
  </si>
  <si>
    <t>Sprint Planning - S17</t>
  </si>
  <si>
    <t>https://app.samva.io/PnlCliente/ListarClientesColasProyectosDetalle.aspx?ID=420593&amp;P=617</t>
  </si>
  <si>
    <t>Day0 (Gregorio)</t>
  </si>
  <si>
    <t>AM-I-591</t>
  </si>
  <si>
    <t>https://app.samva.io/PnlCliente/ListarClientesColasProyectosDetalle.aspx?ID=420581&amp;P=617</t>
  </si>
  <si>
    <t>Envío automático de comprobante de pago</t>
  </si>
  <si>
    <t>AM-I-595</t>
  </si>
  <si>
    <t>https://app.samva.io/PnlCliente/ListarClientesColasProyectosDetalle.aspx?ID=420585&amp;P=617</t>
  </si>
  <si>
    <t>Nivel - Registro de usuario</t>
  </si>
  <si>
    <t>AM-I-565 | Historia de usuario</t>
  </si>
  <si>
    <t>https://app.samva.io/PnlCliente/ListarClientesColasProyectosDetalle.aspx?ID=418111&amp;P=617</t>
  </si>
  <si>
    <t>Registro de calificación (Look&amp;Feel)</t>
  </si>
  <si>
    <t>AM-I-601</t>
  </si>
  <si>
    <t>https://app.samva.io/PnlCliente/ListarClientesColasProyectosDetalle.aspx?ID=420591&amp;P=617</t>
  </si>
  <si>
    <t>Plan estratégico pedagógico</t>
  </si>
  <si>
    <t>Documentación</t>
  </si>
  <si>
    <t>AM-I-620</t>
  </si>
  <si>
    <t>https://app.samva.io/PnlCliente/ListarClientesColasProyectosDetalle.aspx?ID=420722&amp;P=617</t>
  </si>
  <si>
    <t>AM-I-565-1 | Tarea</t>
  </si>
  <si>
    <t>https://app.samva.io/PnlCliente/ListarClientesColasProyectosDetalle.aspx?ID=419188&amp;P=617</t>
  </si>
  <si>
    <t>Historia de usuario 1: Rediseño</t>
  </si>
  <si>
    <t>AM-I-562 | Historia de usuario</t>
  </si>
  <si>
    <t>https://app.samva.io/PnlCliente/ListarClientesColasProyectosDetalle.aspx?ID=418107&amp;P=617</t>
  </si>
  <si>
    <t>NEW - COMPLEMENTOS (ARQ)</t>
  </si>
  <si>
    <t>AM-I-565-2 | Tarea</t>
  </si>
  <si>
    <t>https://app.samva.io/PnlCliente/ListarClientesColasProyectosDetalle.aspx?ID=419189&amp;P=617</t>
  </si>
  <si>
    <t>Historia de usuario 2: Búsqueda simple</t>
  </si>
  <si>
    <t>AM-I-565-3 | Tarea</t>
  </si>
  <si>
    <t>https://app.samva.io/PnlCliente/ListarClientesColasProyectosDetalle.aspx?ID=419190&amp;P=617</t>
  </si>
  <si>
    <t>Historia de usuario 3: Búsqueda avanzada</t>
  </si>
  <si>
    <t>AM-I-614</t>
  </si>
  <si>
    <t>https://app.samva.io/PnlCliente/ListarClientesColasProyectosDetalle.aspx?ID=420653&amp;P=617</t>
  </si>
  <si>
    <t>Calificaciones 01: Look&amp;Feel</t>
  </si>
  <si>
    <t>AM-I-615</t>
  </si>
  <si>
    <t>https://app.samva.io/PnlCliente/ListarClientesColasProyectosDetalle.aspx?ID=420654&amp;P=617</t>
  </si>
  <si>
    <t>Calificaciones: Rediseño</t>
  </si>
  <si>
    <t>AM-I-616</t>
  </si>
  <si>
    <t>https://app.samva.io/PnlCliente/ListarClientesColasProyectosDetalle.aspx?ID=420655&amp;P=617</t>
  </si>
  <si>
    <t>Calificaciones 02: Búsqueda simple</t>
  </si>
  <si>
    <t>AM-I-617</t>
  </si>
  <si>
    <t>https://app.samva.io/PnlCliente/ListarClientesColasProyectosDetalle.aspx?ID=420656&amp;P=617</t>
  </si>
  <si>
    <t>Calificaciones 03: Búsqueda avanzada</t>
  </si>
  <si>
    <t>AM-I-618</t>
  </si>
  <si>
    <t>https://app.samva.io/PnlCliente/ListarClientesColasProyectosDetalle.aspx?ID=420657&amp;P=617</t>
  </si>
  <si>
    <t>Calificaciones 04: Proteger evaluación</t>
  </si>
  <si>
    <t>AM-I-622</t>
  </si>
  <si>
    <t>https://app.samva.io/PnlCliente/ListarClientesColasProyectosDetalle.aspx?ID=420745&amp;P=617</t>
  </si>
  <si>
    <t>Refact - Proceso de pago en línea</t>
  </si>
  <si>
    <t>AM-I-622-2</t>
  </si>
  <si>
    <t>https://app.samva.io/PnlCliente/ListarClientesColasProyectosDetalle.aspx?ID=420747&amp;P=617</t>
  </si>
  <si>
    <t>02 Crear Estructura: BBDD para registrar el flujo de estados.</t>
  </si>
  <si>
    <t>AM-I-622-3</t>
  </si>
  <si>
    <t>https://app.samva.io/PnlCliente/ListarClientesColasProyectosDetalle.aspx?ID=420748&amp;P=617</t>
  </si>
  <si>
    <t>03 Registro: Log de eventos según el flujo.</t>
  </si>
  <si>
    <t>https://app.samva.io/PnlCliente/ListarClientesColasProyectosDetalle.aspx?ID=420594&amp;P=617</t>
  </si>
  <si>
    <t>TL Review</t>
  </si>
  <si>
    <t>Day0 (Jasiel)</t>
  </si>
  <si>
    <t>https://app.samva.io/PnlCliente/ListarClientesColasProyectosDetalle.aspx?ID=420596&amp;P=617</t>
  </si>
  <si>
    <t>Day0 (Lore)</t>
  </si>
  <si>
    <t>AM-I-592</t>
  </si>
  <si>
    <t>https://app.samva.io/PnlCliente/ListarClientesColasProyectosDetalle.aspx?ID=420582&amp;P=617</t>
  </si>
  <si>
    <t>PI-01: Filtrado Inteligente de Planes de Pago (Backend Core)</t>
  </si>
  <si>
    <t>AM-I-593</t>
  </si>
  <si>
    <t>https://app.samva.io/PnlCliente/ListarClientesColasProyectosDetalle.aspx?ID=420583&amp;P=617</t>
  </si>
  <si>
    <t>PI-02: Módulo de Conceptos Obligatorios (Hard-Gate Validation)</t>
  </si>
  <si>
    <t>AM-I-594</t>
  </si>
  <si>
    <t>https://app.samva.io/PnlCliente/ListarClientesColasProyectosDetalle.aspx?ID=420584&amp;P=617</t>
  </si>
  <si>
    <t>PI-03: Proceso de Inscripción Autogestivo (Prospecto/Alumno)</t>
  </si>
  <si>
    <t>AM-I-596</t>
  </si>
  <si>
    <t>https://app.samva.io/PnlCliente/ListarClientesColasProyectosDetalle.aspx?ID=420586&amp;P=617</t>
  </si>
  <si>
    <t>MA01: Configuración de Vinculación Sincrónica (Admin)</t>
  </si>
  <si>
    <t>AM-I-597</t>
  </si>
  <si>
    <t>https://app.samva.io/PnlCliente/ListarClientesColasProyectosDetalle.aspx?ID=420587&amp;P=617</t>
  </si>
  <si>
    <t>MA02: Procesamiento de guardado (Backend/Logic)</t>
  </si>
  <si>
    <t>AM-I-598</t>
  </si>
  <si>
    <t>https://app.samva.io/PnlCliente/ListarClientesColasProyectosDetalle.aspx?ID=420588&amp;P=617</t>
  </si>
  <si>
    <t>MA03: Bitácora de cambios</t>
  </si>
  <si>
    <t>AM-I-599</t>
  </si>
  <si>
    <t>https://app.samva.io/PnlCliente/ListarClientesColasProyectosDetalle.aspx?ID=420589&amp;P=617</t>
  </si>
  <si>
    <t>MA04: Interfaz de Captura con Indicadores (UI/UX)</t>
  </si>
  <si>
    <t>AM-I-611</t>
  </si>
  <si>
    <t>https://app.samva.io/PnlCliente/ListarClientesColasProyectosDetalle.aspx?ID=420601&amp;P=617</t>
  </si>
  <si>
    <t>EDapp01: Configuración</t>
  </si>
  <si>
    <t>AM-I-611-1</t>
  </si>
  <si>
    <t>https://app.samva.io/PnlCliente/ListarClientesColasProyectosDetalle.aspx?ID=420734&amp;P=617</t>
  </si>
  <si>
    <t>01 Snipet | INSERT de Valores en tablas de secciones App</t>
  </si>
  <si>
    <t>AM-I-611-2</t>
  </si>
  <si>
    <t>https://app.samva.io/PnlCliente/ListarClientesColasProyectosDetalle.aspx?ID=420735&amp;P=617</t>
  </si>
  <si>
    <t>02 SP | Ajuste en procedimiento Expedientes</t>
  </si>
  <si>
    <t>AM-I-611-3</t>
  </si>
  <si>
    <t>https://app.samva.io/PnlCliente/ListarClientesColasProyectosDetalle.aspx?ID=420736&amp;P=617</t>
  </si>
  <si>
    <t>03 API -  Ajuste en el modelo</t>
  </si>
  <si>
    <t>AM-I-619</t>
  </si>
  <si>
    <t>https://app.samva.io/PnlCliente/ListarClientesColasProyectosDetalle.aspx?ID=420721&amp;P=617</t>
  </si>
  <si>
    <t>Credencial 01: API</t>
  </si>
  <si>
    <t>AM-I-624</t>
  </si>
  <si>
    <t>https://app.samva.io/PnlCliente/ListarClientesColasProyectosDetalle.aspx?ID=420757&amp;P=617</t>
  </si>
  <si>
    <t>Complementos 02: Rediseño visual</t>
  </si>
  <si>
    <t>Sprint</t>
  </si>
  <si>
    <t>Mes</t>
  </si>
  <si>
    <t>Año</t>
  </si>
  <si>
    <t>Dias</t>
  </si>
  <si>
    <t>inicio real</t>
  </si>
  <si>
    <t>Desfase</t>
  </si>
  <si>
    <t>Capacidad / HRS</t>
  </si>
  <si>
    <t>Pts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</si>
  <si>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</si>
  <si>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</si>
  <si>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</si>
  <si>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</si>
  <si>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</si>
  <si>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</si>
  <si>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</si>
  <si>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</si>
  <si>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id_hito</t>
  </si>
  <si>
    <t>id_proyecto</t>
  </si>
  <si>
    <t>hito_nombre</t>
  </si>
  <si>
    <t>Cliente</t>
  </si>
  <si>
    <t>Inicio</t>
  </si>
  <si>
    <t>Fin</t>
  </si>
  <si>
    <t>Avance</t>
  </si>
  <si>
    <t>id_team</t>
  </si>
  <si>
    <t>Nombre</t>
  </si>
  <si>
    <t>user_id</t>
  </si>
  <si>
    <t>id_sprint</t>
  </si>
  <si>
    <t>vacaciones</t>
  </si>
  <si>
    <t>capacidad</t>
  </si>
  <si>
    <t>Nombre común</t>
  </si>
  <si>
    <t>Ambientes</t>
  </si>
  <si>
    <t>Dpto</t>
  </si>
  <si>
    <t>GITHub Repositorio</t>
  </si>
  <si>
    <t>Administrador</t>
  </si>
  <si>
    <t>Colaborador</t>
  </si>
  <si>
    <t>Visualizador</t>
  </si>
  <si>
    <t>Deploy</t>
  </si>
  <si>
    <t>APIs App Academic</t>
  </si>
  <si>
    <t>DEV, PROD</t>
  </si>
  <si>
    <t>Activo</t>
  </si>
  <si>
    <t>academic-app-api</t>
  </si>
  <si>
    <t>Autodeploy</t>
  </si>
  <si>
    <t>Academic Web</t>
  </si>
  <si>
    <t>academic-core</t>
  </si>
  <si>
    <t>Gregorio Guadarrama Emilio Contreras Jasiel López Alfredo Lara Edgar Torres Lorena Olvera Mario Ramírez</t>
  </si>
  <si>
    <t>Luis Bernal Mario Ramírez Hugo Enríquez</t>
  </si>
  <si>
    <t>APIs Basic Procesos</t>
  </si>
  <si>
    <t>academic-apis-basic</t>
  </si>
  <si>
    <t>Lorena Olvera Jasiel López Hugo Enríquez</t>
  </si>
  <si>
    <t>Academic App Movil</t>
  </si>
  <si>
    <t>academic-app</t>
  </si>
  <si>
    <t>Armando Meza Rafael Escobar Edgar Torres</t>
  </si>
  <si>
    <t>Edgar Torres Armando Meza</t>
  </si>
  <si>
    <t>Paginador Academic Web</t>
  </si>
  <si>
    <t>PROD</t>
  </si>
  <si>
    <t>controles-academic</t>
  </si>
  <si>
    <t>Luis Bernal Mario Ramírez Gregorio Guadarrama</t>
  </si>
  <si>
    <t>Gregorio Guadarrama Emilio Contreras</t>
  </si>
  <si>
    <t xml:space="preserve">Caja rápida </t>
  </si>
  <si>
    <t>I+D</t>
  </si>
  <si>
    <t>academic-pos-lite</t>
  </si>
  <si>
    <t>Jasiel López Alfredo Lara</t>
  </si>
  <si>
    <t>Motor de procesamiento - Academic</t>
  </si>
  <si>
    <t>academic-process-service</t>
  </si>
  <si>
    <t>Luis Bernal Mario Ramírez</t>
  </si>
  <si>
    <t>Academic Portal (Landpage intgerado)</t>
  </si>
  <si>
    <t>academic-portal</t>
  </si>
  <si>
    <t>Motor de envío de correos</t>
  </si>
  <si>
    <t>academic-messages-delivery</t>
  </si>
  <si>
    <t>API Facturacion</t>
  </si>
  <si>
    <t>PROD, DEV</t>
  </si>
  <si>
    <t>bit-facturacion</t>
  </si>
  <si>
    <t>API de conversión de reportes a PDF</t>
  </si>
  <si>
    <t>academic-tools</t>
  </si>
  <si>
    <t>Motor de facturación</t>
  </si>
  <si>
    <t>facturacion-process-service</t>
  </si>
  <si>
    <t>Luis Bernal Hugo Enríquez</t>
  </si>
  <si>
    <t>Hugo Enríquez Jasiel López Mario Ramírez</t>
  </si>
  <si>
    <t>API de generación de reportes</t>
  </si>
  <si>
    <t>academic-reports</t>
  </si>
  <si>
    <t>Motor de titulos digitales</t>
  </si>
  <si>
    <t>academic-titulos-digitales-process</t>
  </si>
  <si>
    <t>APIs Bearer Personales</t>
  </si>
  <si>
    <t>academic-apis-bearer</t>
  </si>
  <si>
    <t>Academic DevHub</t>
  </si>
  <si>
    <t>academic-devhub</t>
  </si>
  <si>
    <t>Academic asistencia por dactilar</t>
  </si>
  <si>
    <t>academic-checador</t>
  </si>
  <si>
    <t>Academic Admin Site</t>
  </si>
  <si>
    <t>academic-administration</t>
  </si>
  <si>
    <t>APIs Academic Portal</t>
  </si>
  <si>
    <t>academic-api-sdk</t>
  </si>
  <si>
    <t>Backoffice</t>
  </si>
  <si>
    <r>
      <rPr>
        <rFont val="&quot;Mona Sans VF&quot;, -apple-system, BlinkMacSystemFont, &quot;Segoe UI&quot;, &quot;Noto Sans&quot;, Helvetica, Arial, sans-serif, &quot;Apple Color Emoji&quot;, &quot;Segoe UI Emoji&quot;"/>
        <color rgb="FF1155CC"/>
        <sz val="12.0"/>
        <u/>
      </rPr>
      <t>lms-proxy</t>
    </r>
  </si>
  <si>
    <t>Caja rápida</t>
  </si>
  <si>
    <t>Columna 31</t>
  </si>
  <si>
    <t>Sin acceso</t>
  </si>
  <si>
    <t>Super Usuario Plataforma</t>
  </si>
  <si>
    <t>Usuario de plataforma</t>
  </si>
  <si>
    <t>Contributor, BBDD Test, Super Usuario Plataforma</t>
  </si>
  <si>
    <t>Visulizador, Contributor</t>
  </si>
  <si>
    <t>Visulizador, BBDD Test, Super Usuario Plataforma</t>
  </si>
  <si>
    <t>Visulizador, Contributor, Gestor de cambios, Usuario de plataforma</t>
  </si>
  <si>
    <t>BBDD Prod</t>
  </si>
  <si>
    <t>BBDD Test</t>
  </si>
  <si>
    <t>Contributor</t>
  </si>
  <si>
    <t>BBDD Prod, Gestor de cambios, Adminsitrador</t>
  </si>
  <si>
    <t>Super Usuario Plataforma , BBDD Test</t>
  </si>
  <si>
    <t>Adminsitrador, Gestor de cambios</t>
  </si>
  <si>
    <t>BBDD Prod, Gestor de cambios, Adminsitrador, Super Usuario Plataforma</t>
  </si>
  <si>
    <t>Adminsitrador, Gestor de cambios, BBDD Prod</t>
  </si>
  <si>
    <t>Adminsitrador, Super Usuario Plataforma, BBDD Prod</t>
  </si>
  <si>
    <t>Adminsitrador</t>
  </si>
  <si>
    <t>BBDD Test, Contributor</t>
  </si>
  <si>
    <t>Visulizador</t>
  </si>
  <si>
    <t>BBDD Test, Contributor, Usuario test, Super Usuario Plataforma</t>
  </si>
  <si>
    <t>Usuario de plataforma, Contributor, Gestor de cambios</t>
  </si>
  <si>
    <t>Usuario test</t>
  </si>
  <si>
    <t>BBDD Test, BBDD Prod, Usuario test, Super Usuario Plataforma</t>
  </si>
  <si>
    <t>Gestor de cambios, Contributor</t>
  </si>
  <si>
    <t>Usuario test, BBDD Test, Contributor</t>
  </si>
  <si>
    <t>BBDD Test, Contributor, Usuario test, Super Usuario Plataforma, Gestor de cambios, BBDD Prod</t>
  </si>
  <si>
    <t>Contributor, BBDD Prod, Gestor de cambios, Adminsitrador</t>
  </si>
  <si>
    <t>Super Usuario Plataforma , BBDD Test, Contributor, BBDD Prod</t>
  </si>
  <si>
    <t>BBDD Test, Contributor, BBDD Prod</t>
  </si>
  <si>
    <t>Gestor de cambios, Contributor, Adminsitrador</t>
  </si>
  <si>
    <t>Super Usuario Plataforma, BBDD Test</t>
  </si>
  <si>
    <t>D</t>
  </si>
  <si>
    <t>idCliente</t>
  </si>
  <si>
    <t>sClave</t>
  </si>
  <si>
    <t>sCliente</t>
  </si>
  <si>
    <t>sRazonSocial</t>
  </si>
  <si>
    <t>sClaveAtencion</t>
  </si>
  <si>
    <t>iIdetificador</t>
  </si>
  <si>
    <t>sIdentificador</t>
  </si>
  <si>
    <t>Column 25</t>
  </si>
  <si>
    <t>sBD</t>
  </si>
  <si>
    <t>sUsuario</t>
  </si>
  <si>
    <t>sPass</t>
  </si>
  <si>
    <t>sServidor</t>
  </si>
  <si>
    <t>bDemo</t>
  </si>
  <si>
    <t>bActivo</t>
  </si>
  <si>
    <t>iVersion</t>
  </si>
  <si>
    <t>bPortalSSL</t>
  </si>
  <si>
    <t>iGrupo</t>
  </si>
  <si>
    <t>bTest</t>
  </si>
  <si>
    <t>sTokenUnico</t>
  </si>
  <si>
    <t>bActivoMotorFact</t>
  </si>
  <si>
    <t>iGrupoFacturacion</t>
  </si>
  <si>
    <t>iGrupoNotificacion</t>
  </si>
  <si>
    <t>iGrupoComunicacion</t>
  </si>
  <si>
    <t>bTitulosElectronicos</t>
  </si>
  <si>
    <t>si</t>
  </si>
  <si>
    <t>Admin</t>
  </si>
  <si>
    <t>M2g@e%4x8Zs!RQf$R8g1Ctbv</t>
  </si>
  <si>
    <t>[3.215.34.205\PRODUCTION,3328].</t>
  </si>
  <si>
    <t>AM0000</t>
  </si>
  <si>
    <t>Alfa</t>
  </si>
  <si>
    <t>alfa</t>
  </si>
  <si>
    <t>GrWYagGF9Bwr9t@n#ruD14wJ</t>
  </si>
  <si>
    <t>AMAlfa</t>
  </si>
  <si>
    <t>academic_usr_alfa</t>
  </si>
  <si>
    <t>L3LFh90cYjwa</t>
  </si>
  <si>
    <t>[3.215.34.205\TESTING,3330].</t>
  </si>
  <si>
    <t>0121-FA51FD70-3CA6-4D1B-BA69-215B301A41CC</t>
  </si>
  <si>
    <t>Si</t>
  </si>
  <si>
    <t>Institución Demo</t>
  </si>
  <si>
    <t>institucion</t>
  </si>
  <si>
    <t>academic_usr_institucion</t>
  </si>
  <si>
    <t>26L2RYE8mmBI</t>
  </si>
  <si>
    <t>0188-B24E2856-E634-487C-BAEF-848EEDF35C45</t>
  </si>
  <si>
    <t>Ambiente Test</t>
  </si>
  <si>
    <t>test</t>
  </si>
  <si>
    <t>ambiente_test</t>
  </si>
  <si>
    <t>academic_usr_ambiente_test</t>
  </si>
  <si>
    <t>UK20YBPKwLg2</t>
  </si>
  <si>
    <t>0233-D65FAC37-30A6-4BBA-B4B3-0EDF59052FAD</t>
  </si>
  <si>
    <t>Release Candidate</t>
  </si>
  <si>
    <t>release_candidate</t>
  </si>
  <si>
    <t>academic_usr_release_candidate</t>
  </si>
  <si>
    <t>sUKKXU1wh4h4</t>
  </si>
  <si>
    <t>0321-02A2199D-CBE5-45B7-995E-0D142E3D54A3</t>
  </si>
  <si>
    <t>CTE0082</t>
  </si>
  <si>
    <t>Albatros</t>
  </si>
  <si>
    <t>AM0007</t>
  </si>
  <si>
    <t>albatros</t>
  </si>
  <si>
    <t>academic_usr_albatros</t>
  </si>
  <si>
    <t>dBA2z7iBk7Tp</t>
  </si>
  <si>
    <t>NULL</t>
  </si>
  <si>
    <t>0001-887A9D2B-71DB-487E-9C37-9188B88D7B4B</t>
  </si>
  <si>
    <t>CTE0136</t>
  </si>
  <si>
    <t>Albert Einstein</t>
  </si>
  <si>
    <t>AM0033</t>
  </si>
  <si>
    <t>alberteinstein</t>
  </si>
  <si>
    <t>academic_usr_alberteinstein</t>
  </si>
  <si>
    <t>4V7CKiqmwnH6</t>
  </si>
  <si>
    <t>CTE0139</t>
  </si>
  <si>
    <t>Aula Virtual</t>
  </si>
  <si>
    <t>AM0034</t>
  </si>
  <si>
    <t>aulavirtual</t>
  </si>
  <si>
    <t>academic_usr_aulavirtual</t>
  </si>
  <si>
    <t>gu6ZRqVMxS9w</t>
  </si>
  <si>
    <t>CTE0116</t>
  </si>
  <si>
    <t>Bruner Taoma</t>
  </si>
  <si>
    <t>AM0026</t>
  </si>
  <si>
    <t>brunertaoma</t>
  </si>
  <si>
    <t>academic_usr_brunertaoma</t>
  </si>
  <si>
    <t>59vfU9F5q2iK</t>
  </si>
  <si>
    <t>CTE0083</t>
  </si>
  <si>
    <t>CCG</t>
  </si>
  <si>
    <t>AM0010</t>
  </si>
  <si>
    <t>ccg</t>
  </si>
  <si>
    <t>academic_usr_ccg</t>
  </si>
  <si>
    <t>6FsB79Y84zmK</t>
  </si>
  <si>
    <t>CTE0128</t>
  </si>
  <si>
    <t>Buena Tierra</t>
  </si>
  <si>
    <t>AM0027</t>
  </si>
  <si>
    <t>buenatierra</t>
  </si>
  <si>
    <t>buenatierra2</t>
  </si>
  <si>
    <t>academic_usr_buenatierra</t>
  </si>
  <si>
    <t>2!*NGr/T=Z3O</t>
  </si>
  <si>
    <t>[3.215.34.205\PRODUCTION_3,3327].</t>
  </si>
  <si>
    <t>0006-E3C4E2B2-CE1E-403B-8EF0-FA364FC7E920</t>
  </si>
  <si>
    <t>CTE0067</t>
  </si>
  <si>
    <t>CEJUM</t>
  </si>
  <si>
    <t>AM0019</t>
  </si>
  <si>
    <t>cejum</t>
  </si>
  <si>
    <t>cejum2</t>
  </si>
  <si>
    <t>academic_usr_cejum</t>
  </si>
  <si>
    <t>B8RB6GFqBQi2</t>
  </si>
  <si>
    <t>CTE0093</t>
  </si>
  <si>
    <t>CUI</t>
  </si>
  <si>
    <t>AM0006</t>
  </si>
  <si>
    <t>cui</t>
  </si>
  <si>
    <t>academic_usr_cui</t>
  </si>
  <si>
    <t>8r2AvGp2if29</t>
  </si>
  <si>
    <t>[3.215.34.205\PRODUCTION_4,3329].</t>
  </si>
  <si>
    <t>0008-61481345-F089-4863-8340-CB5DDB5E700D</t>
  </si>
  <si>
    <t>--------</t>
  </si>
  <si>
    <t>Cúrsame</t>
  </si>
  <si>
    <t>AM0032</t>
  </si>
  <si>
    <t>cursame</t>
  </si>
  <si>
    <t>academic_usr_cursame</t>
  </si>
  <si>
    <t>3Arfx27JZs3i</t>
  </si>
  <si>
    <t>CTE0075</t>
  </si>
  <si>
    <t>CUS XXI</t>
  </si>
  <si>
    <t>AM0020</t>
  </si>
  <si>
    <t>cus21</t>
  </si>
  <si>
    <t>academic_usr_cus21</t>
  </si>
  <si>
    <t>P8L94Nm7Hh56</t>
  </si>
  <si>
    <t>0010-58CE6AEA-ACA7-44D1-B446-3EED4F316413</t>
  </si>
  <si>
    <t>CTE0113</t>
  </si>
  <si>
    <t>ECCC</t>
  </si>
  <si>
    <t>AM0011</t>
  </si>
  <si>
    <t>eccc</t>
  </si>
  <si>
    <t>academic_usr_eccc</t>
  </si>
  <si>
    <t>Tn2T3o7i497N</t>
  </si>
  <si>
    <t>CTE0079</t>
  </si>
  <si>
    <t>ECI</t>
  </si>
  <si>
    <t>AM0003</t>
  </si>
  <si>
    <t>eci</t>
  </si>
  <si>
    <t>academic_usr_eci</t>
  </si>
  <si>
    <t>PAQ5QmVHfUSa</t>
  </si>
  <si>
    <t>0012-C5E86678-3CA6-4C81-A166-8651A55D6E5B</t>
  </si>
  <si>
    <t>Elementary</t>
  </si>
  <si>
    <t>elementary</t>
  </si>
  <si>
    <t>academic_usr_elementary</t>
  </si>
  <si>
    <t>65M3wEyNQV54</t>
  </si>
  <si>
    <t>0013-C5E86678-3CA4-4C81-A151-8651A5e86E5C</t>
  </si>
  <si>
    <t>CTE0110</t>
  </si>
  <si>
    <t>ENBA</t>
  </si>
  <si>
    <t>AM0001</t>
  </si>
  <si>
    <t>enba</t>
  </si>
  <si>
    <t>academic_usr_enba</t>
  </si>
  <si>
    <t>bVRtQt5SzwHq</t>
  </si>
  <si>
    <t>[3.215.34.205\MSSQLSERVER,3325].</t>
  </si>
  <si>
    <t>CTE0119</t>
  </si>
  <si>
    <t>Froggin</t>
  </si>
  <si>
    <t>AM0012</t>
  </si>
  <si>
    <t>frogginmetepec</t>
  </si>
  <si>
    <t>academic_usr_frogginmetepec</t>
  </si>
  <si>
    <t>8MtpB671BO34gHL</t>
  </si>
  <si>
    <t>0015-56F32CAF-0C39-4437-8DE5-7D61DBE5796C</t>
  </si>
  <si>
    <t>CTE0089</t>
  </si>
  <si>
    <t>Iberoamericano</t>
  </si>
  <si>
    <t>AM0013</t>
  </si>
  <si>
    <t>iberoamericano</t>
  </si>
  <si>
    <t>academic_usr_iberoamericano</t>
  </si>
  <si>
    <t>UhP8Q6HmsWZu</t>
  </si>
  <si>
    <t>0016-BF4102DC-1D79-4845-A1B3-6F09903C882A</t>
  </si>
  <si>
    <t>CTE0138</t>
  </si>
  <si>
    <t>IDCE</t>
  </si>
  <si>
    <t>AM0036</t>
  </si>
  <si>
    <t>idce</t>
  </si>
  <si>
    <t>academic_usr_idce</t>
  </si>
  <si>
    <t>jKD8iUhHSq4X</t>
  </si>
  <si>
    <t>0017-325AFAAE-3829-4B64-9C30-50372D7A8CE6</t>
  </si>
  <si>
    <t>CTE0048</t>
  </si>
  <si>
    <t>ISIMA</t>
  </si>
  <si>
    <t>AM0002</t>
  </si>
  <si>
    <t>isima</t>
  </si>
  <si>
    <t>isima2</t>
  </si>
  <si>
    <t>academic_usr_isima</t>
  </si>
  <si>
    <t>8W2oHA87mRr2</t>
  </si>
  <si>
    <t>0018-42642F81-09CB-42A8-A486-8C23D6036E1E</t>
  </si>
  <si>
    <t>CTE0117</t>
  </si>
  <si>
    <t>Mexico Nuevo</t>
  </si>
  <si>
    <t>AM0005</t>
  </si>
  <si>
    <t>mexiconuevo</t>
  </si>
  <si>
    <t>academic_usr_mexiconuevo</t>
  </si>
  <si>
    <t>sL8g495N23xG</t>
  </si>
  <si>
    <t>CTE0103</t>
  </si>
  <si>
    <t>Mission</t>
  </si>
  <si>
    <t>AM0014</t>
  </si>
  <si>
    <t>mission</t>
  </si>
  <si>
    <t>academic_usr_mission</t>
  </si>
  <si>
    <t>878U7zMt2e75</t>
  </si>
  <si>
    <t>CTE0124</t>
  </si>
  <si>
    <t>Universidad ORT</t>
  </si>
  <si>
    <t>AM0028</t>
  </si>
  <si>
    <t>ort</t>
  </si>
  <si>
    <t>academic_usr_ort</t>
  </si>
  <si>
    <t>WsS9482A22Vh</t>
  </si>
  <si>
    <t>[3.215.34.205\PRODUCTION_2,3326].</t>
  </si>
  <si>
    <t>0021-C2CBFF2C-F8E6-43F1-AE3D-E98F46AED8FF</t>
  </si>
  <si>
    <t>Patricio Sanz</t>
  </si>
  <si>
    <t>AM0025</t>
  </si>
  <si>
    <t>patriciosanz</t>
  </si>
  <si>
    <t>academic_usr_patriciosanz</t>
  </si>
  <si>
    <t>n24A3gF8t74R</t>
  </si>
  <si>
    <t>CTE0121</t>
  </si>
  <si>
    <t>Prepárate México</t>
  </si>
  <si>
    <t>AM0023</t>
  </si>
  <si>
    <t>preparatemexico</t>
  </si>
  <si>
    <t>academic_usr_preparatemexico</t>
  </si>
  <si>
    <t>8PBrNqy6o757</t>
  </si>
  <si>
    <t>CTE0142</t>
  </si>
  <si>
    <t>Rec Música</t>
  </si>
  <si>
    <t>AM0037</t>
  </si>
  <si>
    <t>recmusica</t>
  </si>
  <si>
    <t>academic_usr_recmusica</t>
  </si>
  <si>
    <t>Tq4AkB5ttXdf</t>
  </si>
  <si>
    <t>0024-28831070-8580-43E3-9AAC-D418904F6CFA</t>
  </si>
  <si>
    <t>CTE0086</t>
  </si>
  <si>
    <t>Redmond</t>
  </si>
  <si>
    <t>AM0015</t>
  </si>
  <si>
    <t>redmond</t>
  </si>
  <si>
    <t>academic_usr_redmond</t>
  </si>
  <si>
    <t>YLCwKC8KdQ47</t>
  </si>
  <si>
    <t>CTE0101</t>
  </si>
  <si>
    <t>San Patricio</t>
  </si>
  <si>
    <t>AM0017</t>
  </si>
  <si>
    <t>sanpatricio</t>
  </si>
  <si>
    <t>sanpatricio2</t>
  </si>
  <si>
    <t>academic_usr_sanpatricio</t>
  </si>
  <si>
    <t>g7Db7j3WL4zh</t>
  </si>
  <si>
    <t>0026-6ECED8C7-DA72-40CE-8F79-8F3F250A7D24</t>
  </si>
  <si>
    <t>CTE0114</t>
  </si>
  <si>
    <t>Study &amp; Work</t>
  </si>
  <si>
    <t>AM0022</t>
  </si>
  <si>
    <t>studyandwork</t>
  </si>
  <si>
    <t>academic_usr_studyandwork</t>
  </si>
  <si>
    <t>PrC7Kr5wcDR7</t>
  </si>
  <si>
    <t>CTE0097</t>
  </si>
  <si>
    <t>Terranova</t>
  </si>
  <si>
    <t>AM0018</t>
  </si>
  <si>
    <t>terranova</t>
  </si>
  <si>
    <t>academic_usr_terranova</t>
  </si>
  <si>
    <t>xb8Qcs95977P</t>
  </si>
  <si>
    <t>CTE0133</t>
  </si>
  <si>
    <t>TOT</t>
  </si>
  <si>
    <t>AM0038</t>
  </si>
  <si>
    <t>tot</t>
  </si>
  <si>
    <t>academic_usr_tot</t>
  </si>
  <si>
    <t>AcnQ83NUk39M</t>
  </si>
  <si>
    <t>0029-E2637F3E-A293-4D0D-ACFA-F9DEBF1A0EAC</t>
  </si>
  <si>
    <t>Trainee 1</t>
  </si>
  <si>
    <t>trainee1</t>
  </si>
  <si>
    <t>academic_usr_trainee1</t>
  </si>
  <si>
    <t>2f3j8oy7o76J</t>
  </si>
  <si>
    <t>CTE0131</t>
  </si>
  <si>
    <t>UCAD</t>
  </si>
  <si>
    <t>AM0030</t>
  </si>
  <si>
    <t>ucad</t>
  </si>
  <si>
    <t>academic_usr_ucad</t>
  </si>
  <si>
    <t>bh739GWaDNCi</t>
  </si>
  <si>
    <t>CTE0135</t>
  </si>
  <si>
    <t>UCSLP</t>
  </si>
  <si>
    <t>AM0039</t>
  </si>
  <si>
    <t>ucslp</t>
  </si>
  <si>
    <t>academic_usr_ucslp</t>
  </si>
  <si>
    <t>fuHY8cE9a7oq</t>
  </si>
  <si>
    <t>CTE0129</t>
  </si>
  <si>
    <t>U del Prado</t>
  </si>
  <si>
    <t>AM0029</t>
  </si>
  <si>
    <t>udelprado</t>
  </si>
  <si>
    <t>academic_usr_udelprado</t>
  </si>
  <si>
    <t>jr8eRNGCk47q</t>
  </si>
  <si>
    <t>0033-4386228D-D451-4990-91F3-D540E15C1257</t>
  </si>
  <si>
    <t>UNIPRE</t>
  </si>
  <si>
    <t>AM0021</t>
  </si>
  <si>
    <t>unipre</t>
  </si>
  <si>
    <t>academic_usr_unipre</t>
  </si>
  <si>
    <t>Byg5549wy6gq</t>
  </si>
  <si>
    <t>0034-EA5854FD-4956-4E3A-8EB4-9E7BBD60C0DC</t>
  </si>
  <si>
    <t>University</t>
  </si>
  <si>
    <t>university</t>
  </si>
  <si>
    <t>academic_usr_university</t>
  </si>
  <si>
    <t>T9ceciZgQWbA</t>
  </si>
  <si>
    <t>CTE0122</t>
  </si>
  <si>
    <t>UNT</t>
  </si>
  <si>
    <t>AM0024</t>
  </si>
  <si>
    <t>unt</t>
  </si>
  <si>
    <t>academic_usr_unt</t>
  </si>
  <si>
    <t>ayT7mVUa7wj3</t>
  </si>
  <si>
    <t>0036-44DDCC83-1322-4372-A592-FB62856BBC47</t>
  </si>
  <si>
    <t>CTE0091</t>
  </si>
  <si>
    <t>Rivendell</t>
  </si>
  <si>
    <t>AM0016</t>
  </si>
  <si>
    <t>rivendell</t>
  </si>
  <si>
    <t>academic_usr_rivendell</t>
  </si>
  <si>
    <t>e2AacYqQrxt9</t>
  </si>
  <si>
    <t>CTE0143</t>
  </si>
  <si>
    <t>Colegio Georges Lemaitre</t>
  </si>
  <si>
    <t>AM0035</t>
  </si>
  <si>
    <t>cgl</t>
  </si>
  <si>
    <t>academic_usr_cgl</t>
  </si>
  <si>
    <t>3YD2P3h3VwJ8</t>
  </si>
  <si>
    <t>CTE0146</t>
  </si>
  <si>
    <t>IDEES</t>
  </si>
  <si>
    <t>idees</t>
  </si>
  <si>
    <t>academic_usr_idees</t>
  </si>
  <si>
    <t>2Dk5qFusNJS4</t>
  </si>
  <si>
    <t>CTE0148</t>
  </si>
  <si>
    <t>Liga Olmeca</t>
  </si>
  <si>
    <t>ligaolmeca</t>
  </si>
  <si>
    <t>academic_usr_ligaolmeca</t>
  </si>
  <si>
    <t>B755quRV3PmK</t>
  </si>
  <si>
    <t>Escuela de Enfermería OCA</t>
  </si>
  <si>
    <t>oca</t>
  </si>
  <si>
    <t>academic_usr_oca</t>
  </si>
  <si>
    <t>3872w8XMvwGS</t>
  </si>
  <si>
    <t>Club América</t>
  </si>
  <si>
    <t>clubamerica</t>
  </si>
  <si>
    <t>academic_usr_clubamerica</t>
  </si>
  <si>
    <t>68p4ddbm66tU</t>
  </si>
  <si>
    <t>0042-DEC8CE27-8ECF-4ABE-B3FC-1953895000AA</t>
  </si>
  <si>
    <t>Círculo Mexicano de Integración Educativa S.C.</t>
  </si>
  <si>
    <t>cemie</t>
  </si>
  <si>
    <t>academic_usr_cemie</t>
  </si>
  <si>
    <t>457hX4gkhV3P</t>
  </si>
  <si>
    <t>0043-B680EF58-9781-4DC5-9C91-5971DD6023CB</t>
  </si>
  <si>
    <t>CEUNICO</t>
  </si>
  <si>
    <t>ceunico</t>
  </si>
  <si>
    <t>academic_usr_ceunico</t>
  </si>
  <si>
    <t>Fd38eKYNG48c</t>
  </si>
  <si>
    <t>0044-627C90FD-D809-49DD-B65D-173FD6CEBB7F</t>
  </si>
  <si>
    <t>TolucaFC</t>
  </si>
  <si>
    <t>tolucafc</t>
  </si>
  <si>
    <t>academic_usr_tolucafc</t>
  </si>
  <si>
    <t>wS4z5769i987</t>
  </si>
  <si>
    <t>0045-ECCA6BF4-5AED-4035-84CE-818C3D81610E</t>
  </si>
  <si>
    <t>----</t>
  </si>
  <si>
    <t>Nuevo cliente</t>
  </si>
  <si>
    <t>BANvoCte</t>
  </si>
  <si>
    <t>BANuevoCliente</t>
  </si>
  <si>
    <t>sa</t>
  </si>
  <si>
    <t>3yNXov3et6eT</t>
  </si>
  <si>
    <t>Access Academy</t>
  </si>
  <si>
    <t>accessacademy</t>
  </si>
  <si>
    <t>academic_usr_accessacademy</t>
  </si>
  <si>
    <t>v5w3v8j3yqLp</t>
  </si>
  <si>
    <t>Instituto Educativo Panamericano</t>
  </si>
  <si>
    <t>iep</t>
  </si>
  <si>
    <t>academic_usr_iep</t>
  </si>
  <si>
    <t>O2NKsIZKOOP8</t>
  </si>
  <si>
    <t>0047-2E113808-DC29-4D4E-BE71-1C0520D6D4BA</t>
  </si>
  <si>
    <t>Instituto 50+</t>
  </si>
  <si>
    <t>instituto50</t>
  </si>
  <si>
    <t>academic_usr_instituto50</t>
  </si>
  <si>
    <t>3Bs8m86Uc7Ug</t>
  </si>
  <si>
    <t>Academic LAB</t>
  </si>
  <si>
    <t>academiclab</t>
  </si>
  <si>
    <t>academic_usr_academiclab</t>
  </si>
  <si>
    <t>XZwaKK56FXZY</t>
  </si>
  <si>
    <t>Colegio Escoces</t>
  </si>
  <si>
    <t>colegioescoces</t>
  </si>
  <si>
    <t>academic_usr_colegioescoces</t>
  </si>
  <si>
    <t>vj20K8KTwcc8</t>
  </si>
  <si>
    <t>0050-34229EBD-54E6-482D-B58B-92C4405607B0</t>
  </si>
  <si>
    <t>Escuela de Universidad Central de Querétaro</t>
  </si>
  <si>
    <t>uniceq</t>
  </si>
  <si>
    <t>academic_usr_uniceq</t>
  </si>
  <si>
    <t>FU1NBa7s8hvE</t>
  </si>
  <si>
    <t>0051-E506BC70-4F51-4450-A575-35509C4CDF46</t>
  </si>
  <si>
    <t>Ambiente de pruebas</t>
  </si>
  <si>
    <t>BIT Technologies</t>
  </si>
  <si>
    <t>test2</t>
  </si>
  <si>
    <t>academic_usr_test</t>
  </si>
  <si>
    <t>RRhj0818Y8D0</t>
  </si>
  <si>
    <t>0052-B32CA37F-CDDD-4CB9-9102-D065354C4A87</t>
  </si>
  <si>
    <t>Colegio Columbia</t>
  </si>
  <si>
    <t>columbia</t>
  </si>
  <si>
    <t>academic_usr_columbia</t>
  </si>
  <si>
    <t>0Xwghh4FRq6m</t>
  </si>
  <si>
    <t>Colegio Americano de Puebla</t>
  </si>
  <si>
    <t>cap</t>
  </si>
  <si>
    <t>academic_usr_cap</t>
  </si>
  <si>
    <t>ajTXqmD63cOP</t>
  </si>
  <si>
    <t>The Swissland International Institute</t>
  </si>
  <si>
    <t>swisscollege</t>
  </si>
  <si>
    <t>academic_usr_swisscollege</t>
  </si>
  <si>
    <t>cwcs65XEBRZj</t>
  </si>
  <si>
    <t>0055-9FAA2301-166A-4CF9-AEBF-7E44C868F782</t>
  </si>
  <si>
    <t>Colegio Or Hajayim Jacobo Y Yosi Cojab</t>
  </si>
  <si>
    <t>orhajayim</t>
  </si>
  <si>
    <t>academic_usr_orhajayim</t>
  </si>
  <si>
    <t>4Ea54DmXUaZs</t>
  </si>
  <si>
    <t>Escuela Internacional del Derecho y Jurisprudencia</t>
  </si>
  <si>
    <t>eidj</t>
  </si>
  <si>
    <t>academic_usr_eidj</t>
  </si>
  <si>
    <t>mNmEKgPhFNvY</t>
  </si>
  <si>
    <t>Centro de Diseño de Modas</t>
  </si>
  <si>
    <t>cdm</t>
  </si>
  <si>
    <t>academic_usr_cdm</t>
  </si>
  <si>
    <t>Ec0D6FP28K67</t>
  </si>
  <si>
    <t>0060-96DD6E58-A3EC-45B2-9438-D6462C2FBF90</t>
  </si>
  <si>
    <t>Colegio Imagen Pública</t>
  </si>
  <si>
    <t>imagenpublica</t>
  </si>
  <si>
    <t>academic_usr_imagenpublica</t>
  </si>
  <si>
    <t>7KvYYI872w25</t>
  </si>
  <si>
    <t>0061-2514C06D-0E74-426C-997F-6F55998336E6</t>
  </si>
  <si>
    <t>Centro Universitario Inglés</t>
  </si>
  <si>
    <t>cuingles</t>
  </si>
  <si>
    <t>academic_usr_cuingles</t>
  </si>
  <si>
    <t>mTF79BBEFU48</t>
  </si>
  <si>
    <t>0062-2EC29FD8-C760-4465-964E-CE0C906E149B</t>
  </si>
  <si>
    <t>Instituto Universitario Cuitlahuac</t>
  </si>
  <si>
    <t>Instituto Universitario Cuitlahuac, AC</t>
  </si>
  <si>
    <t>iucui</t>
  </si>
  <si>
    <t>academic_usr_iucui</t>
  </si>
  <si>
    <t>Z3E6FBK9c7qD</t>
  </si>
  <si>
    <t>0063-03FDE936-D89D-45F5-BD18-DFEDBFA79D41</t>
  </si>
  <si>
    <t>Colegio Lemon Seed</t>
  </si>
  <si>
    <t>lemonseed</t>
  </si>
  <si>
    <t>academic_usr_lemonseed</t>
  </si>
  <si>
    <t>3hYBw0FNEP5O</t>
  </si>
  <si>
    <t>universidadriviera</t>
  </si>
  <si>
    <t>academic_usr_universidadriviera</t>
  </si>
  <si>
    <t>aPv2BvKsZ9Dv</t>
  </si>
  <si>
    <t>0065-4B05784E-758E-43FD-99D0-FFD298B5B169</t>
  </si>
  <si>
    <t>ICENL UNT</t>
  </si>
  <si>
    <t>icenl</t>
  </si>
  <si>
    <t>academic_usr_icenl</t>
  </si>
  <si>
    <t>EXBq1NEvcYmq</t>
  </si>
  <si>
    <t>Índigo Institute S.C.</t>
  </si>
  <si>
    <t>indigoinstitute</t>
  </si>
  <si>
    <t>academic_usr_indigoinstitute</t>
  </si>
  <si>
    <t>N0TRwDqT1Kjw</t>
  </si>
  <si>
    <t>0069-B3F77EEF-867F-4E33-B6A5-8B7A03F30857</t>
  </si>
  <si>
    <t>Grupo CETEC</t>
  </si>
  <si>
    <t>cetec</t>
  </si>
  <si>
    <t>academic_usr_cetec</t>
  </si>
  <si>
    <t>0ahPwc7m2cvI</t>
  </si>
  <si>
    <t>Centro Educacional Tlaquepaque</t>
  </si>
  <si>
    <t>cetac</t>
  </si>
  <si>
    <t>academic_usr_cetac</t>
  </si>
  <si>
    <t>jcv28NEwvIgU</t>
  </si>
  <si>
    <t>0071-F61CEFA5-5E2A-493A-AE20-F18346AB7C6C</t>
  </si>
  <si>
    <t>Universidad Interglobal</t>
  </si>
  <si>
    <t>interglobal</t>
  </si>
  <si>
    <t>academic_usr_interglobal</t>
  </si>
  <si>
    <t>PPPN5v1q7cjB</t>
  </si>
  <si>
    <t>[3.215.34.205\PRODUCTION_6,3333].</t>
  </si>
  <si>
    <t>0073-78D9AFDE-7423-43FB-A38A-D0FDF5BA5207</t>
  </si>
  <si>
    <t>Centro Universitario Aztlán</t>
  </si>
  <si>
    <t>uamorelos</t>
  </si>
  <si>
    <t>ua</t>
  </si>
  <si>
    <t>academic_usr_ua</t>
  </si>
  <si>
    <t>Z0w0Xj5cLDYT</t>
  </si>
  <si>
    <t>0075-0328C8B1-B100-44FA-B20B-7AE1684496CF</t>
  </si>
  <si>
    <t>Instituto de Posgrado en Derecho</t>
  </si>
  <si>
    <t>ipd</t>
  </si>
  <si>
    <t>academic_usr_ipd</t>
  </si>
  <si>
    <t>7hLBvm1FB7Ks</t>
  </si>
  <si>
    <t>Instituto Cultural Canadiense SC</t>
  </si>
  <si>
    <t>icc</t>
  </si>
  <si>
    <t>academic_usr_icc</t>
  </si>
  <si>
    <t>q4EKDKN6aNK5</t>
  </si>
  <si>
    <t>UNIHCA - Hotel &amp; Culinary University of the Americas</t>
  </si>
  <si>
    <t>ESTUDIOS SUPERIORES EN HOTELERÍA Y GASTRONOMÍA S.A. DE C.V.</t>
  </si>
  <si>
    <t>unihca</t>
  </si>
  <si>
    <t>academic_usr_unihca</t>
  </si>
  <si>
    <t>8R959jEcXZ5h</t>
  </si>
  <si>
    <t>Universidad del emprendimiento</t>
  </si>
  <si>
    <t>unide</t>
  </si>
  <si>
    <t>academic_usr_unide</t>
  </si>
  <si>
    <t>8sjL9X76j8OD</t>
  </si>
  <si>
    <t>0079-C9C4177D-F171-4778-A91A-629147DD16F3</t>
  </si>
  <si>
    <t>Preparación Politécnico</t>
  </si>
  <si>
    <t>Preparación Politécnico S.A. DE C.V.</t>
  </si>
  <si>
    <t>preparacionipn</t>
  </si>
  <si>
    <t>academic_usr_preparacionipn</t>
  </si>
  <si>
    <t>5mBZF6m25N5P</t>
  </si>
  <si>
    <t>Demo GT University</t>
  </si>
  <si>
    <t>universitygt</t>
  </si>
  <si>
    <t>academic_usr_universitygt</t>
  </si>
  <si>
    <t>LB1TTDT8LgIE</t>
  </si>
  <si>
    <t>Demo GT College</t>
  </si>
  <si>
    <t>collegegt</t>
  </si>
  <si>
    <t>academic_usr_collegegt</t>
  </si>
  <si>
    <t>0mm5Tgc5P2Ns</t>
  </si>
  <si>
    <t>UNIVERSIDAD ANTROPOLÓGICA DE GUADALAJARA</t>
  </si>
  <si>
    <t>unag</t>
  </si>
  <si>
    <t>academic_usr_unag</t>
  </si>
  <si>
    <t>1j5KDFEh27O6</t>
  </si>
  <si>
    <t>0083-D457C56E-E497-4B5D-B86C-52D09CAD58E4</t>
  </si>
  <si>
    <t>CENTRO CULTURAL DE MÚSICA Y ARTES</t>
  </si>
  <si>
    <t>CENTRO CULTURAL DE MÚSICA Y ARTES S.C.</t>
  </si>
  <si>
    <t>cam</t>
  </si>
  <si>
    <t>academic_usr_cam</t>
  </si>
  <si>
    <t>h8RTmv39mhwE</t>
  </si>
  <si>
    <t>uacaribe</t>
  </si>
  <si>
    <t>academic_usr_uacaribe</t>
  </si>
  <si>
    <t>TvqqwRjj07DX</t>
  </si>
  <si>
    <t>0085-94C4FE24-3F68-4BD7-AA62-599699206234</t>
  </si>
  <si>
    <t>Instituto Ovalle Monday</t>
  </si>
  <si>
    <t>ovallemonday</t>
  </si>
  <si>
    <t>academic_usr_ovallemonday</t>
  </si>
  <si>
    <t>4D0OPN2OU3sR</t>
  </si>
  <si>
    <t>0086-5F0E5162-F8B6-4BC3-ABF5-B0B9CDBCF329</t>
  </si>
  <si>
    <t>Universidad de Celaya</t>
  </si>
  <si>
    <t>udec</t>
  </si>
  <si>
    <t>academic_usr_udec</t>
  </si>
  <si>
    <t>ghZ5BcqmBXhO</t>
  </si>
  <si>
    <t>Aliat Universidades</t>
  </si>
  <si>
    <t>aliat</t>
  </si>
  <si>
    <t>academic_usr_aliat</t>
  </si>
  <si>
    <t>92TwLKEZYNX3</t>
  </si>
  <si>
    <t>Colegio San Gabriel Cusco</t>
  </si>
  <si>
    <t>sangabrielcusco</t>
  </si>
  <si>
    <t>academic_usr_sangabrielcusco</t>
  </si>
  <si>
    <t>DKqD83a6DIE3</t>
  </si>
  <si>
    <t>Cruz Azul FC</t>
  </si>
  <si>
    <t>cruzazulfc</t>
  </si>
  <si>
    <t>academic_usr_cruzazulfc</t>
  </si>
  <si>
    <t>DLI84BR1Eq8c</t>
  </si>
  <si>
    <t>0092-745255A1-9E51-4605-A849-F26CF37EB203</t>
  </si>
  <si>
    <t>Instituto Cultural Paideia</t>
  </si>
  <si>
    <t>paideia</t>
  </si>
  <si>
    <t>academic_usr_paideia</t>
  </si>
  <si>
    <t>NYZ03ga07OLI</t>
  </si>
  <si>
    <t>0093-C61D4D36-FABB-4CF4-A5EC-295C487065B1</t>
  </si>
  <si>
    <t>Centro Educativo Jean Piaget</t>
  </si>
  <si>
    <t>jpiaget</t>
  </si>
  <si>
    <t>academic_usr_jpiaget</t>
  </si>
  <si>
    <t>m9a52NZIsavm</t>
  </si>
  <si>
    <t>0095-4E782152-E8E5-4A06-8104-C8804D1737F1</t>
  </si>
  <si>
    <t>Universidad Hebraica</t>
  </si>
  <si>
    <t>uhebraica</t>
  </si>
  <si>
    <t>academic_usr_uhebraica</t>
  </si>
  <si>
    <t>cRKwZ64650js</t>
  </si>
  <si>
    <t>0096-ED4B9E05-AE46-4297-85C4-2F613108B177</t>
  </si>
  <si>
    <t>Centro Psicopedagógico Aprende Monterrey</t>
  </si>
  <si>
    <t>ifocuseducacion</t>
  </si>
  <si>
    <t>academic_usr_ifocuseducacion</t>
  </si>
  <si>
    <t>s1mN7v4UcwD5</t>
  </si>
  <si>
    <t>Preparatoria INBES</t>
  </si>
  <si>
    <t>inbes</t>
  </si>
  <si>
    <t>academic_usr_inbes</t>
  </si>
  <si>
    <t>7aZvwXYTwNvI</t>
  </si>
  <si>
    <t>EBC</t>
  </si>
  <si>
    <t>ebc</t>
  </si>
  <si>
    <t>academic_usr_ebc</t>
  </si>
  <si>
    <t>KPcRhsOqOR7N</t>
  </si>
  <si>
    <t>0099-17102EA3-2E92-42E2-9F01-E3751EE90C8B</t>
  </si>
  <si>
    <t>Universidad Mondragón</t>
  </si>
  <si>
    <t>umx</t>
  </si>
  <si>
    <t>academic_usr_umx</t>
  </si>
  <si>
    <t>NTq2N5Xh1UET</t>
  </si>
  <si>
    <t>0100-42097021-8122-4587-A53E-729465AA3C42</t>
  </si>
  <si>
    <t>Instituto Tecnológico de Estudios Superiores de Monterrey</t>
  </si>
  <si>
    <t>itesm</t>
  </si>
  <si>
    <t>academic_usr_itesm</t>
  </si>
  <si>
    <t>78ThgUh4DUmF</t>
  </si>
  <si>
    <t>Centro de Cultura Casa Lamm</t>
  </si>
  <si>
    <t>casalamm</t>
  </si>
  <si>
    <t>academic_usr_casalamm</t>
  </si>
  <si>
    <t>7mPgRhKNsZcD</t>
  </si>
  <si>
    <t>Medika Capacitación</t>
  </si>
  <si>
    <t>medika</t>
  </si>
  <si>
    <t>academic_usr_medika</t>
  </si>
  <si>
    <t>7DTv2D3UsYR3</t>
  </si>
  <si>
    <t>Instituto de Administración Pública del Estado de Puebla A.C.</t>
  </si>
  <si>
    <t>iappuebla</t>
  </si>
  <si>
    <t>academic_usr_iappuebla</t>
  </si>
  <si>
    <t>jIELqcIhgmj0</t>
  </si>
  <si>
    <t>0104-4FA0FACA-5D4D-4140-B260-3D9F4000C910</t>
  </si>
  <si>
    <t>Instituto Salus</t>
  </si>
  <si>
    <t>institutosalus</t>
  </si>
  <si>
    <t>academic_usr_institutosalus</t>
  </si>
  <si>
    <t>K8YN54mTqgNU</t>
  </si>
  <si>
    <t>In English</t>
  </si>
  <si>
    <t>inenglish</t>
  </si>
  <si>
    <t>academic_usr_inenglish</t>
  </si>
  <si>
    <t>FLmK7T3BU1ag</t>
  </si>
  <si>
    <t>Siglo XXI POS</t>
  </si>
  <si>
    <t>cus21pos</t>
  </si>
  <si>
    <t>academic_usr_cus21pos</t>
  </si>
  <si>
    <t>YgwLj2T7BYRO</t>
  </si>
  <si>
    <t>Colegio Forger</t>
  </si>
  <si>
    <t>forger</t>
  </si>
  <si>
    <t>academic_usr_forger</t>
  </si>
  <si>
    <t>DD6aPOjcmR0E</t>
  </si>
  <si>
    <t>Universidad UNIPLEA</t>
  </si>
  <si>
    <t>uniplea</t>
  </si>
  <si>
    <t>academic_usr_uniplea</t>
  </si>
  <si>
    <t>IaPKaq5U1BvZ</t>
  </si>
  <si>
    <t>0109-0DD3B499-B9E3-43BC-8FB3-EB9416F64FC9</t>
  </si>
  <si>
    <t>Instituto Vertin</t>
  </si>
  <si>
    <t>institutovertin</t>
  </si>
  <si>
    <t>academic_usr_institutovertin</t>
  </si>
  <si>
    <t>KL4Oh5O4sDPq</t>
  </si>
  <si>
    <t>Colegio Inglés</t>
  </si>
  <si>
    <t>colegioingles</t>
  </si>
  <si>
    <t>academic_usr_colegioingles</t>
  </si>
  <si>
    <t>FD6cPX98KKR5</t>
  </si>
  <si>
    <t>0111-601431A7-7BCF-4EE4-A426-A49B06C6D9B6</t>
  </si>
  <si>
    <t>The make up center</t>
  </si>
  <si>
    <t>themakeupc</t>
  </si>
  <si>
    <t>academic_usr_themakeupc</t>
  </si>
  <si>
    <t>UaR0DmR0RD33</t>
  </si>
  <si>
    <t>Instituto Inmagusa</t>
  </si>
  <si>
    <t>institutoinmagusa</t>
  </si>
  <si>
    <t>academic_usr_institutoinmagusa</t>
  </si>
  <si>
    <t>jFL3s9jFR24w</t>
  </si>
  <si>
    <t>0113-4211D2C3-65C5-4CAC-951D-62FF559908C5</t>
  </si>
  <si>
    <t>Colegio Belfort</t>
  </si>
  <si>
    <t>colegiobelfort</t>
  </si>
  <si>
    <t>academic_usr_colegiobelfort</t>
  </si>
  <si>
    <t>vBhPFY9q0Z4N</t>
  </si>
  <si>
    <t>0114-9FAD8329-EEE1-40EA-B0B0-20CB777BF1D7</t>
  </si>
  <si>
    <t>Universidad Riviera Beta</t>
  </si>
  <si>
    <t>universidadriviera_beta</t>
  </si>
  <si>
    <t>academic_usr_universidadriviera_beta</t>
  </si>
  <si>
    <t>FOEs73wYjwOq</t>
  </si>
  <si>
    <t>Grupo Colegio Mexiquense</t>
  </si>
  <si>
    <t>gcm</t>
  </si>
  <si>
    <t>academic_usr_gcm</t>
  </si>
  <si>
    <t>KEXaL4D8qY6F</t>
  </si>
  <si>
    <t>[3.215.34.205\PRODUCTION_9,3336].</t>
  </si>
  <si>
    <t>0116-1F33C135-0EF6-4536-B8F5-F31EBFBF2057</t>
  </si>
  <si>
    <t>Colegio Terranova</t>
  </si>
  <si>
    <t>cterranova</t>
  </si>
  <si>
    <t>academic_usr_cterranova</t>
  </si>
  <si>
    <t>RcIqaKBhZImj</t>
  </si>
  <si>
    <t>0118-FCE6E96A-A9C1-48C8-88C2-E3AB76A5A4FF</t>
  </si>
  <si>
    <t>Universidad Univer Millenium</t>
  </si>
  <si>
    <t>univermilenium</t>
  </si>
  <si>
    <t>academic_usr_univermilenium</t>
  </si>
  <si>
    <t>qamYDD6T6c0s</t>
  </si>
  <si>
    <t>[3.215.34.205\PRODUCTION_10,3337].</t>
  </si>
  <si>
    <t>0119-995B2089-97FA-4379-BCB3-D98AE2282BE0</t>
  </si>
  <si>
    <t>Asociación Mexicana de Terapia de Pareja</t>
  </si>
  <si>
    <t>ametep</t>
  </si>
  <si>
    <t>academic_usr_ametep</t>
  </si>
  <si>
    <t>PaND36YDhcc1</t>
  </si>
  <si>
    <t>Semper Altius</t>
  </si>
  <si>
    <t>semperaltius</t>
  </si>
  <si>
    <t>academic_usr_semperaltius</t>
  </si>
  <si>
    <t>X3RBI5ga0vDa</t>
  </si>
  <si>
    <t>Compañía de Danza Plavana</t>
  </si>
  <si>
    <t>plavana</t>
  </si>
  <si>
    <t>academic_usr_plavana</t>
  </si>
  <si>
    <t>IRmBcDNXqR6Y</t>
  </si>
  <si>
    <t>Instituto Cumbres</t>
  </si>
  <si>
    <t>cumbres</t>
  </si>
  <si>
    <t>academic_usr_cumbres</t>
  </si>
  <si>
    <t>ZmO1Z25074gg</t>
  </si>
  <si>
    <t>Instituto Albert Einstein</t>
  </si>
  <si>
    <t>institutoae</t>
  </si>
  <si>
    <t>academic_usr_institutoae</t>
  </si>
  <si>
    <t>Iv7ON6E2UvO2</t>
  </si>
  <si>
    <t>Instituto Brima</t>
  </si>
  <si>
    <t>brima</t>
  </si>
  <si>
    <t>academic_usr_brima</t>
  </si>
  <si>
    <t>2gKjhq56hEg9</t>
  </si>
  <si>
    <t>0126-8757B54F-A5DA-443D-B554-68BCE34C4BC2</t>
  </si>
  <si>
    <t>Universidad Virtual Educanet de México</t>
  </si>
  <si>
    <t>educanet</t>
  </si>
  <si>
    <t>academic_usr_educanet</t>
  </si>
  <si>
    <t>vmBcOEjUEjgc</t>
  </si>
  <si>
    <t>Universidad IUS Semper</t>
  </si>
  <si>
    <t>iussemper</t>
  </si>
  <si>
    <t>academic_usr_iussemper</t>
  </si>
  <si>
    <t>25KB0Lqw816N</t>
  </si>
  <si>
    <t>0128-9E87C3F6-07DD-497B-9F92-A80A982199E4</t>
  </si>
  <si>
    <t>Centro de Capacitación Gastronómica de Jalisco (Cake and Bake)</t>
  </si>
  <si>
    <t>cakeandbake</t>
  </si>
  <si>
    <t>academic_usr_cakeandbake</t>
  </si>
  <si>
    <t>NNZ8m32UK8w9</t>
  </si>
  <si>
    <t>Universidad Continental Fitech</t>
  </si>
  <si>
    <t>fitech</t>
  </si>
  <si>
    <t>academic_usr_fitech</t>
  </si>
  <si>
    <t>qTg6ILL3LDBc</t>
  </si>
  <si>
    <t>0130-2FA003F7-FFC1-483D-AD36-4E091D96AD87</t>
  </si>
  <si>
    <t>Universidad Continental Ces</t>
  </si>
  <si>
    <t>ces</t>
  </si>
  <si>
    <t>academic_usr_ces</t>
  </si>
  <si>
    <t>K0Bv5c67UXYh</t>
  </si>
  <si>
    <t>Colegio Americano de Tapachula A.C</t>
  </si>
  <si>
    <t>cat</t>
  </si>
  <si>
    <t>academic_usr_cat</t>
  </si>
  <si>
    <t>8ZE5BDc2YLLI</t>
  </si>
  <si>
    <t>Instituto México de Toluca</t>
  </si>
  <si>
    <t>imt</t>
  </si>
  <si>
    <t>academic_usr_imt</t>
  </si>
  <si>
    <t>4qaRgDKaq94Y</t>
  </si>
  <si>
    <t>Learning Project Institute</t>
  </si>
  <si>
    <t>learningproject</t>
  </si>
  <si>
    <t>academic_usr_learningproject</t>
  </si>
  <si>
    <t>9ZIBPBOgI6Th</t>
  </si>
  <si>
    <t>0134-5E6407ED-C4DE-4B0D-A7D3-1EF428118650</t>
  </si>
  <si>
    <t>Colegio Terra</t>
  </si>
  <si>
    <t>colegioterra</t>
  </si>
  <si>
    <t>academic_usr_colegioterra</t>
  </si>
  <si>
    <t>v69cwg8P4h8O</t>
  </si>
  <si>
    <t>Colegio Van Gogh</t>
  </si>
  <si>
    <t>colegiovangogh</t>
  </si>
  <si>
    <t>academic_usr_colegiovangogh</t>
  </si>
  <si>
    <t>g0Dm3ah1gXcX</t>
  </si>
  <si>
    <t>Escuela de rock</t>
  </si>
  <si>
    <t>rockescool</t>
  </si>
  <si>
    <t>academic_usr_rockescool</t>
  </si>
  <si>
    <t>2FqBBIIREg4O</t>
  </si>
  <si>
    <t>AVSS Flight Center</t>
  </si>
  <si>
    <t>avssflightcenter</t>
  </si>
  <si>
    <t>academic_usr_avssflightcenter</t>
  </si>
  <si>
    <t>Bh4mRD2Pw1F7</t>
  </si>
  <si>
    <t>0139-C52D8540-5BC3-48F1-905D-F4FCD0235B2D</t>
  </si>
  <si>
    <t>Los Olivos College</t>
  </si>
  <si>
    <t>losolivoscollege</t>
  </si>
  <si>
    <t>academic_usr_losolivoscollege</t>
  </si>
  <si>
    <t>5K7FXX343ga0</t>
  </si>
  <si>
    <t>Colegio de Líderes Fundación Miguel Ángel Cornejo</t>
  </si>
  <si>
    <t>cornejo</t>
  </si>
  <si>
    <t>academic_usr_cornejo</t>
  </si>
  <si>
    <t>v7sI04OOaKEK</t>
  </si>
  <si>
    <t>Pumas zacatecas</t>
  </si>
  <si>
    <t>pumaszacatecas</t>
  </si>
  <si>
    <t>academic_usr_pumaszacatecas</t>
  </si>
  <si>
    <t>7PjZmqvUZ98g</t>
  </si>
  <si>
    <t>Centro de Capacitación y Enseñanza Pre Hospitalaria de Occidente S.C.</t>
  </si>
  <si>
    <t>ccpo</t>
  </si>
  <si>
    <t>academic_usr_ccpo</t>
  </si>
  <si>
    <t>PaaBPqIPXcUa</t>
  </si>
  <si>
    <t>Universidad Hartmann A.C.</t>
  </si>
  <si>
    <t>unihartmann</t>
  </si>
  <si>
    <t>academic_usr_unihartmann</t>
  </si>
  <si>
    <t>KRI1IBOmLYw4</t>
  </si>
  <si>
    <t>0145-A22C48CB-3FFF-4304-A3B5-8206CDFE558F</t>
  </si>
  <si>
    <t>Escuela de Dietética y Nutrición del ISSSTE</t>
  </si>
  <si>
    <t>ednissste</t>
  </si>
  <si>
    <t>academic_usr_ednissste</t>
  </si>
  <si>
    <t>P05BZLUYDPmD</t>
  </si>
  <si>
    <t>0147-540FD64A-97AA-4D14-BD19-4F503C069910</t>
  </si>
  <si>
    <t>Instituto Baluarte de Metepec S.C.</t>
  </si>
  <si>
    <t>institutobaluarte</t>
  </si>
  <si>
    <t>academic_usr_institutobaluarte</t>
  </si>
  <si>
    <t>2REX3OcD4m65</t>
  </si>
  <si>
    <t>Beme Studio Producciones SA de CV</t>
  </si>
  <si>
    <t>escuelaescena</t>
  </si>
  <si>
    <t>academic_usr_escuelaescena</t>
  </si>
  <si>
    <t>BZ673BP7PsaT</t>
  </si>
  <si>
    <t>Liceo Mexicano Japonés A.C.</t>
  </si>
  <si>
    <t>liceomexicanojapones</t>
  </si>
  <si>
    <t>academic_usr_liceomexicanojapones</t>
  </si>
  <si>
    <t>vsL740L2OY5v</t>
  </si>
  <si>
    <t>0150-6FA2948A-0E46-436C-AB05-269034873D65</t>
  </si>
  <si>
    <t>Instituto de formación e investigaciones jurídicas de michoacám S.C</t>
  </si>
  <si>
    <t>ifijum</t>
  </si>
  <si>
    <t>academic_usr_ifijum</t>
  </si>
  <si>
    <t>LF9Um5qPB8PF</t>
  </si>
  <si>
    <t>Centros Educativos Zumárraga A.C.</t>
  </si>
  <si>
    <t>institutozumarraga</t>
  </si>
  <si>
    <t>academic_usr_institutozumarraga</t>
  </si>
  <si>
    <t>cgEUB4jv55RU</t>
  </si>
  <si>
    <t>Unide - Garis</t>
  </si>
  <si>
    <t>garis</t>
  </si>
  <si>
    <t>Colegio Argos (Metepec)</t>
  </si>
  <si>
    <t>argos</t>
  </si>
  <si>
    <t>academic_usr_argos</t>
  </si>
  <si>
    <t>ZYTUXggcLY35</t>
  </si>
  <si>
    <t>0154-87641E7E-235C-4D1D-A2D5-4A470E3C23CB</t>
  </si>
  <si>
    <t>Centro Educativo ONCA</t>
  </si>
  <si>
    <t>onca</t>
  </si>
  <si>
    <t>academic_usr_onca</t>
  </si>
  <si>
    <t>8N3ENwPsIchZ</t>
  </si>
  <si>
    <t>0155-2CDE871E-48DB-430C-89EC-E7113C136724</t>
  </si>
  <si>
    <t>Colegio Christa Corrigan</t>
  </si>
  <si>
    <t>christa</t>
  </si>
  <si>
    <t>academic_usr_christa</t>
  </si>
  <si>
    <t>cDLU07L270Fw</t>
  </si>
  <si>
    <t>AM Release</t>
  </si>
  <si>
    <t>AMRelease</t>
  </si>
  <si>
    <t>academic_usr_AMRelease</t>
  </si>
  <si>
    <t>Kv94YUw3qhR4</t>
  </si>
  <si>
    <t>Universidad de Cuautitlán Izcalli S.C</t>
  </si>
  <si>
    <t>uci</t>
  </si>
  <si>
    <t>academic_usr_uci</t>
  </si>
  <si>
    <t>j5j8RF1YO60L</t>
  </si>
  <si>
    <t>grupoantolin</t>
  </si>
  <si>
    <t>academic_usr_grupoantolin</t>
  </si>
  <si>
    <t>5sF7BjXF2wa4</t>
  </si>
  <si>
    <t>liverpool</t>
  </si>
  <si>
    <t>academic_usr_liverpool</t>
  </si>
  <si>
    <t>T6LPTKDFvD4Y</t>
  </si>
  <si>
    <t>Instituto Educativo Tomás Alva Edison A.C. de Guadalajara</t>
  </si>
  <si>
    <t>colegioedison</t>
  </si>
  <si>
    <t>academic_usr_colegioedison</t>
  </si>
  <si>
    <t>w6I8N925KmsD</t>
  </si>
  <si>
    <t>0163-CFCC38C3-C663-46C2-9625-AB5517451CDD</t>
  </si>
  <si>
    <t>Yucatán Península Mission A.C.</t>
  </si>
  <si>
    <t>institutoypm</t>
  </si>
  <si>
    <t>ypm</t>
  </si>
  <si>
    <t>academic_usr_ypm</t>
  </si>
  <si>
    <t>ELOjL7BP9ss9</t>
  </si>
  <si>
    <t>Instituto Educativo International A.C.</t>
  </si>
  <si>
    <t>inter</t>
  </si>
  <si>
    <t>academic_usr_inter</t>
  </si>
  <si>
    <t>1v8BmvmNvwP0</t>
  </si>
  <si>
    <t>0165-FB1C47C4-2830-41B6-88F8-15EF090678E3</t>
  </si>
  <si>
    <t>Colegio Alice Miller</t>
  </si>
  <si>
    <t>colegioalicemiller</t>
  </si>
  <si>
    <t>academic_usr_colegioalicemiller</t>
  </si>
  <si>
    <t>q0K7h7Tq5X3s</t>
  </si>
  <si>
    <t>Bimbo</t>
  </si>
  <si>
    <t>bimbo</t>
  </si>
  <si>
    <t>academic_usr_bimbo</t>
  </si>
  <si>
    <t>ch2gTYgNEU6O</t>
  </si>
  <si>
    <t>Colegio Zazu S.C</t>
  </si>
  <si>
    <t>colegiozazu</t>
  </si>
  <si>
    <t>academic_usr_colegiozazu</t>
  </si>
  <si>
    <t>RBgX877X8Z33</t>
  </si>
  <si>
    <t>0168-3C384BCA-517C-4D92-925A-7319A0A50E5A</t>
  </si>
  <si>
    <t>Centro Educativo Kiinbeh</t>
  </si>
  <si>
    <t>kiinbeh</t>
  </si>
  <si>
    <t>academic_usr_kiinbeh</t>
  </si>
  <si>
    <t>cg23vDKmDsw4</t>
  </si>
  <si>
    <t>camembert</t>
  </si>
  <si>
    <t>academic_usr_camembert</t>
  </si>
  <si>
    <t>Fs805KDEwX8c</t>
  </si>
  <si>
    <t>Centro Cultural Roath S.C</t>
  </si>
  <si>
    <t>roathschool</t>
  </si>
  <si>
    <t>academic_usr_roathschool</t>
  </si>
  <si>
    <t>65DmXNLjh7PT</t>
  </si>
  <si>
    <t>0171-B40A0899-911B-479A-8832-DFA1D7E9001D</t>
  </si>
  <si>
    <t>UCLAM Centro de Estudios Superiores A.C</t>
  </si>
  <si>
    <t>uclam</t>
  </si>
  <si>
    <t>academic_usr_uclam</t>
  </si>
  <si>
    <t>PRE3c0DBg5ZR</t>
  </si>
  <si>
    <t>0172-C68D5F29-E986-4490-A254-245DAC698838</t>
  </si>
  <si>
    <t>Impulsora Educativa del Caribe S.C</t>
  </si>
  <si>
    <t>iescda</t>
  </si>
  <si>
    <t>academic_usr_iescda</t>
  </si>
  <si>
    <t>j2ZTBsF98KYP</t>
  </si>
  <si>
    <t>0173-046A4776-0D61-4A31-8E84-71152022ECF0</t>
  </si>
  <si>
    <t>Enrique Díaz de León</t>
  </si>
  <si>
    <t>unedl</t>
  </si>
  <si>
    <t>academic_usr_unedl</t>
  </si>
  <si>
    <t>5ROODXh9h1qa</t>
  </si>
  <si>
    <t>Universidad de las Californias Internacional S.C</t>
  </si>
  <si>
    <t>udci</t>
  </si>
  <si>
    <t>academic_usr_udci</t>
  </si>
  <si>
    <t>g43F3X3B4UhX</t>
  </si>
  <si>
    <t>0175-9D00D0B1-EAFC-49FA-BE2C-8576AD2A8C06</t>
  </si>
  <si>
    <t>Educación a tu Alcance IMCI S.C</t>
  </si>
  <si>
    <t>emci</t>
  </si>
  <si>
    <t>academic_usr_emci</t>
  </si>
  <si>
    <t>ha3Th8NjvX3s</t>
  </si>
  <si>
    <t>Organismo de evaluación y fiscalización ambiental</t>
  </si>
  <si>
    <t>oefa</t>
  </si>
  <si>
    <t>academic_usr_oefa</t>
  </si>
  <si>
    <t>FvwRBgmmjX4c</t>
  </si>
  <si>
    <t>0177-CB6EFFEE-D83A-43A6-81BA-7EA2E3541B41</t>
  </si>
  <si>
    <t>Homy School</t>
  </si>
  <si>
    <t>homyschool</t>
  </si>
  <si>
    <t>academic_usr_homyschool</t>
  </si>
  <si>
    <t>R6LOF709Y0P9</t>
  </si>
  <si>
    <t>0178-B3794E5C-7219-4FA3-A1C0-C489A4095B63</t>
  </si>
  <si>
    <t>Instituto Sierra Fría A.C</t>
  </si>
  <si>
    <t>institutosierrafria</t>
  </si>
  <si>
    <t>academic_usr_institutosierrafria</t>
  </si>
  <si>
    <t>3aa1R27Ph7jU</t>
  </si>
  <si>
    <t>0179-D8AD2E5E-7531-4066-A5F8-5CF7E95C2F85</t>
  </si>
  <si>
    <t>Universidad Ulinea S.C</t>
  </si>
  <si>
    <t>ulinea</t>
  </si>
  <si>
    <t>academic_usr_ulinea</t>
  </si>
  <si>
    <t>4chw2PaY6RZY</t>
  </si>
  <si>
    <t>Universidad del Golfo de México Norte</t>
  </si>
  <si>
    <t>ugmnorte</t>
  </si>
  <si>
    <t>academic_usr_ugmnorte</t>
  </si>
  <si>
    <t>ED38PhOZRLDX</t>
  </si>
  <si>
    <t>[3.215.34.205\PRODUCTION_7,3334].</t>
  </si>
  <si>
    <t>0181-BEC39977-A3E1-4C3B-9123-5B385A8E8A97</t>
  </si>
  <si>
    <t>Promotora Universitaria de Texcoco S.C.</t>
  </si>
  <si>
    <t>liceoupg</t>
  </si>
  <si>
    <t>academic_usr_liceoupg</t>
  </si>
  <si>
    <t>ODX1qmj1jwBh</t>
  </si>
  <si>
    <t>0182-543AA34D-047B-4C87-9F96-145ACE71DE7F</t>
  </si>
  <si>
    <t>Centro de Estudios Cinematográficos, Arte en Movimiento A.C.</t>
  </si>
  <si>
    <t>cecinematograficos</t>
  </si>
  <si>
    <t>academic_usr_cecinematograficos</t>
  </si>
  <si>
    <t>Y5s22sUYNg4Z</t>
  </si>
  <si>
    <t>0183-A204490A-1A7D-4BBD-93F6-CEC0129E5C28</t>
  </si>
  <si>
    <t>Centro de Estudios Cuicalli S.C.</t>
  </si>
  <si>
    <t>teccuicalli</t>
  </si>
  <si>
    <t>academic_usr_teccuicalli</t>
  </si>
  <si>
    <t>a8F3YwL0TRsv</t>
  </si>
  <si>
    <t>[3.215.34.205\PRODUCTION_8,3335].</t>
  </si>
  <si>
    <t>0184-3041D6B4-E66E-4810-952E-ECC634131463</t>
  </si>
  <si>
    <t>Universidad Privada del Bajío A.C</t>
  </si>
  <si>
    <t>upb</t>
  </si>
  <si>
    <t>academic_usr_upb</t>
  </si>
  <si>
    <t>4B79BmXcc1j1</t>
  </si>
  <si>
    <t>0185-8F212ED3-9E6C-4399-AD7D-3E4B65B58D9B</t>
  </si>
  <si>
    <t>miempresa</t>
  </si>
  <si>
    <t>academic_usr_miempresa</t>
  </si>
  <si>
    <t>qmIXRvBFgXT3</t>
  </si>
  <si>
    <t>0186-904F1251-15FB-4AF0-896A-8062C7781A00</t>
  </si>
  <si>
    <t>Colegio Prados Tepeyac</t>
  </si>
  <si>
    <t>colegiopradostepeyac</t>
  </si>
  <si>
    <t>academic_usr_colegiopradostepeyac</t>
  </si>
  <si>
    <t>5aIv1ZgOhRcX</t>
  </si>
  <si>
    <t>0187-37CA9DCC-6675-4977-BDC3-3CA0FD9EF9C1</t>
  </si>
  <si>
    <t>Instituto Quetzalcóatl</t>
  </si>
  <si>
    <t>iqschool</t>
  </si>
  <si>
    <t>academic_usr_iqschool</t>
  </si>
  <si>
    <t>9URsOPgP6qvT</t>
  </si>
  <si>
    <t>0189-FC77AD1A-2618-462C-8E52-B7E129D43163</t>
  </si>
  <si>
    <t>Pacific University Campus Morelos y Sinaloa</t>
  </si>
  <si>
    <t>pacificuniversity</t>
  </si>
  <si>
    <t>academic_usr_pacificuniversity</t>
  </si>
  <si>
    <t>OgNZRR7a9D3X</t>
  </si>
  <si>
    <t>Proeduco del Bajío S.C. (Magno Bicultural College)</t>
  </si>
  <si>
    <t>colegiomagno</t>
  </si>
  <si>
    <t>academic_usr_colegiomagno</t>
  </si>
  <si>
    <t>jN7KTF1562gs</t>
  </si>
  <si>
    <t>0191-1B4E00A1-C6FD-46B8-A809-F43CEB1712D5</t>
  </si>
  <si>
    <t>Sinergia Filantrópica de México</t>
  </si>
  <si>
    <t>sfmx</t>
  </si>
  <si>
    <t>academic_usr_sfmx</t>
  </si>
  <si>
    <t>LF1h40ZU83ZL</t>
  </si>
  <si>
    <t>Colegio Mark Twain S.C</t>
  </si>
  <si>
    <t>colegiomarktwain</t>
  </si>
  <si>
    <t>academic_usr_colegiomarktwain</t>
  </si>
  <si>
    <t>UYhEFPNaqhXY</t>
  </si>
  <si>
    <t>0193-DB252061-6298-4AAA-9E0D-1369AC574BC7</t>
  </si>
  <si>
    <t>Colegio Lenox</t>
  </si>
  <si>
    <t>colegiolenox</t>
  </si>
  <si>
    <t>academic_usr_colegiolenox</t>
  </si>
  <si>
    <t>T1Xw8cE8aZ4q</t>
  </si>
  <si>
    <t>Colegio Benito Juárez</t>
  </si>
  <si>
    <t>cobeju</t>
  </si>
  <si>
    <t>academic_usr_cobeju</t>
  </si>
  <si>
    <t>NLcR8BLYj2P1</t>
  </si>
  <si>
    <t>0195-14F0229C-D40C-4B8B-9FD7-531A64DCAEAE</t>
  </si>
  <si>
    <t>Escuela Superior de Comercio Exterior A.C.</t>
  </si>
  <si>
    <t>escomex</t>
  </si>
  <si>
    <t>academic_usr_escomex</t>
  </si>
  <si>
    <t>69619gwX5g4P</t>
  </si>
  <si>
    <t>0196-3DF38664-2686-45B0-B41E-8EC8B85FB451</t>
  </si>
  <si>
    <t>Profesionistas Asociados S.C</t>
  </si>
  <si>
    <t>uneg</t>
  </si>
  <si>
    <t>academic_usr_uneg</t>
  </si>
  <si>
    <t>j81YU49sImvL</t>
  </si>
  <si>
    <t>0197-40B6B79B-57B3-446E-A382-0856B315CBAA</t>
  </si>
  <si>
    <t>Langstone Elite Institute A.C.</t>
  </si>
  <si>
    <t>langstoneeliteinstitute</t>
  </si>
  <si>
    <t>academic_usr_langstoneeliteinstitute</t>
  </si>
  <si>
    <t>4sU3Ov8U0UaB</t>
  </si>
  <si>
    <t>Escuela Metropolitana de Occidente</t>
  </si>
  <si>
    <t>universidadmetropolitana</t>
  </si>
  <si>
    <t>academic_usr_universidadmetropolitana</t>
  </si>
  <si>
    <t>8UcR20hhwD1L</t>
  </si>
  <si>
    <t>0199-D2E65AAA-0E74-4FB8-AAE3-A1C196101972</t>
  </si>
  <si>
    <t>Instituto de Servicios Educativos Juana de Asbaje S.C</t>
  </si>
  <si>
    <t>institutonorthwilliams</t>
  </si>
  <si>
    <t>academic_usr_institutonorthwilliams</t>
  </si>
  <si>
    <t>O0jIIj471FRB</t>
  </si>
  <si>
    <t>0201-EE2473B3-6DEF-49A3-9ADB-987412D6B5BB</t>
  </si>
  <si>
    <t>Instituto de Educación Superior Técnico Virginia Henderson</t>
  </si>
  <si>
    <t>virginiahenderson</t>
  </si>
  <si>
    <t>academic_usr_virginiahenderson</t>
  </si>
  <si>
    <t>Kg2ZOZXgNsKD</t>
  </si>
  <si>
    <t>0202-43EA6984-7343-4B1E-8B7F-365B2C47B059</t>
  </si>
  <si>
    <t>Consultoria</t>
  </si>
  <si>
    <t>consultoria</t>
  </si>
  <si>
    <t>academic_usr_consultoria</t>
  </si>
  <si>
    <t>XjOYj3568qmT</t>
  </si>
  <si>
    <t>TCM Taller de Cine S.C</t>
  </si>
  <si>
    <t>escine</t>
  </si>
  <si>
    <t>academic_usr_escine</t>
  </si>
  <si>
    <t>vOm7IR5vcEvX</t>
  </si>
  <si>
    <t>Universidad Tecnológica del Valle de Chalco A.C</t>
  </si>
  <si>
    <t>tuvch</t>
  </si>
  <si>
    <t>academic_usr_tuvch</t>
  </si>
  <si>
    <t>KP17Y6OjT6a3</t>
  </si>
  <si>
    <t>0205-6DDEC767-D677-4114-A58E-27F929D05609</t>
  </si>
  <si>
    <t>Colegio Humanista Mexicano S.C</t>
  </si>
  <si>
    <t>colegiohumanistamexicano</t>
  </si>
  <si>
    <t>academic_usr_colegiohumanistamexicano</t>
  </si>
  <si>
    <t>TBqP75vw7NRP</t>
  </si>
  <si>
    <t>0206-7EC0C778-ED34-4F3D-A791-403AB00528E0</t>
  </si>
  <si>
    <t>IZQ Educación S.C. (ISAE Colegio Holandés)</t>
  </si>
  <si>
    <t>institutoisae</t>
  </si>
  <si>
    <t>academic_usr_institutoisae</t>
  </si>
  <si>
    <t>0mwTN923L3wP</t>
  </si>
  <si>
    <t>0207-1561A45D-1056-4CF1-9AEC-6E331D026A64</t>
  </si>
  <si>
    <t>Instituto Oviedo A.C</t>
  </si>
  <si>
    <t>institutooviedo</t>
  </si>
  <si>
    <t>academic_usr_institutooviedo</t>
  </si>
  <si>
    <t>BLm23E1jNE11</t>
  </si>
  <si>
    <t>0208-E341F284-0414-461D-8C64-2B511CBCE7AE</t>
  </si>
  <si>
    <t>Colegio Calli SC</t>
  </si>
  <si>
    <t>colegiocalli</t>
  </si>
  <si>
    <t>academic_usr_colegiocalli</t>
  </si>
  <si>
    <t>LwPvNZDg0OqT</t>
  </si>
  <si>
    <t>Instituto Regional de Cosmética y Cosmiatría de Orizaba S.C</t>
  </si>
  <si>
    <t>ircc</t>
  </si>
  <si>
    <t>academic_usr_ircc</t>
  </si>
  <si>
    <t>vOTOXLjgZg1F</t>
  </si>
  <si>
    <t>0210-89E4BDE5-54EE-419F-B636-7CBD3CA99D04</t>
  </si>
  <si>
    <t>Colegio Irlandés de Tabasco S.C</t>
  </si>
  <si>
    <t>colegioirlandes</t>
  </si>
  <si>
    <t>academic_usr_colegioirlandes</t>
  </si>
  <si>
    <t>vaLcR9cIZwOg</t>
  </si>
  <si>
    <t>0211-87CFBD10-6AF6-4530-AF74-669C6D18E93F</t>
  </si>
  <si>
    <t>Universidad de Artes y Oficios de México</t>
  </si>
  <si>
    <t>uaom</t>
  </si>
  <si>
    <t>academic_usr_uaom</t>
  </si>
  <si>
    <t>jYPOY2Nj7BOU</t>
  </si>
  <si>
    <t>Instituto Preparatoriano UNSA S.C</t>
  </si>
  <si>
    <t>unsa</t>
  </si>
  <si>
    <t>academic_usr_unsa</t>
  </si>
  <si>
    <t>cga6BOUqEOjc</t>
  </si>
  <si>
    <t>Instituto Educativo IBEM S.C.</t>
  </si>
  <si>
    <t>ibem</t>
  </si>
  <si>
    <t>academic_usr_ibem</t>
  </si>
  <si>
    <t>KgEIvLOXqjLF</t>
  </si>
  <si>
    <t>0214-6D3057E0-BE3E-4039-8598-EAF08728BDE0</t>
  </si>
  <si>
    <t>Universidad del Valle de Cuernavaca S.C.</t>
  </si>
  <si>
    <t>univac</t>
  </si>
  <si>
    <t>academic_usr_univac</t>
  </si>
  <si>
    <t>UaIX19YjwcL9</t>
  </si>
  <si>
    <t>0215-C6D903D2-0B3A-48DA-B7CA-5F9B92245E17</t>
  </si>
  <si>
    <t>Instituto Moderno de Estudios Contables y Comerciales de México A.C. (Liceo Español de México)</t>
  </si>
  <si>
    <t>liceoespañoldemexico</t>
  </si>
  <si>
    <t>liceoespanoldemexico</t>
  </si>
  <si>
    <t>academic_usr_liceoespanoldemexico</t>
  </si>
  <si>
    <t>R13EUw7s7KKP</t>
  </si>
  <si>
    <t>0216-E5A555C2-B5EB-4776-9D90-1D64E9099B0F</t>
  </si>
  <si>
    <t>Educación para Ser Toluca A.C</t>
  </si>
  <si>
    <t>nevadi</t>
  </si>
  <si>
    <t>academic_usr_nevadi</t>
  </si>
  <si>
    <t>NhZsg2X6I345</t>
  </si>
  <si>
    <t>0217-02E8D272-D637-43D9-B9DF-E49FFB00B3B3</t>
  </si>
  <si>
    <t>INESIN A.C. (Instituto de Enfermería de Sinaloa)</t>
  </si>
  <si>
    <t>inesin</t>
  </si>
  <si>
    <t>academic_usr_inesin</t>
  </si>
  <si>
    <t>97BcYBaswTsU</t>
  </si>
  <si>
    <t>0218-E64BEBA1-7344-4B02-A073-CE35012C5932</t>
  </si>
  <si>
    <t>INSTITUTO INTEGRAL SALTILLENSE A.C.</t>
  </si>
  <si>
    <t>ida</t>
  </si>
  <si>
    <t>academic_usr_ida</t>
  </si>
  <si>
    <t>cw1T3KF7F23v</t>
  </si>
  <si>
    <t>Instituto Universitario de Desarrollo Humano e Innovación Profesional S.C.</t>
  </si>
  <si>
    <t>idheip</t>
  </si>
  <si>
    <t>academic_usr_idheip</t>
  </si>
  <si>
    <t>TOgIY0cv1FOX</t>
  </si>
  <si>
    <t>0220-0A70A9B2-0188-480C-BC8D-F3452F30AE6F</t>
  </si>
  <si>
    <t>CENTRO DE EXPANSIÓN Y ACTUALIZACIONES ODONTOLÓGICAS A.C.</t>
  </si>
  <si>
    <t>ineso</t>
  </si>
  <si>
    <t>academic_usr_ineso</t>
  </si>
  <si>
    <t>Pwq2wm2532K7</t>
  </si>
  <si>
    <t>0221-E16DBD0E-4947-4A5D-A9FA-A79CD0CEDFFE</t>
  </si>
  <si>
    <t>Instituto Superior en Ciencias Empresariales S.C.</t>
  </si>
  <si>
    <t>insuce</t>
  </si>
  <si>
    <t>academic_usr_insuce</t>
  </si>
  <si>
    <t>Ev0LF4ZgaYE8</t>
  </si>
  <si>
    <t>0222-B0E93C0A-6F05-4304-AAFA-47A921A3149B</t>
  </si>
  <si>
    <t>Cristo para las Naciones A.C.</t>
  </si>
  <si>
    <t>cristoparalasnaciones</t>
  </si>
  <si>
    <t>academic_usr_cristoparalasnaciones</t>
  </si>
  <si>
    <t>LPF4873Uj3gI</t>
  </si>
  <si>
    <t>0223-F7B21C35-0222-4845-8DFE-C5AB2DF3CC08</t>
  </si>
  <si>
    <t>Colegio Tizimín A.C.</t>
  </si>
  <si>
    <t>tizimin</t>
  </si>
  <si>
    <t>academic_usr_tizimin</t>
  </si>
  <si>
    <t>qF3Kg0XmY1B6</t>
  </si>
  <si>
    <t>0224-D75A67E6-A18E-4AF2-85D6-E0E30FB03547</t>
  </si>
  <si>
    <t>KOM LOCUTORES S. DE R.L. DE C.V</t>
  </si>
  <si>
    <t>komlocutores</t>
  </si>
  <si>
    <t>academic_usr_komlocutores</t>
  </si>
  <si>
    <t>4PYFqBRgD2cT</t>
  </si>
  <si>
    <t>0226-435EFB6B-0B96-49EF-8031-96223048F999</t>
  </si>
  <si>
    <t>Colegio Zapata</t>
  </si>
  <si>
    <t>colegiozapata</t>
  </si>
  <si>
    <t>academic_usr_colegiozapata</t>
  </si>
  <si>
    <t>IsKs4TUN3cgq</t>
  </si>
  <si>
    <t>0227-DD8D05D3-C8B0-4737-95D8-79F100A7A057</t>
  </si>
  <si>
    <t>Educación Superior Suiza S.C.</t>
  </si>
  <si>
    <t>isu</t>
  </si>
  <si>
    <t>academic_usr_isu</t>
  </si>
  <si>
    <t>OvgFKZZs3c6T</t>
  </si>
  <si>
    <t>0228-7E0A2129-1F9C-450F-B63C-6F5C9FC8F4EC</t>
  </si>
  <si>
    <t>INSTITUTO BILINGUE INTERAMERICANO MEXICO, IBIME S.C.</t>
  </si>
  <si>
    <t>ibime</t>
  </si>
  <si>
    <t>academic_usr_ibime</t>
  </si>
  <si>
    <t>Xm4OX40E9jT5</t>
  </si>
  <si>
    <t>0229-BA1DBFE9-27E5-4A1E-BC84-2EA75DFBBB43</t>
  </si>
  <si>
    <t>Universidad Tecnológica el Puerto S.C.</t>
  </si>
  <si>
    <t>utp</t>
  </si>
  <si>
    <t>academic_usr_utp</t>
  </si>
  <si>
    <t>Lw0NNKqwTPOT</t>
  </si>
  <si>
    <t>0230-313A632C-7313-4C0F-B8AB-D612AFBD94C8</t>
  </si>
  <si>
    <t>Educulfor S.C. (Instituto Terranova Ajijic)</t>
  </si>
  <si>
    <t>institutoterranova</t>
  </si>
  <si>
    <t>academic_usr_institutoterranova</t>
  </si>
  <si>
    <t>7sZYvO6Ra85m</t>
  </si>
  <si>
    <t>0231-2E7895B6-2D48-4D09-94D3-F18A478DA56F</t>
  </si>
  <si>
    <t>Ambiente Beta</t>
  </si>
  <si>
    <t>beta</t>
  </si>
  <si>
    <t>ambiente_beta</t>
  </si>
  <si>
    <t>academic_usr_ambiente_beta</t>
  </si>
  <si>
    <t>v6RIN35gv4wK</t>
  </si>
  <si>
    <t>0234-94564318-F6F2-42F3-AB4D-E96EA1EF606F</t>
  </si>
  <si>
    <t>INSTITUTO TÉCNICO Y CULTURAL</t>
  </si>
  <si>
    <t>ityc</t>
  </si>
  <si>
    <t>academic_usr_ityc</t>
  </si>
  <si>
    <t>9DvwLPDRaXaT</t>
  </si>
  <si>
    <t>0235-9840BD8E-8D4B-489E-A753-B3FE7157EE36</t>
  </si>
  <si>
    <t>Academic Contigo</t>
  </si>
  <si>
    <t>contigo</t>
  </si>
  <si>
    <t>academic_usr_contigo</t>
  </si>
  <si>
    <t>EBsDDg1DN18m</t>
  </si>
  <si>
    <t>0237-D904376C-5BE2-4D5A-B951-98CC25D5CB82</t>
  </si>
  <si>
    <t>EBC Test</t>
  </si>
  <si>
    <t>ebc_test</t>
  </si>
  <si>
    <t>academic_usr_ebc_test</t>
  </si>
  <si>
    <t>hFjsUcEgRh75</t>
  </si>
  <si>
    <t>0240-938BAEA8-12BD-4D9D-92E2-9FB8CBA12564</t>
  </si>
  <si>
    <t>Universidad Univer Millenium Test</t>
  </si>
  <si>
    <t>test_univermilenium</t>
  </si>
  <si>
    <t>academic_usr_test_univermilenium</t>
  </si>
  <si>
    <t>EUvX8mRK8PZD</t>
  </si>
  <si>
    <t>0241-F80CBE79-25D5-466A-9DD3-1DD7F7F87F11</t>
  </si>
  <si>
    <t>Universidad Mondragón Test</t>
  </si>
  <si>
    <t>test_umx</t>
  </si>
  <si>
    <t>academic_usr_test_umx</t>
  </si>
  <si>
    <t>9Z4vh0F9wEsa</t>
  </si>
  <si>
    <t>0243-C1125F4D-9E71-41EB-AA67-632C3AE425E3</t>
  </si>
  <si>
    <t>Colegio Argos (Metepec) Test</t>
  </si>
  <si>
    <t>test_argos</t>
  </si>
  <si>
    <t>academic_usr_test_argos</t>
  </si>
  <si>
    <t>O377FBgYaZUw</t>
  </si>
  <si>
    <t>Profesionistas Asociados S.C Test</t>
  </si>
  <si>
    <t>test_uneg</t>
  </si>
  <si>
    <t>academic_usr_test_uneg</t>
  </si>
  <si>
    <t>52TOO0Twvh16</t>
  </si>
  <si>
    <t>0246-9C8EFCE7-38D3-46B4-B74E-CF38E373229B</t>
  </si>
  <si>
    <t>Centro Universitario para Administración de Negocios S.C</t>
  </si>
  <si>
    <t>cuan</t>
  </si>
  <si>
    <t>academic_usr_cuan</t>
  </si>
  <si>
    <t>3U6hIDDRv24j</t>
  </si>
  <si>
    <t>0247-CE94D874-5688-4D8E-8086-6156269C673C</t>
  </si>
  <si>
    <t>Universidad Tres Culturas</t>
  </si>
  <si>
    <t>utc</t>
  </si>
  <si>
    <t>academic_usr_utc</t>
  </si>
  <si>
    <t>40LvL6m5LO0K</t>
  </si>
  <si>
    <t>Consultoria Test</t>
  </si>
  <si>
    <t>test_consultoria</t>
  </si>
  <si>
    <t>academic_usr_test_consultoria</t>
  </si>
  <si>
    <t>3UBq6hgDB44m</t>
  </si>
  <si>
    <t>0250-065FAB4C-7FE0-4A12-B9EF-E464498D30F1</t>
  </si>
  <si>
    <t>Proeduco del Bajío S.C. (Magno Bicultural College) Test</t>
  </si>
  <si>
    <t>test_colegiomagno</t>
  </si>
  <si>
    <t>academic_usr_test_colegiomagno</t>
  </si>
  <si>
    <t>1UYgg4c2Ia2g</t>
  </si>
  <si>
    <t>0251-C1F64DE3-A4F6-4FA0-93DE-A6488860B59F</t>
  </si>
  <si>
    <t>Rec Música Test</t>
  </si>
  <si>
    <t>test_recmusica</t>
  </si>
  <si>
    <t>academic_usr_test_recmusica</t>
  </si>
  <si>
    <t>hs6ZgN0a4RIm</t>
  </si>
  <si>
    <t>0252-DA99EDBC-260E-4CF6-9BF7-8DEFAA55D67B</t>
  </si>
  <si>
    <t>Integrando Cursos Académicos</t>
  </si>
  <si>
    <t>integrando</t>
  </si>
  <si>
    <t>academic_usr_integrando</t>
  </si>
  <si>
    <t>7KIaOs088jca</t>
  </si>
  <si>
    <t>0253-3D118105-7BB0-429C-BF11-CC7255D38716</t>
  </si>
  <si>
    <t>Instituto Metepec S.C.</t>
  </si>
  <si>
    <t>institutometepec</t>
  </si>
  <si>
    <t>academic_usr_institutometepec</t>
  </si>
  <si>
    <t>PFXB24aBKNR8</t>
  </si>
  <si>
    <t>0254-AADC32A1-E010-42A5-B282-5C33C1FDD616</t>
  </si>
  <si>
    <t>Britt Academy S.C</t>
  </si>
  <si>
    <t>brittacademy</t>
  </si>
  <si>
    <t>academic_usr_brittacademy</t>
  </si>
  <si>
    <t>c31OFY2sjwEh</t>
  </si>
  <si>
    <t>0255-26335E13-0AC0-4E25-851B-E2D11230C7C0</t>
  </si>
  <si>
    <t>CENTRO DE ESTUDIOS JOHN F. KENNEDY DE TEHUACÁN A.C.</t>
  </si>
  <si>
    <t>jfk</t>
  </si>
  <si>
    <t>academic_usr_jfk</t>
  </si>
  <si>
    <t>6192g6Rw7D12</t>
  </si>
  <si>
    <t>0256-F6450643-9F70-4A29-95D7-2A45D5FAFE56</t>
  </si>
  <si>
    <t>ESCUELA SUPERIOR DE LOS ANDES S.C.</t>
  </si>
  <si>
    <t>losandes</t>
  </si>
  <si>
    <t>academic_usr_losandes</t>
  </si>
  <si>
    <t>13DwcR8FX01N</t>
  </si>
  <si>
    <t>0257-5141A245-504C-4EF3-9549-17D71661A1E1</t>
  </si>
  <si>
    <t>Instituto Cultural Loyola S.C.</t>
  </si>
  <si>
    <t>institutoculturalloyola</t>
  </si>
  <si>
    <t>academic_usr_institutoculturalloyola</t>
  </si>
  <si>
    <t>T7ZOP1Lj6w4B</t>
  </si>
  <si>
    <t>0258-8C5A84F0-B0E7-4242-8FCA-C4270709C6EB</t>
  </si>
  <si>
    <t>Grupo Educativo Mesoamerica S.C.</t>
  </si>
  <si>
    <t>institutomesoamerica</t>
  </si>
  <si>
    <t>academic_usr_institutomesoamerica</t>
  </si>
  <si>
    <t>95jaRgF2U2Y6</t>
  </si>
  <si>
    <t>0259-0F85F038-7767-487E-A52B-9CCBA75FDFC7</t>
  </si>
  <si>
    <t>UNIVERSIDAD LA SALLE NEZAHUALCÓYOTL A.C.</t>
  </si>
  <si>
    <t>ulsaneza</t>
  </si>
  <si>
    <t>academic_usr_ulsaneza</t>
  </si>
  <si>
    <t>XZvqZUY5gE2L</t>
  </si>
  <si>
    <t>0260-10C61235-4930-457E-A6D9-B43430D1093A</t>
  </si>
  <si>
    <t>SISTEMAS EDUCATIVOS BATARSE A.C.</t>
  </si>
  <si>
    <t>iim</t>
  </si>
  <si>
    <t>academic_usr_iim</t>
  </si>
  <si>
    <t>U3gs4BZBD2qF</t>
  </si>
  <si>
    <t>0261-B86F6320-F959-4CB1-B154-890B1A7C70E5</t>
  </si>
  <si>
    <t>Universidad Eurohispanoamericana S.C.</t>
  </si>
  <si>
    <t>ueh</t>
  </si>
  <si>
    <t>academic_usr_ueh</t>
  </si>
  <si>
    <t>5INR4BBcq6Y7</t>
  </si>
  <si>
    <t>0262-631128CA-DD03-424D-9539-7737FFE41C38</t>
  </si>
  <si>
    <t>INSTITUTO REGIONAL DE VILLA CUAUHTÉMOC HORACIO ZÚÑIGA A.C.</t>
  </si>
  <si>
    <t>irvichz</t>
  </si>
  <si>
    <t>academic_usr_irvichz</t>
  </si>
  <si>
    <t>aEOUTs47qw37</t>
  </si>
  <si>
    <t>0263-8D8DDE48-F2FA-4C97-A6B7-6C9DC496CC90</t>
  </si>
  <si>
    <t>MONTESSORI COMUNIDAD DE ADOLESCENTES S.C.</t>
  </si>
  <si>
    <t>montessoricamleon</t>
  </si>
  <si>
    <t>academic_usr_montessoricamleon</t>
  </si>
  <si>
    <t>IjcwFE19NqYX</t>
  </si>
  <si>
    <t>0264-37437BA4-6F14-4B07-9F0F-DDBAF69B08C8</t>
  </si>
  <si>
    <t>CENTRO DE POSGRADO DEL BENEMÉRITO INSTITUTO NORMAL DEL ESTADO “GRAL. JUAN CRISÓSTOMO BONILLA”</t>
  </si>
  <si>
    <t>bine</t>
  </si>
  <si>
    <t>academic_usr_bine</t>
  </si>
  <si>
    <t>UI4Fw1NDZY37</t>
  </si>
  <si>
    <t>0265-CDB8AED5-B9AF-4582-AD77-B6912001DC46</t>
  </si>
  <si>
    <t>INSTITUTO CULINARIO DE QUERÉTARO S.C.</t>
  </si>
  <si>
    <t>icuq</t>
  </si>
  <si>
    <t>academic_usr_icuq</t>
  </si>
  <si>
    <t>m8XNFFRqP4hj</t>
  </si>
  <si>
    <t>0266-A7E1DA74-7E84-4DB4-A45C-BE78CBA8C122</t>
  </si>
  <si>
    <t>test_ityc</t>
  </si>
  <si>
    <t>academic_usr_test_ityc</t>
  </si>
  <si>
    <t>92jjj9TINLOF</t>
  </si>
  <si>
    <t>0267-F8C35429-7E0F-48AA-93B7-F75957F1F75B</t>
  </si>
  <si>
    <t>CENTRO UNIVERSITARIO GTU S.C.</t>
  </si>
  <si>
    <t>gtu</t>
  </si>
  <si>
    <t>academic_usr_gtu</t>
  </si>
  <si>
    <t>6qYX5EmZDhX7</t>
  </si>
  <si>
    <t>[3.215.34.205\PRODUCTION_5,3332].</t>
  </si>
  <si>
    <t>0268-709768E7-7CA7-483D-BC12-93488FB04B57</t>
  </si>
  <si>
    <t>VEPCH SC (Escuela de Veterinaria)</t>
  </si>
  <si>
    <t>vepch</t>
  </si>
  <si>
    <t>academic_usr_vepch</t>
  </si>
  <si>
    <t>IP259LK4c2FP</t>
  </si>
  <si>
    <t>0269-BF26DD64-9E08-43A7-8599-524DB8BB2334</t>
  </si>
  <si>
    <t>Morán y Cía SC</t>
  </si>
  <si>
    <t>moranyciasc</t>
  </si>
  <si>
    <t>academic_usr_moranyciasc</t>
  </si>
  <si>
    <t>aYF081RcmTq0</t>
  </si>
  <si>
    <t>0270-17E31417-AE5A-444A-AC6C-3B6913E258F5</t>
  </si>
  <si>
    <t>Instituto Tecnológico Superior de Poza Rica</t>
  </si>
  <si>
    <t>itspozarica</t>
  </si>
  <si>
    <t>academic_usr_itspozarica</t>
  </si>
  <si>
    <t>NNE264RI9mcU</t>
  </si>
  <si>
    <t>0272-FF8FB804-A880-4AA9-85A7-315DC5D92F33</t>
  </si>
  <si>
    <t>Universidad Internacional del Conocimiento e Investigación S.C.</t>
  </si>
  <si>
    <t>unici_</t>
  </si>
  <si>
    <t>unici</t>
  </si>
  <si>
    <t>academic_usr_unici</t>
  </si>
  <si>
    <t>3L2Fh30m0aBj</t>
  </si>
  <si>
    <t>0273-BEC95485-AFBE-4927-89B6-552B2AA92005</t>
  </si>
  <si>
    <t>INSTITUTO DE DESARROLLO DE ARTE Y CULTURA DEL VALLE S.C.</t>
  </si>
  <si>
    <t>idacdelvalle</t>
  </si>
  <si>
    <t>academic_usr_idacdelvalle</t>
  </si>
  <si>
    <t>5TvOF3EXj19E</t>
  </si>
  <si>
    <t>0275-43FF7C7B-360D-47A7-A904-13CEC7BB3F21</t>
  </si>
  <si>
    <t>INSTITUTO CULTURAL AMÉRICA DE TAMPICO A.C.</t>
  </si>
  <si>
    <t>icamerica</t>
  </si>
  <si>
    <t>academic_usr_icamerica</t>
  </si>
  <si>
    <t>cX1R6TXTmF63</t>
  </si>
  <si>
    <t>0276-C6F9D278-5708-4643-A3A2-CBF05F645518</t>
  </si>
  <si>
    <t>Addigital Arte y Diseño Digital</t>
  </si>
  <si>
    <t>addigital</t>
  </si>
  <si>
    <t>academic_usr_addigital</t>
  </si>
  <si>
    <t>v5mI7TB0NUE6</t>
  </si>
  <si>
    <t>0277-D26EFC9F-FFF5-44CA-8E54-6BB8DAFBC7A5</t>
  </si>
  <si>
    <t>Colegio de Contadores Públicos de Guadalajara Jalisco AC</t>
  </si>
  <si>
    <t>ccpg</t>
  </si>
  <si>
    <t>academic_usr_ccpg</t>
  </si>
  <si>
    <t>T4aP1ZKqmTcZ</t>
  </si>
  <si>
    <t>0279-29012547-0046-42CA-A5AC-5391A835FB7A</t>
  </si>
  <si>
    <t>Universidad Tecnológica de Baja California S.C.</t>
  </si>
  <si>
    <t>tbc</t>
  </si>
  <si>
    <t>academic_usr_tbc</t>
  </si>
  <si>
    <t>OULmZhDLsL70</t>
  </si>
  <si>
    <t>0280-BE7864CA-401E-4974-BAC1-A6AA14F702AE</t>
  </si>
  <si>
    <t>Simón Bolívar Tehuacán A.C.</t>
  </si>
  <si>
    <t>sbt</t>
  </si>
  <si>
    <t>academic_usr_sbt</t>
  </si>
  <si>
    <t>PIE1FhcIZN9h</t>
  </si>
  <si>
    <t>0281-4FDC1202-B2B7-4AB4-87FA-7A2EBD9801BC</t>
  </si>
  <si>
    <t>Instituto Humanista de Sinaloa A.C. (Universidad Nexum)</t>
  </si>
  <si>
    <t>nexum</t>
  </si>
  <si>
    <t>academic_usr_nexum</t>
  </si>
  <si>
    <t>cgIROEj2m2X8</t>
  </si>
  <si>
    <t>0282-8099A108-93C9-44A9-BD89-4E0E6E56E560</t>
  </si>
  <si>
    <t>Servicios Educativos Sofal S.C.</t>
  </si>
  <si>
    <t>sofal</t>
  </si>
  <si>
    <t>academic_usr_sofal</t>
  </si>
  <si>
    <t>hEUm6E4860hF</t>
  </si>
  <si>
    <t>0283-78D70AD0-E19F-41F0-A860-DC83B3673C7C</t>
  </si>
  <si>
    <t>Google Services Instance</t>
  </si>
  <si>
    <t>googleservices</t>
  </si>
  <si>
    <t>academic_usr_googleservices</t>
  </si>
  <si>
    <t>w19w8FqaR6Ya</t>
  </si>
  <si>
    <t>0285-9228E4D3-28FD-4A13-8088-50427B943711</t>
  </si>
  <si>
    <t>Centro de Estudios y Regularización Académica S.C.</t>
  </si>
  <si>
    <t>centrokafka</t>
  </si>
  <si>
    <t>academic_usr_centrokafka</t>
  </si>
  <si>
    <t>aUF3cTEB4XPF</t>
  </si>
  <si>
    <t>0287-47A5B5E8-A2B1-457B-97AA-1A04C497DDA1</t>
  </si>
  <si>
    <t>INSTITUTO DE INVESTIGACIÓN E INNOVACIÓN ORGANIZACIONAL A.C.</t>
  </si>
  <si>
    <t>iup</t>
  </si>
  <si>
    <t>academic_usr_iup</t>
  </si>
  <si>
    <t>jTvNNPD937D1</t>
  </si>
  <si>
    <t>0288-C14BF5E4-BB1F-465D-B181-66A9BAB44724</t>
  </si>
  <si>
    <t>Universidad de Investigación y Enseñanza del Estado de Chihuahua S.A.S.</t>
  </si>
  <si>
    <t>uie</t>
  </si>
  <si>
    <t>academic_usr_uie</t>
  </si>
  <si>
    <t>R1XDNZwwsY7c</t>
  </si>
  <si>
    <t>0289-4F30183D-9326-46BC-9E58-B8272C36C190</t>
  </si>
  <si>
    <t>Universidad UPIEM</t>
  </si>
  <si>
    <t>ciesupiem</t>
  </si>
  <si>
    <t>academic_usr_ciesupiem</t>
  </si>
  <si>
    <t>wThPDZ4YRZN1</t>
  </si>
  <si>
    <t>0291-5F0D2338-CB50-45F9-9EF3-BDFD18092507</t>
  </si>
  <si>
    <t>test_itspozarica</t>
  </si>
  <si>
    <t>academic_usr_test_itspozarica</t>
  </si>
  <si>
    <t>cqOs0XjUqX2B</t>
  </si>
  <si>
    <t>0295-C3A5A414-2251-454A-9AE6-CE574910B93E</t>
  </si>
  <si>
    <t>Milvox S.C.</t>
  </si>
  <si>
    <t>milvox</t>
  </si>
  <si>
    <t>academic_usr_milvox</t>
  </si>
  <si>
    <t>cas85I8LT3hg</t>
  </si>
  <si>
    <t>0296-4294FDA8-9239-47EA-B69C-B54047F984ED</t>
  </si>
  <si>
    <t>Jefferson Internacional</t>
  </si>
  <si>
    <t>Servicios Educativos de Morelia S.C.</t>
  </si>
  <si>
    <t>ijm</t>
  </si>
  <si>
    <t>academic_usr_ijm</t>
  </si>
  <si>
    <t>NP0P3X93BOER</t>
  </si>
  <si>
    <t>0297-C65DA776-002C-4211-8E72-BB2074E971BC</t>
  </si>
  <si>
    <t>CENTRO UNIVERSITARIO DE EDUCACIÓN CONTEMPORÁNEA S.C.</t>
  </si>
  <si>
    <t>prepacontemporanea</t>
  </si>
  <si>
    <t>academic_usr_prepacontemporanea</t>
  </si>
  <si>
    <t>4vON8sw2h5qN</t>
  </si>
  <si>
    <t>0299-37FEC5A9-7878-41A6-B168-FDD09C4DE1A3</t>
  </si>
  <si>
    <t>Universidad La Salle Cuernavaca A.C.</t>
  </si>
  <si>
    <t>lasallecuernavaca</t>
  </si>
  <si>
    <t>academic_usr_lasallecuernavaca</t>
  </si>
  <si>
    <t>qaTw41c081sa</t>
  </si>
  <si>
    <t>0300-B4940ADF-B311-40D9-BE06-F69295F43D8B</t>
  </si>
  <si>
    <t>Centro de Estudios de Posgrado S.C.</t>
  </si>
  <si>
    <t>cep</t>
  </si>
  <si>
    <t>academic_usr_cep</t>
  </si>
  <si>
    <t>UD1T98jIP6DK</t>
  </si>
  <si>
    <t>0301-396DA1D0-FE33-439D-A7D2-91B6813D8704</t>
  </si>
  <si>
    <t>Universidad Aztlán Playa del Carmen</t>
  </si>
  <si>
    <t>universidadaztlan</t>
  </si>
  <si>
    <t>academic_usr_universidadaztlan</t>
  </si>
  <si>
    <t>cjagDBYvBa15</t>
  </si>
  <si>
    <t>0303-91AD0D47-4E52-40D6-A8CC-07B594B29C15</t>
  </si>
  <si>
    <t>test_universidadmetropolitana</t>
  </si>
  <si>
    <t>academic_usr_test_universidadmetropolitana</t>
  </si>
  <si>
    <t>6Tw7B6c10BRY</t>
  </si>
  <si>
    <t>0304-5F1A4816-1E57-48E6-9CB8-34B57B82AFD8</t>
  </si>
  <si>
    <t>Centro de Matemáticas y Apoyo Educativo CeMAT</t>
  </si>
  <si>
    <t>cemat</t>
  </si>
  <si>
    <t>academic_usr_cemat</t>
  </si>
  <si>
    <t>65L9ZPKT98Uc</t>
  </si>
  <si>
    <t>0305-AD282767-AB61-48ED-9E80-9B91DE586844</t>
  </si>
  <si>
    <t>My English Coach S.C.</t>
  </si>
  <si>
    <t>myenglishcoach</t>
  </si>
  <si>
    <t>academic_usr_myenglishcoach</t>
  </si>
  <si>
    <t>q8OwccDg72sK</t>
  </si>
  <si>
    <t>0306-F4E0475E-13B7-432E-9FA4-91DA54AF3A63</t>
  </si>
  <si>
    <t>Instituto Mendel A.C</t>
  </si>
  <si>
    <t>institutomendel</t>
  </si>
  <si>
    <t>academic_usr_institutomendel</t>
  </si>
  <si>
    <t>c1OIvmKDIKXN</t>
  </si>
  <si>
    <t>0307-8709D6E0-3DDB-4049-B497-13B61B0B41E4</t>
  </si>
  <si>
    <t>INSTITUTO DE PROFESIONALIZACIÓN ACADÉMICA S.C.</t>
  </si>
  <si>
    <t>hautedesign</t>
  </si>
  <si>
    <t>academic_usr_hautedesign</t>
  </si>
  <si>
    <t>09Os6hcXFwR2</t>
  </si>
  <si>
    <t>0308-7DC9C862-87D0-4EE5-8676-85FD38F1E7E4</t>
  </si>
  <si>
    <t>PROFESOR GREGORIO MENDEL A.C.</t>
  </si>
  <si>
    <t>gregoriomendel</t>
  </si>
  <si>
    <t>academic_usr_gregoriomendel</t>
  </si>
  <si>
    <t>LLXOZ2792j1B</t>
  </si>
  <si>
    <t>0309-6E9C157F-6B25-4BAA-BBE0-6526EFD81CA4</t>
  </si>
  <si>
    <t>FOMENTO SUPERIOR LICEO REGIOMONTANO A.C.</t>
  </si>
  <si>
    <t>lnl</t>
  </si>
  <si>
    <t>academic_usr_lnl</t>
  </si>
  <si>
    <t>aK6Ng8RvY5KI</t>
  </si>
  <si>
    <t>0310-AA7DD122-A39E-4838-AB7F-EB0435571978</t>
  </si>
  <si>
    <t>DZD14v352LwE</t>
  </si>
  <si>
    <t>0311-8E53BBBE-D101-4BA2-9821-2DA934DA6A39</t>
  </si>
  <si>
    <t>Smartium Academic Group</t>
  </si>
  <si>
    <t>sag</t>
  </si>
  <si>
    <t>academic_usr_sag</t>
  </si>
  <si>
    <t>F9hhY88Y52D6</t>
  </si>
  <si>
    <t>0313-B9E22C85-C2EB-4F4A-A782-BA7B3AD87BA1</t>
  </si>
  <si>
    <t>Escuela Libre de Negocios A.C.</t>
  </si>
  <si>
    <t>escuelalibredenegocios</t>
  </si>
  <si>
    <t>academic_usr_escuelalibredenegocios</t>
  </si>
  <si>
    <t>ROD8PB90OcTN</t>
  </si>
  <si>
    <t>0314-F97316CC-2190-4D55-AE25-77FCC4560BD5</t>
  </si>
  <si>
    <t>Colegio Rotterdam S.C</t>
  </si>
  <si>
    <t>colegiorotterdam</t>
  </si>
  <si>
    <t>academic_usr_colegiorotterdam</t>
  </si>
  <si>
    <t>0DsP83qwhhPR</t>
  </si>
  <si>
    <t>0315-DD9C3561-3FE3-4923-9EAA-EA62323F2A58</t>
  </si>
  <si>
    <t>test_uhebraica</t>
  </si>
  <si>
    <t>academic_usr_test_uhebraica</t>
  </si>
  <si>
    <t>cgO3wwccFYT5</t>
  </si>
  <si>
    <t>0316-D8384222-8ED7-4971-B369-A150C408F692</t>
  </si>
  <si>
    <t>test_prepacontemporanea</t>
  </si>
  <si>
    <t>academic_usr_test_prepacontemporanea</t>
  </si>
  <si>
    <t>cEYRgB6Z1aR6</t>
  </si>
  <si>
    <t>0317-C5202B72-D446-4296-BBC2-98FE4DAC2FEF</t>
  </si>
  <si>
    <t>Tecnológico Universitario Cancún S.C.</t>
  </si>
  <si>
    <t>teccancun</t>
  </si>
  <si>
    <t>academic_usr_teccancun</t>
  </si>
  <si>
    <t>NcUqEFhq8IY7</t>
  </si>
  <si>
    <t>0318-388711EA-C60A-4DD1-8956-5C5EA9D4A503</t>
  </si>
  <si>
    <t>ESCUELA EUROPEA PARA LA COMUNICACIÓN Y LAS ARTES VISUALES S.C.</t>
  </si>
  <si>
    <t>cocoschool</t>
  </si>
  <si>
    <t>academic_usr_cocoschool</t>
  </si>
  <si>
    <t>EvRmXLB243P5</t>
  </si>
  <si>
    <t>0319-31022680-1E3C-4921-A508-924A3CD37A39</t>
  </si>
  <si>
    <t>test_lasallecuernavaca</t>
  </si>
  <si>
    <t>academic_usr_test_lasallecuernavaca</t>
  </si>
  <si>
    <t>Y6UhINaZgX1v</t>
  </si>
  <si>
    <t>0320-11F30535-059B-4B09-AF78-94BEB82BC267</t>
  </si>
  <si>
    <t>Descodificación Emocional A.C.</t>
  </si>
  <si>
    <t>descodificacionemocional</t>
  </si>
  <si>
    <t>academic_usr_descodificacionemocional</t>
  </si>
  <si>
    <t>cqwhwvLBg37X</t>
  </si>
  <si>
    <t>0324-430483DF-F87A-497E-AFA9-68EAADB028EE</t>
  </si>
  <si>
    <t>INSTITUTO DE EDUCACIÓN FUENTE E PROGRESO DEL ISTMO S.C.</t>
  </si>
  <si>
    <t>institutosorjuanaistmo</t>
  </si>
  <si>
    <t>academic_usr_institutosorjuanaistmo</t>
  </si>
  <si>
    <t>jsjaUD0YUK3P</t>
  </si>
  <si>
    <t>0325-544EA575-AC57-4A2B-89B4-482C32E59B77</t>
  </si>
  <si>
    <t>test_ulsaneza</t>
  </si>
  <si>
    <t>academic_usr_test_ulsaneza</t>
  </si>
  <si>
    <t>Y7O2qXIvawgY</t>
  </si>
  <si>
    <t>0326-02DBBDE7-758D-44BE-B874-3316B05A1EA4</t>
  </si>
  <si>
    <t>RENEE FLORENCIA ROMERO</t>
  </si>
  <si>
    <t>colegiohezi</t>
  </si>
  <si>
    <t>academic_usr_colegiohezi</t>
  </si>
  <si>
    <t>RR4hZZBXUIY0</t>
  </si>
  <si>
    <t>0327-45A10208-F6A4-4847-B7F0-10A954C99E83</t>
  </si>
  <si>
    <t>CORPORATIVO QUALION S.C.</t>
  </si>
  <si>
    <t>iuvyc</t>
  </si>
  <si>
    <t>academic_usr_iuvyc</t>
  </si>
  <si>
    <t>vU5FP6U2X9Pc</t>
  </si>
  <si>
    <t>0328-12795316-748C-4C6F-8DBE-EEC9D8368A35</t>
  </si>
  <si>
    <t>DIGITRAIN S.C.</t>
  </si>
  <si>
    <t>uartesdigitales</t>
  </si>
  <si>
    <t>academic_usr_uartesdigitales</t>
  </si>
  <si>
    <t>gBhv8qUmw0KU</t>
  </si>
  <si>
    <t>0329-4365CC6D-7C6C-4CB4-B1B0-477D661FD369</t>
  </si>
  <si>
    <t>INSTITUTO GASTRONÓMICO DE ESTUDIOS SUPERIORES S.C.</t>
  </si>
  <si>
    <t>iges</t>
  </si>
  <si>
    <t>academic_usr_iges</t>
  </si>
  <si>
    <t>8YY9KK2IPD9F</t>
  </si>
  <si>
    <t>0330-C985ECCC-C21E-486C-B9BE-F94CDC156710</t>
  </si>
  <si>
    <t>CONVIVIENDO Y APRENDIENDO A.C.</t>
  </si>
  <si>
    <t>icm</t>
  </si>
  <si>
    <t>academic_usr_icm</t>
  </si>
  <si>
    <t>LIsYgsTRLcv3</t>
  </si>
  <si>
    <t>0331-652DD568-5E0D-4BC6-A5DA-C2BD5C071D71</t>
  </si>
  <si>
    <t>test_tuvch</t>
  </si>
  <si>
    <t>academic_usr_test_tuvch</t>
  </si>
  <si>
    <t>ZjLwN94w7O49</t>
  </si>
  <si>
    <t>0332-3FAD626D-D5E8-4CAC-8BC3-66EB42211C0A</t>
  </si>
  <si>
    <t>test_ijm</t>
  </si>
  <si>
    <t>academic_usr_test_ijm</t>
  </si>
  <si>
    <t>1P8RRj3YR7O5</t>
  </si>
  <si>
    <t>0333-730447A0-2C13-4CB8-90F4-3A9E3C4CDB30</t>
  </si>
  <si>
    <t>test_institutosorjuanaistmo</t>
  </si>
  <si>
    <t>academic_usr_test_institutosorjuanaistmo</t>
  </si>
  <si>
    <t>Pw2g2cwjLEP0</t>
  </si>
  <si>
    <t>0334-9B71DA8F-6D8C-4813-92EC-C102F960C01C</t>
  </si>
  <si>
    <t>IGNACIO JACOB ÁLVAREZ ALFARO</t>
  </si>
  <si>
    <t>tecchilpancingo</t>
  </si>
  <si>
    <t>academic_usr_tecchilpancingo</t>
  </si>
  <si>
    <t>5BY7mNPq3mcs</t>
  </si>
  <si>
    <t>0335-08967229-D21C-4EAA-8731-DF5C74781D42</t>
  </si>
  <si>
    <t>METTA ACADEMY S.A.S. DE C.V.</t>
  </si>
  <si>
    <t>mettaacademy</t>
  </si>
  <si>
    <t>academic_usr_mettaacademy</t>
  </si>
  <si>
    <t>BD018hTjsPFN</t>
  </si>
  <si>
    <t>0336-3B6DB4B0-8915-4641-A18A-27B84BBD2B0B</t>
  </si>
  <si>
    <t>metta</t>
  </si>
  <si>
    <t>academic_usr_metta</t>
  </si>
  <si>
    <t>4XRZ6LFmc2vK</t>
  </si>
  <si>
    <t>0337-28CFA706-72E6-4F3D-ACE3-E8F84EFF32FA</t>
  </si>
  <si>
    <t>CENTRO DEPORTIVO UNIVERSITARIO ALPHA S.C.</t>
  </si>
  <si>
    <t>eudep</t>
  </si>
  <si>
    <t>academic_usr_eudep</t>
  </si>
  <si>
    <t>g9h8XTNB0Uwq</t>
  </si>
  <si>
    <t>0338-176538ED-D038-40DB-9D71-D0A09EDCD6EE</t>
  </si>
  <si>
    <t>FACULTAD DE CINE S.C.</t>
  </si>
  <si>
    <t>facultaddecine</t>
  </si>
  <si>
    <t>academic_usr_facultaddecine</t>
  </si>
  <si>
    <t>UFc8hZq34OTK</t>
  </si>
  <si>
    <t>0339-C453A8C4-04C9-4756-AE99-CDEC17CD6BE8</t>
  </si>
  <si>
    <t>UNIVERSIDAD VIRTUAL HISPÁNICA DE MÉXICO S.C.</t>
  </si>
  <si>
    <t>uvhm</t>
  </si>
  <si>
    <t>academic_usr_uvhm</t>
  </si>
  <si>
    <t>YhPg1OssF4R2</t>
  </si>
  <si>
    <t>0340-454514F9-DA02-471B-A115-DB79B9940B89</t>
  </si>
  <si>
    <t>FACULTAD DE CIENCIAS TECNOLOGÍA Y HUMANIDADES S.C</t>
  </si>
  <si>
    <t>invia</t>
  </si>
  <si>
    <t>academic_usr_invia</t>
  </si>
  <si>
    <t>qvPjqgN436OP</t>
  </si>
  <si>
    <t>0341-9317AFD0-E24D-4DC7-82E5-2264E7065639</t>
  </si>
  <si>
    <t>Preparatoria Federal "Lázaro Cárdenas"</t>
  </si>
  <si>
    <t>pflc1</t>
  </si>
  <si>
    <t>academic_usr_pflc1</t>
  </si>
  <si>
    <t>g7LE8qDI2Tam</t>
  </si>
  <si>
    <t>0342-96FED871-56BE-4EC2-A659-DA1ADBADEA47</t>
  </si>
  <si>
    <t>test_facultaddecine</t>
  </si>
  <si>
    <t>academic_usr_test_facultaddecine</t>
  </si>
  <si>
    <t>RZc3qPLc7327</t>
  </si>
  <si>
    <t>0343-17BF379D-2E74-443D-A6E2-08778DB1D6A2</t>
  </si>
  <si>
    <t>Claudia Margarita Reyes Méndez</t>
  </si>
  <si>
    <t>woodcreek</t>
  </si>
  <si>
    <t>academic_usr_woodcreek</t>
  </si>
  <si>
    <t>XTmvRNL9XRsX</t>
  </si>
  <si>
    <t>0344-2D41ED2A-66CC-47EF-ADDA-455C2EF0F861</t>
  </si>
  <si>
    <t>PRODUCCIONES AZTECA DIGITAL SA de CV</t>
  </si>
  <si>
    <t>cefat</t>
  </si>
  <si>
    <t>academic_usr_cefat</t>
  </si>
  <si>
    <t>X9YYXXcTgTPY</t>
  </si>
  <si>
    <t>0345-AEFA95AE-31C3-48E9-8939-5BC2808AA039</t>
  </si>
  <si>
    <t>PLATAFORMA ABIERTA DE INOVACIÓN Y DESARROLLO DE JALISCO</t>
  </si>
  <si>
    <t>plai</t>
  </si>
  <si>
    <t>academic_usr_plai</t>
  </si>
  <si>
    <t>hELmaNYXIaUh</t>
  </si>
  <si>
    <t>0346-8A4F5575-7FCB-46DE-8E44-3D60BB1B9A7D</t>
  </si>
  <si>
    <t>test_colegiomarktwain</t>
  </si>
  <si>
    <t>academic_usr_test_colegiomarktwain</t>
  </si>
  <si>
    <t>Fg28OPYc3UqB</t>
  </si>
  <si>
    <t>0347-733B0C70-3D32-4E4B-B7E9-3C98C869FE4E</t>
  </si>
  <si>
    <t>test_iges</t>
  </si>
  <si>
    <t>academic_usr_test_iges</t>
  </si>
  <si>
    <t>ER8cXhYcqILD</t>
  </si>
  <si>
    <t>0348-AC571AAE-1CEF-45B7-A8EF-3A7298391D6C</t>
  </si>
  <si>
    <t>test_pflc1</t>
  </si>
  <si>
    <t>academic_usr_test_pflc1</t>
  </si>
  <si>
    <t>UYZ5X7cBvT4D</t>
  </si>
  <si>
    <t>0349-6C792AC0-752D-48B5-A341-CA42DE6580F2</t>
  </si>
  <si>
    <t>test_ort</t>
  </si>
  <si>
    <t>academic_usr_test_ort</t>
  </si>
  <si>
    <t>YYgTwN3jITaR</t>
  </si>
  <si>
    <t>0350-79BD5181-0185-43D0-8376-E4C6051FE9BB</t>
  </si>
  <si>
    <t>test_unipre</t>
  </si>
  <si>
    <t>academic_usr_test_unipre</t>
  </si>
  <si>
    <t>a3a726wwY07E</t>
  </si>
  <si>
    <t>0351-C53D5862-B697-4D76-B5F7-B0E845492F43</t>
  </si>
  <si>
    <t>Universidad Latina S.C</t>
  </si>
  <si>
    <t>unila</t>
  </si>
  <si>
    <t>academic_usr_unila</t>
  </si>
  <si>
    <t>ENs68KXZ9Pmg</t>
  </si>
  <si>
    <t>0352-A5E5A948-1662-409E-B5E7-CF2095A5945D</t>
  </si>
  <si>
    <t>test_ugmnorte</t>
  </si>
  <si>
    <t>academic_usr_test_ugmnorte</t>
  </si>
  <si>
    <t>qOsNjN9X8gLZ</t>
  </si>
  <si>
    <t>0353-BEFBEFC4-66FB-4CAC-A897-98BB75AED172</t>
  </si>
  <si>
    <t>test_institutoinmagusa</t>
  </si>
  <si>
    <t>academic_usr_test_institutoinmagusa</t>
  </si>
  <si>
    <t>R5RR54m0BOD3</t>
  </si>
  <si>
    <t>0354-4F874C2E-5DF3-42B0-BFC6-CC1CC4CE3D7D</t>
  </si>
  <si>
    <t>INGENIERÍA Y MAQUINARIA DE GUADALUPE S.A. DE C.V.</t>
  </si>
  <si>
    <t>a9PTETNN935T</t>
  </si>
  <si>
    <t>0355-099B9A85-8B51-4438-8241-A3D1D6DBE174</t>
  </si>
  <si>
    <t>test_iussemper</t>
  </si>
  <si>
    <t>academic_usr_test_iussemper</t>
  </si>
  <si>
    <t>9KYD91O925aa</t>
  </si>
  <si>
    <t>0356-3A87154B-0719-413E-A48B-99BCF62EBABA</t>
  </si>
  <si>
    <t>test_utp</t>
  </si>
  <si>
    <t>academic_usr_test_utp</t>
  </si>
  <si>
    <t>XccP21F8gEIv</t>
  </si>
  <si>
    <t>0357-6B343D82-268A-41B6-8F25-0EF4D2AC5ADF</t>
  </si>
  <si>
    <t>PSY&amp;PSY PSYCHOLOGY AND PSYCHOTHERAPY CLÍNICA PSICOANALÍTICA INVESTIGACIÓN Y ENSEÑANZA ORGANISMO DE SERVICIOS PROFESIONALES PARA PROMOVER LA SALUD SC</t>
  </si>
  <si>
    <t>universidadinnova</t>
  </si>
  <si>
    <t>academic_usr_universidadinnova</t>
  </si>
  <si>
    <t>1D8P03IEXTPR</t>
  </si>
  <si>
    <t>0358-51861830-6445-4D87-A026-C0432AF9014F</t>
  </si>
  <si>
    <t>Demo Fevisa</t>
  </si>
  <si>
    <t>demo_fevisa</t>
  </si>
  <si>
    <t>academic_usr_demo_fevisa</t>
  </si>
  <si>
    <t>EOUsOhaNLRU1</t>
  </si>
  <si>
    <t>0359-97F43293-A0DB-446F-AD45-4E5696D7348A</t>
  </si>
  <si>
    <t>Management Executive Professional Education S.A. de C.V.</t>
  </si>
  <si>
    <t>amerivent</t>
  </si>
  <si>
    <t>academic_usr_amerivent</t>
  </si>
  <si>
    <t>Y3DEch9U35DF</t>
  </si>
  <si>
    <t>0360-83BB4D5A-3264-4A8A-A098-1923F79CC62F</t>
  </si>
  <si>
    <t>CENTRO EDUCATIVO COMUNITARIO INTEGRAL DON BOSCO A.C.</t>
  </si>
  <si>
    <t>fdonbosco</t>
  </si>
  <si>
    <t>academic_usr_fdonbosco</t>
  </si>
  <si>
    <t>wjO6haFEjKOU</t>
  </si>
  <si>
    <t>0361-32D45193-16D3-475C-A7C2-730438C77E26</t>
  </si>
  <si>
    <t>BRENDA YADIRA OLARTE PÉREZ</t>
  </si>
  <si>
    <t>universidaddaruma</t>
  </si>
  <si>
    <t>academic_usr_universidaddaruma</t>
  </si>
  <si>
    <t>D6RhB5q0IaTB</t>
  </si>
  <si>
    <t>0362-F9B926CB-EEAD-40DF-8D99-548C6ADDDAD2</t>
  </si>
  <si>
    <t>BIT Academic Demo</t>
  </si>
  <si>
    <t>bit</t>
  </si>
  <si>
    <t>academic_usr_bit</t>
  </si>
  <si>
    <t>28RX10NY3LIw</t>
  </si>
  <si>
    <t>0363-AF45EF52-DC67-41EF-95E9-72019568BAEA</t>
  </si>
  <si>
    <t>PREPA UNIVERSIDAD DE MONTERREY</t>
  </si>
  <si>
    <t>prepaudem</t>
  </si>
  <si>
    <t>academic_usr_prepaudem</t>
  </si>
  <si>
    <t>wswqT75FOLE7</t>
  </si>
  <si>
    <t>0364-B324A829-0777-4C06-952F-4660D60393A6</t>
  </si>
  <si>
    <t>test_metta</t>
  </si>
  <si>
    <t>academic_usr_test_metta</t>
  </si>
  <si>
    <t>58hPcwNENIcq</t>
  </si>
  <si>
    <t>0365-F7E510BF-C659-4FC8-AE8D-937375A1385A</t>
  </si>
  <si>
    <t>test_cus21pos</t>
  </si>
  <si>
    <t>academic_usr_test_cus21pos</t>
  </si>
  <si>
    <t>YFBThc48NsDq</t>
  </si>
  <si>
    <t>0366-E4CFADB1-49CF-4AF5-B125-CFADC3E426EA</t>
  </si>
  <si>
    <t>SAINT LUKE SCHOOL OF MEDICINE S.C.</t>
  </si>
  <si>
    <t>saintluke</t>
  </si>
  <si>
    <t>academic_usr_saintluke</t>
  </si>
  <si>
    <t>NTsXENPvNYhD</t>
  </si>
  <si>
    <t>0367-0F5E4FB6-FA51-457D-BD68-4631FB8C2FF7</t>
  </si>
  <si>
    <t>INSTITUCIÓN EDUCATIVA QUEEN VICTORIA S.C.</t>
  </si>
  <si>
    <t>qes</t>
  </si>
  <si>
    <t>academic_usr_qes</t>
  </si>
  <si>
    <t>aDT7KXXTKBB1</t>
  </si>
  <si>
    <t>0368-A4822D71-C1D6-4DE0-B292-0884BCC58B10</t>
  </si>
  <si>
    <t>CÍRCULO DE ESTUDIOS EN PSICOTERAPIA EXISTENCIAL S.C.</t>
  </si>
  <si>
    <t>circuloexistencial</t>
  </si>
  <si>
    <t>academic_usr_circuloexistencial</t>
  </si>
  <si>
    <t>IDB0910gqFD6</t>
  </si>
  <si>
    <t>0369-6A70B747-D013-41F8-A66A-CB91878044EE</t>
  </si>
  <si>
    <t>CENTRO UNIVERSITARIO ANGLO MEXICANO S.C.</t>
  </si>
  <si>
    <t>cuam</t>
  </si>
  <si>
    <t>academic_usr_cuam</t>
  </si>
  <si>
    <t>jKjLhcYvqFLa</t>
  </si>
  <si>
    <t>[52.1.208.20\ACADEMIC_PROCESS,3328].</t>
  </si>
  <si>
    <t>0370-B966F3EA-4314-434D-BCB9-28221A59B6D2</t>
  </si>
  <si>
    <t>UNIVERSIDAD YMCA A.C.</t>
  </si>
  <si>
    <t>uniymca</t>
  </si>
  <si>
    <t>academic_usr_uniymca</t>
  </si>
  <si>
    <t>7vY4w6EY6K95</t>
  </si>
  <si>
    <t>0371-5CC70071-81B3-460E-A5F6-16DFB21FE158</t>
  </si>
  <si>
    <t>ASOCIACIÓN PSICOANALÍTICA MEXICANA A.C.</t>
  </si>
  <si>
    <t>asociacionpsicoanaliticamexicana</t>
  </si>
  <si>
    <t>academic_usr_asociacionpsicoanaliticamexicana</t>
  </si>
  <si>
    <t>gYBYmgXq26PY</t>
  </si>
  <si>
    <t>0372-93179D8B-DDA0-45FA-9056-064F419F13BF</t>
  </si>
  <si>
    <t>CORPORATIVO INTERNACIONAL UNIVERSITARIO S.C.</t>
  </si>
  <si>
    <t>ciu</t>
  </si>
  <si>
    <t>academic_usr_ciu</t>
  </si>
  <si>
    <t>aTX6KKsZ2P6j</t>
  </si>
  <si>
    <t>0373-A384B1B0-1897-4BA1-AA8F-21983BDB8520</t>
  </si>
  <si>
    <t>test_isu</t>
  </si>
  <si>
    <t>academic_usr_test_isu</t>
  </si>
  <si>
    <t>wvmm0Y488Rq6</t>
  </si>
  <si>
    <t>0374-170F02D4-2F69-4BE3-8440-FE68FC592884</t>
  </si>
  <si>
    <t>CRUZ ROJA MEXICANA I.A.P.</t>
  </si>
  <si>
    <t>cruzrojacecem</t>
  </si>
  <si>
    <t>academic_usr_cruzrojacecem</t>
  </si>
  <si>
    <t>5DEgq3Lv6RhX</t>
  </si>
  <si>
    <t>0375-C5B658A1-1B45-4072-AFEA-2BA4DAFED696</t>
  </si>
  <si>
    <t>Sociedad Panamericana De Estudios Empresariales, A.C.</t>
  </si>
  <si>
    <t>ipade</t>
  </si>
  <si>
    <t>academic_usr_ipade</t>
  </si>
  <si>
    <t>cRj1K8gKY9sv</t>
  </si>
  <si>
    <t>0376-CC55050C-2F77-4388-BB10-009B4409D2E5</t>
  </si>
  <si>
    <t>COLEGIO ALMA MATER S.C.</t>
  </si>
  <si>
    <t>81Tg4TBImUwI</t>
  </si>
  <si>
    <t>0377-4B52E829-B206-4728-B73D-BAF07E4544C3</t>
  </si>
  <si>
    <t>ceam</t>
  </si>
  <si>
    <t>academic_usr_ceam</t>
  </si>
  <si>
    <t>XTs7BcNmZEFh</t>
  </si>
  <si>
    <t>0378-F7D86B48-4B65-47B1-868D-94032F8CC1F0</t>
  </si>
  <si>
    <t>ACHER HOUSE UNIVERITY S.C.</t>
  </si>
  <si>
    <t>ahu</t>
  </si>
  <si>
    <t>academic_usr_ahu</t>
  </si>
  <si>
    <t>79I1masURY1s</t>
  </si>
  <si>
    <t>0379-DCA79367-6218-40FB-B7D4-7D72D7B46258</t>
  </si>
  <si>
    <t>test_plai</t>
  </si>
  <si>
    <t>academic_usr_test_plai</t>
  </si>
  <si>
    <t>KEajLBTYDUcP</t>
  </si>
  <si>
    <t>0380-20F05494-ABCE-40A3-9918-63B02360D136</t>
  </si>
  <si>
    <t>CLAUDIA PATRICIA SUSANA PATIÑO BLANCO.</t>
  </si>
  <si>
    <t>unifreud</t>
  </si>
  <si>
    <t>academic_usr_unifreud</t>
  </si>
  <si>
    <t>acYZF5qEhqc3</t>
  </si>
  <si>
    <t>0381-CD390C2E-163D-4FE0-B69A-8972C62EF77D</t>
  </si>
  <si>
    <t>CENTRO DE ESTUDIOS NAUCALPAN PROFESOR FRANCISCO LARROYO A.C.</t>
  </si>
  <si>
    <t>cen</t>
  </si>
  <si>
    <t>academic_usr_cen</t>
  </si>
  <si>
    <t>9NZqTPZTPK04</t>
  </si>
  <si>
    <t>0382-5976755F-28C0-472B-A791-4F3E76444A5B</t>
  </si>
  <si>
    <t>ÁGORA EDUCATIVO MONTERREY A.C.</t>
  </si>
  <si>
    <t>agora</t>
  </si>
  <si>
    <t>academic_usr_agora</t>
  </si>
  <si>
    <t>1s9RsaIPaOD4</t>
  </si>
  <si>
    <t>0383-07547905-B737-4CEA-B267-11171AEA4D7F</t>
  </si>
  <si>
    <t>UNIVERSIDAD HUASTECA VERACRUZANA S.C.</t>
  </si>
  <si>
    <t>uhv</t>
  </si>
  <si>
    <t>academic_usr_uhv</t>
  </si>
  <si>
    <t>5Z19RFhhmT0s</t>
  </si>
  <si>
    <t>0384-022C40A6-0F37-4763-BB10-BA21251F591B</t>
  </si>
  <si>
    <t>UNIVERSIDAD DISEÑA S.C.</t>
  </si>
  <si>
    <t>universidaddisena</t>
  </si>
  <si>
    <t>academic_usr_universidaddisena</t>
  </si>
  <si>
    <t>EwB4KB1qKXKL</t>
  </si>
  <si>
    <t>0385-10E0B4C1-DD41-4B58-ACE7-20F10E255615</t>
  </si>
  <si>
    <t>COLEGIO GUADALUPE VICTORIA VALLE DE BRAVO A.C.</t>
  </si>
  <si>
    <t>guadalupevictoria</t>
  </si>
  <si>
    <t>academic_usr_guadalupevictoria</t>
  </si>
  <si>
    <t>sw4Bw97OjFI7</t>
  </si>
  <si>
    <t>0386-131A5576-4CF5-4BB5-A2F8-29B4C7E1A828</t>
  </si>
  <si>
    <t>LOGOS FORMACIÓN Y DESARROLLO S.C.</t>
  </si>
  <si>
    <t>maxei</t>
  </si>
  <si>
    <t>academic_usr_maxei</t>
  </si>
  <si>
    <t>K13XOOIv79Ns</t>
  </si>
  <si>
    <t>0387-46D228BE-1D26-4763-9190-355FA6984378</t>
  </si>
  <si>
    <t>INSTITUTO PARA LA EDUCACIÓN INTEGRAL DEL BACHILLER S.C.</t>
  </si>
  <si>
    <t>inedib</t>
  </si>
  <si>
    <t>academic_usr_inedib</t>
  </si>
  <si>
    <t>gZ4sENwNUUwj</t>
  </si>
  <si>
    <t>0388-F99D6EC3-1053-48A5-9161-B7652159B96D</t>
  </si>
  <si>
    <t>Smartium</t>
  </si>
  <si>
    <t>smartium</t>
  </si>
  <si>
    <t>academic_usr_smartium</t>
  </si>
  <si>
    <t>sZO5EBsKK1PD</t>
  </si>
  <si>
    <t>0389-CC5F6BBB-1180-402D-838A-FF33F061BD2B</t>
  </si>
  <si>
    <t>test_ciu</t>
  </si>
  <si>
    <t>academic_usr_test_ciu</t>
  </si>
  <si>
    <t>UhLKaPNjTEN1</t>
  </si>
  <si>
    <t>0390-2916A1A7-8A14-4E8A-9D34-B92406CFAD3D</t>
  </si>
  <si>
    <t>CORPORATIVO EDUCATIVO CENAL S.A. DE C.V.</t>
  </si>
  <si>
    <t>institutogoes</t>
  </si>
  <si>
    <t>academic_usr_institutogoes</t>
  </si>
  <si>
    <t>FRFUKDLY166F</t>
  </si>
  <si>
    <t>0391-D35B057A-85F1-4060-9F33-F156D24E1A74</t>
  </si>
  <si>
    <t>folksinstitute</t>
  </si>
  <si>
    <t>academic_usr_folksinstitute</t>
  </si>
  <si>
    <t>m0UUw3PgaFEc</t>
  </si>
  <si>
    <t>0392-E1D85E43-D9A8-4DB1-A469-FFCAB22BDC94</t>
  </si>
  <si>
    <t>INSTITUTO TECNOLÓGICO SUPERIOR DE ALVARADO VERACRUZ.</t>
  </si>
  <si>
    <t>Itsavcle</t>
  </si>
  <si>
    <t>academic_usr_Itsavcle</t>
  </si>
  <si>
    <t>w5K3E54maZEF</t>
  </si>
  <si>
    <t>0393-83EC610A-EADE-43E7-B723-5F3465BB52EB</t>
  </si>
  <si>
    <t>LICEO PEDRO DE GANTE S.C.</t>
  </si>
  <si>
    <t>pedrodegante</t>
  </si>
  <si>
    <t>academic_usr_pedrodegante</t>
  </si>
  <si>
    <t>F6sBTFIsLgav</t>
  </si>
  <si>
    <t>0394-721AADFD-4D27-4249-A419-753A4DFF5324</t>
  </si>
  <si>
    <t>test_gtu</t>
  </si>
  <si>
    <t>academic_usr_test_gtu</t>
  </si>
  <si>
    <t>5g16Uqq6D1OK</t>
  </si>
  <si>
    <t>0395-70459B74-A496-4B05-895D-383587E6C55F</t>
  </si>
  <si>
    <t>UNIVERSIDAD DUCENS A.C.</t>
  </si>
  <si>
    <t>universidadducens</t>
  </si>
  <si>
    <t>academic_usr_universidadducens</t>
  </si>
  <si>
    <t>mKFBIF61g6K4</t>
  </si>
  <si>
    <t>0396-ECA08F5F-3603-4E01-B329-1D484FD8B6C5</t>
  </si>
  <si>
    <t>DESARROLLOS EDUCATIVOS MERCURIO S.C.</t>
  </si>
  <si>
    <t>unidei</t>
  </si>
  <si>
    <t>academic_usr_unidei</t>
  </si>
  <si>
    <t>3PXI6EEqY8wF</t>
  </si>
  <si>
    <t>0397-9EDF17EE-DC6A-4BE2-A602-4A1308E91FAB</t>
  </si>
  <si>
    <t>LICEO DE LEÓN A.C.</t>
  </si>
  <si>
    <t>liceodeleon</t>
  </si>
  <si>
    <t>academic_usr_liceodeleon</t>
  </si>
  <si>
    <t>FaUqq8NgFmKE</t>
  </si>
  <si>
    <t>0398-48D375B8-0FB3-4A37-BE59-7EF5DB9C5DB7</t>
  </si>
  <si>
    <t>COLEGIO INTERCULTURAL VIRTUAL S.C.</t>
  </si>
  <si>
    <t>colegiointercultural</t>
  </si>
  <si>
    <t>academic_usr_colegiointercultural</t>
  </si>
  <si>
    <t>DmcZ4XTPPPmv</t>
  </si>
  <si>
    <t>0399-8D1CAF0F-59B7-4027-ADBC-026E1453E871</t>
  </si>
  <si>
    <t>test_uniceq</t>
  </si>
  <si>
    <t>academic_usr_test_uniceq</t>
  </si>
  <si>
    <t>OO5v6P4KEBBT</t>
  </si>
  <si>
    <t>0400-C979A57A-EB9C-4034-AF51-0070EA3AE6EA</t>
  </si>
  <si>
    <t>JIMMAR GARCIA JIMENEZ</t>
  </si>
  <si>
    <t>esin</t>
  </si>
  <si>
    <t>academic_usr_esin</t>
  </si>
  <si>
    <t>DNTLT6v353Xa</t>
  </si>
  <si>
    <t>0401-3D0B54F8-7D80-4D1C-A268-EC6BE4E7BBE6</t>
  </si>
  <si>
    <t>CENTRO AGUSTINIANO DE PROMOCIÓN CULTURAL URIANGATO A.C.</t>
  </si>
  <si>
    <t>capcu</t>
  </si>
  <si>
    <t>academic_usr_capcu</t>
  </si>
  <si>
    <t>m1Z81LU24LcO</t>
  </si>
  <si>
    <t>0402-28C65711-F495-4E47-A420-659C8FECF2AB</t>
  </si>
  <si>
    <t>test_cus21</t>
  </si>
  <si>
    <t>academic_usr_test_cus21</t>
  </si>
  <si>
    <t>m146hNg28DB3</t>
  </si>
  <si>
    <t>0403-117B8737-3BB5-443A-87BC-A4F3AB13CFF3</t>
  </si>
  <si>
    <t>FOMENTO EDUCATIVO Y CULTURAL EDUCACONT S.C.</t>
  </si>
  <si>
    <t>educacont</t>
  </si>
  <si>
    <t>academic_usr_educacont</t>
  </si>
  <si>
    <t>D6mU9shh7RvP</t>
  </si>
  <si>
    <t>0404-E3DA5993-5256-40EE-BB3D-604E42C75199</t>
  </si>
  <si>
    <t>INSTITUTO GESTALT DE PUEBLA S.C.</t>
  </si>
  <si>
    <t>gestalthumanista</t>
  </si>
  <si>
    <t>academic_usr_gestalthumanista</t>
  </si>
  <si>
    <t>jvsBT59IZXq7</t>
  </si>
  <si>
    <t>0405-2402FCA3-5610-4331-A154-C2B2D0302A49</t>
  </si>
  <si>
    <t>INSTITUTO ODONTOLÓGICO DEL PACÍFICO SUR A.C.</t>
  </si>
  <si>
    <t>iops</t>
  </si>
  <si>
    <t>academic_usr_iops</t>
  </si>
  <si>
    <t>K42PFcv30KUB</t>
  </si>
  <si>
    <t>0407-422C509E-7CC8-4BD8-AEC7-B6EC8AA2E107</t>
  </si>
  <si>
    <t>UNIVERSIDAD REAL DE QUERÉTARO S.C.</t>
  </si>
  <si>
    <t>urq</t>
  </si>
  <si>
    <t>academic_usr_urq</t>
  </si>
  <si>
    <t>8vwcN9369E25</t>
  </si>
  <si>
    <t>0408-BA79F9D6-9326-4E0E-A49F-17792AFD0214</t>
  </si>
  <si>
    <t>test_buenatierra</t>
  </si>
  <si>
    <t>academic_usr_test_buenatierra</t>
  </si>
  <si>
    <t>ENqX1F5RcaUR</t>
  </si>
  <si>
    <t>0409-6EBA371F-2BDC-4238-9939-60BDFA588D50</t>
  </si>
  <si>
    <t>ENAM CENTRO DE ESTUDIOS DE MÚSICA, AUDIO Y PRODUCCIÓN MUSICAL S.C.</t>
  </si>
  <si>
    <t>enam</t>
  </si>
  <si>
    <t>academic_usr_enam</t>
  </si>
  <si>
    <t>TgYBDRIXLgvv</t>
  </si>
  <si>
    <t>0410-CFCFCD17-8B59-4318-AA51-4294EA436C59</t>
  </si>
  <si>
    <t>SAJ &amp; G COMPANY S de RL de CV.</t>
  </si>
  <si>
    <t>chja</t>
  </si>
  <si>
    <t>academic_usr_chja</t>
  </si>
  <si>
    <t>XcXaDq5E8D32</t>
  </si>
  <si>
    <t>0411-8425D020-308F-475F-92AB-F6E23C05C328</t>
  </si>
  <si>
    <t>Liverpool S.A. de C.V.</t>
  </si>
  <si>
    <t>sRcXLUq4R5a0</t>
  </si>
  <si>
    <t>0412-E13B8F33-C772-43B9-8EC9-C492DE4A0EC7</t>
  </si>
  <si>
    <t>TLAHUILCALLI S.C.</t>
  </si>
  <si>
    <t>institutoicam</t>
  </si>
  <si>
    <t>academic_usr_institutoicam</t>
  </si>
  <si>
    <t>vXh1OmYv1aFP</t>
  </si>
  <si>
    <t>0413-DBC5DE66-3DA1-451B-A704-FEAD028A6340</t>
  </si>
  <si>
    <t>DESARROLLO EDUCATIVO TOTAL A.C.</t>
  </si>
  <si>
    <t>institutonovaera</t>
  </si>
  <si>
    <t>academic_usr_institutonovaera</t>
  </si>
  <si>
    <t>Dh37NNYvg7K8</t>
  </si>
  <si>
    <t>0414-34D1C7D8-59B9-470F-99A3-F68572A3AF18</t>
  </si>
  <si>
    <t>INSTITUTO EDUCATIVO DE DESARROLLO INTERAL DEL SABER S.C</t>
  </si>
  <si>
    <t>iedis</t>
  </si>
  <si>
    <t>academic_usr_iedis</t>
  </si>
  <si>
    <t>KvhIsRs6KP0F</t>
  </si>
  <si>
    <t>0415-3B3635F8-17AD-4F1E-B0D8-024450A7E1D0</t>
  </si>
  <si>
    <t>Colegio Educativo Papalotl S.C.</t>
  </si>
  <si>
    <t>liceoloscabos</t>
  </si>
  <si>
    <t>academic_usr_liceoloscabos</t>
  </si>
  <si>
    <t>XmRPI2YKUaI7</t>
  </si>
  <si>
    <t>0416-4FD2782C-4C70-457C-9661-AE4B07553F16</t>
  </si>
  <si>
    <t>INSTITUTO ALEMÁN MULTICULTURAL  S.C.</t>
  </si>
  <si>
    <t>institutoaleman</t>
  </si>
  <si>
    <t>academic_usr_institutoaleman</t>
  </si>
  <si>
    <t>Z9EEjBZ20gN3</t>
  </si>
  <si>
    <t>0417-8B67770C-A7EC-4D2E-8941-376A938402F7</t>
  </si>
  <si>
    <t>MASMOR S.C.</t>
  </si>
  <si>
    <t>aspic</t>
  </si>
  <si>
    <t>academic_usr_aspic</t>
  </si>
  <si>
    <t>F4cUDPqs27cs</t>
  </si>
  <si>
    <t>0418-80225776-27AC-4294-8E1A-0558B4081116</t>
  </si>
  <si>
    <t>Tecnológico y Universitario del Estado de México S.C.</t>
  </si>
  <si>
    <t>ituem</t>
  </si>
  <si>
    <t>academic_usr_ituem</t>
  </si>
  <si>
    <t>va1L3TE6aw3T</t>
  </si>
  <si>
    <t>0419-83AD9916-666C-474F-BAC0-6DB1DE0E7ED0</t>
  </si>
  <si>
    <t>test_liverpool</t>
  </si>
  <si>
    <t>academic_usr_test_liverpool</t>
  </si>
  <si>
    <t>1aI6a4UggZZ7</t>
  </si>
  <si>
    <t>0420-62B14824-8FAA-4166-9375-D1052F012D27</t>
  </si>
  <si>
    <t>Centro de Estudios Londres Querétaro S.C.</t>
  </si>
  <si>
    <t>udelondresqueretaro</t>
  </si>
  <si>
    <t>academic_usr_udelondresqueretaro</t>
  </si>
  <si>
    <t>1XP1FRvmqUw0</t>
  </si>
  <si>
    <t>0421-D13E2A17-48A6-4006-8089-050AA630C842</t>
  </si>
  <si>
    <t>AMANECER REFORMISTA DE MÉXICO A.C.</t>
  </si>
  <si>
    <t>ledr</t>
  </si>
  <si>
    <t>academic_usr_ledr</t>
  </si>
  <si>
    <t>YFsjBK6TZ6XE</t>
  </si>
  <si>
    <t>0422-AE29C0A0-8BCA-40EB-9279-931186657BF5</t>
  </si>
  <si>
    <t>Margaret School SC</t>
  </si>
  <si>
    <t>margaret</t>
  </si>
  <si>
    <t>academic_usr_margaret</t>
  </si>
  <si>
    <t>hj60144181cB</t>
  </si>
  <si>
    <t>0423-6F757642-275D-454F-B448-95F7F19E5D7F</t>
  </si>
  <si>
    <t>ST GEORGE COMUNIDAD EDUCATIVA A.C.</t>
  </si>
  <si>
    <t>colegiostgeorge</t>
  </si>
  <si>
    <t>academic_usr_colegiostgeorge</t>
  </si>
  <si>
    <t>aNsU3RcvDcDK</t>
  </si>
  <si>
    <t>0424-2AA98B7E-84E7-4DC1-B3F6-050F7C0F9C3C</t>
  </si>
  <si>
    <t>Instituto Tecnologico Superior de Jalisco</t>
  </si>
  <si>
    <t>tsj</t>
  </si>
  <si>
    <t>academic_usr_tsj</t>
  </si>
  <si>
    <t>UvO7v1cgXN68</t>
  </si>
  <si>
    <t>0425-8E10E549-62BE-44B3-9214-67A3C45E8467</t>
  </si>
  <si>
    <t>UNIVERSIDAD SALESIANA A.C.</t>
  </si>
  <si>
    <t>unisal</t>
  </si>
  <si>
    <t>academic_usr_unisal</t>
  </si>
  <si>
    <t>1jN346P1wBXF</t>
  </si>
  <si>
    <t>0426-B36215A7-8CBA-45FD-AE4F-59C86B60EDDF</t>
  </si>
  <si>
    <t>INSTITUTO NAINARI S.C.</t>
  </si>
  <si>
    <t>institutonainari</t>
  </si>
  <si>
    <t>academic_usr_institutonainari</t>
  </si>
  <si>
    <t>5v74Pwh9mFPa</t>
  </si>
  <si>
    <t>0427-AE169ACC-C679-4609-9410-554F35F441D8</t>
  </si>
  <si>
    <t>test_tsj</t>
  </si>
  <si>
    <t>academic_usr_test_tsj</t>
  </si>
  <si>
    <t>ZBwwqUIsRsYE</t>
  </si>
  <si>
    <t>0428-5994008F-18C3-4BC3-92EF-C8A85E223808</t>
  </si>
  <si>
    <t>LÍDERES DEL SIGLO A.C.</t>
  </si>
  <si>
    <t>institutolisi</t>
  </si>
  <si>
    <t>academic_usr_institutolisi</t>
  </si>
  <si>
    <t>wvZ26j1aIa36</t>
  </si>
  <si>
    <t>0429-C0B4A8B1-3538-4449-B424-2DB315C0518E</t>
  </si>
  <si>
    <t>CONCEPTO PHI S.C.</t>
  </si>
  <si>
    <t>estudiocreativo</t>
  </si>
  <si>
    <t>academic_usr_estudiocreativo</t>
  </si>
  <si>
    <t>3wgOaPhEY5qU</t>
  </si>
  <si>
    <t>0430-8D16DCA0-49FE-4138-8BF4-3E57A4591860</t>
  </si>
  <si>
    <t>MAREN KIDS DESARROLLO INFANTIL S.C.</t>
  </si>
  <si>
    <t>marenkids</t>
  </si>
  <si>
    <t>academic_usr_marenkids</t>
  </si>
  <si>
    <t>EOmF3BaPOKYX</t>
  </si>
  <si>
    <t>0431-0F7A5A74-83A4-45D2-97ED-CF86087FA0B5</t>
  </si>
  <si>
    <t>NX EMPRESARIAL SA DE CV</t>
  </si>
  <si>
    <t>iaacmexico</t>
  </si>
  <si>
    <t>academic_usr_iaacmexico</t>
  </si>
  <si>
    <t>ZPLOOFKwwRgY</t>
  </si>
  <si>
    <t>0432-E2D6409A-0244-4961-9AB4-6640C87FFB54</t>
  </si>
  <si>
    <t>Colegio Jaime Torres Bodet</t>
  </si>
  <si>
    <t>torresbodet</t>
  </si>
  <si>
    <t>academic_usr_torresbodet</t>
  </si>
  <si>
    <t>ajEKsUB9056P</t>
  </si>
  <si>
    <t>0433-8F1E8D88-9D24-4ED2-B8E2-6AA335BDD591</t>
  </si>
  <si>
    <t>Little Big Minds School S.C.</t>
  </si>
  <si>
    <t>colegiolbm</t>
  </si>
  <si>
    <t>academic_usr_colegiolbm</t>
  </si>
  <si>
    <t>waLvsUEgUNRD</t>
  </si>
  <si>
    <t>0434-96ECAAA2-D62C-481A-97EB-0998FEB6EA94</t>
  </si>
  <si>
    <t>FUNDACIÓN LAURELES I.A.P.</t>
  </si>
  <si>
    <t>colegiolaureles</t>
  </si>
  <si>
    <t>academic_usr_colegiolaureles</t>
  </si>
  <si>
    <t>TL8DZh3w62BT</t>
  </si>
  <si>
    <t>0435-0D45E52A-27AB-467D-91DC-8F240D7C23F4</t>
  </si>
  <si>
    <t>Universidad Tecnológica Cumbres S.C.</t>
  </si>
  <si>
    <t>utcumbres</t>
  </si>
  <si>
    <t>academic_usr_utcumbres</t>
  </si>
  <si>
    <t>ORDLFvsLY11h</t>
  </si>
  <si>
    <t>0436-02C13B30-F1F3-4D0F-BB96-EDDFCE12D46A</t>
  </si>
  <si>
    <t>Red Internacional de Aliados Educativos SC.</t>
  </si>
  <si>
    <t>cip</t>
  </si>
  <si>
    <t>academic_usr_cip</t>
  </si>
  <si>
    <t>qvXKX2sN201Y</t>
  </si>
  <si>
    <t>0437-2AFFA435-9415-4CF2-AE04-0F33CB0310EF</t>
  </si>
  <si>
    <t>INSTITUTO CULMEN DE IXTAPAN S.C.</t>
  </si>
  <si>
    <t>institutoculmen</t>
  </si>
  <si>
    <t>academic_usr_institutoculmen</t>
  </si>
  <si>
    <t>ahNU7UwwUwsg</t>
  </si>
  <si>
    <t>0438-D35D4624-BB5E-4008-9814-64E97CB29372</t>
  </si>
  <si>
    <t>PATRONATO DE LA ESCUELA DE ENFERMERÍA FRAY ANTONIO ALCALDE A.C.</t>
  </si>
  <si>
    <t>escuelafray</t>
  </si>
  <si>
    <t>academic_usr_escuelafray</t>
  </si>
  <si>
    <t>B41qqBghPEsL</t>
  </si>
  <si>
    <t>0439-5042239B-3DD8-4E3B-A727-6454B75E7495</t>
  </si>
  <si>
    <t>Universidad Miguel Alemán A.C.</t>
  </si>
  <si>
    <t>umalobos</t>
  </si>
  <si>
    <t>academic_usr_umalobos</t>
  </si>
  <si>
    <t>5PN43D8wTThU</t>
  </si>
  <si>
    <t>0440-74EC90E8-37BB-455E-9ECD-1E48E56901C1</t>
  </si>
  <si>
    <t>CENTRO DE ESTUDIOS SUPERIORES ATENEA, PALAS S.C.</t>
  </si>
  <si>
    <t>universidadatenea</t>
  </si>
  <si>
    <t>academic_usr_universidadatenea</t>
  </si>
  <si>
    <t>sgR6LTTLT8g1</t>
  </si>
  <si>
    <t>0441-DF6F90FE-73DE-4908-8548-CE842AF9C828</t>
  </si>
  <si>
    <t>test_icamerica</t>
  </si>
  <si>
    <t>academic_usr_test_icamerica</t>
  </si>
  <si>
    <t>Ts93gv80KI13</t>
  </si>
  <si>
    <t>0442-6B4A059F-77C3-44AA-92E8-391B8502E79C</t>
  </si>
  <si>
    <t>Centro de Gastronomía y Sazón S.C.</t>
  </si>
  <si>
    <t>cgs</t>
  </si>
  <si>
    <t>academic_usr_cgs</t>
  </si>
  <si>
    <t>9q9K1gqj3wOc</t>
  </si>
  <si>
    <t>0443-5177B9AA-5E75-46AE-AA68-B54AB8E301E1</t>
  </si>
  <si>
    <t>SAJ &amp; G COMPANY S DE RL DE CV</t>
  </si>
  <si>
    <t>chjaocoyoacac</t>
  </si>
  <si>
    <t>academic_usr_chjaocoyoacac</t>
  </si>
  <si>
    <t>g48Kv5ac30Oa</t>
  </si>
  <si>
    <t>0444-071E5E9C-9A31-430F-BBBB-0300B0F44719</t>
  </si>
  <si>
    <t>test_smartium</t>
  </si>
  <si>
    <t>academic_usr_test_smartium</t>
  </si>
  <si>
    <t>w7qBIwKY8sRw</t>
  </si>
  <si>
    <t>0445-21E230EF-3AE9-4A29-84AF-0D1683389CF7</t>
  </si>
  <si>
    <t>GRUPO OBELISCO DE SERVICIOS CORPORATIVOS S.C.</t>
  </si>
  <si>
    <t>iulatam</t>
  </si>
  <si>
    <t>academic_usr_iulatam</t>
  </si>
  <si>
    <t>mPKFLB44ENR7</t>
  </si>
  <si>
    <t>0446-4C9876D6-73DA-43C3-8B00-29B73B442D57</t>
  </si>
  <si>
    <t>LICEO BRITÁNICO ORIENTE A.C.</t>
  </si>
  <si>
    <t>grupolafragua</t>
  </si>
  <si>
    <t>academic_usr_grupolafragua</t>
  </si>
  <si>
    <t>86gwmI0ZBEFh</t>
  </si>
  <si>
    <t>0447-849BE390-351E-41C0-AF1E-3C36FF505B1B</t>
  </si>
  <si>
    <t>3EK20UIN1TEO</t>
  </si>
  <si>
    <t>0448-C066CA5D-D587-4746-9FC3-12369FE06BA1</t>
  </si>
  <si>
    <t>Universidad Empresarial Hispanoamericana S.C.</t>
  </si>
  <si>
    <t>ieh</t>
  </si>
  <si>
    <t>academic_usr_ieh</t>
  </si>
  <si>
    <t>TLZ5KjZ6hv45</t>
  </si>
  <si>
    <t>0449-1E285FBC-7B8A-4F8B-949C-AFB4E0FE808B</t>
  </si>
  <si>
    <t>Soporte técnico de primera línea SA de CV</t>
  </si>
  <si>
    <t>soporte</t>
  </si>
  <si>
    <t>academic_usr_soporte</t>
  </si>
  <si>
    <t>I70j08s2U801</t>
  </si>
  <si>
    <t>0450-60EB46A7-E504-4C08-AF94-8270F4F33917</t>
  </si>
  <si>
    <t>INSTITUTO JARQUÍN A.C.</t>
  </si>
  <si>
    <t>margaritachorne</t>
  </si>
  <si>
    <t>academic_usr_margaritachorne</t>
  </si>
  <si>
    <t>B3B33g3s6mPm</t>
  </si>
  <si>
    <t>0451-902F07AB-303C-475C-ABDB-2CBEC25D142A</t>
  </si>
  <si>
    <t>Centro de Estudios Agustiniano Fray Andrés de Urdaneta A.R.</t>
  </si>
  <si>
    <t>ceafadu</t>
  </si>
  <si>
    <t>academic_usr_ceafadu</t>
  </si>
  <si>
    <t>81cUD7Xq83cL</t>
  </si>
  <si>
    <t>0452-13F18BCB-82C1-44DE-991B-F086BC716ADC</t>
  </si>
  <si>
    <t>test_imagenpublica</t>
  </si>
  <si>
    <t>academic_usr_test_imagenpublica</t>
  </si>
  <si>
    <t>ggNDNOB7NL4c</t>
  </si>
  <si>
    <t>0453-2DB3C2C1-DC84-47D2-814B-C1139498B4CD</t>
  </si>
  <si>
    <t>Universidad para el Desarrollo Académico y Profesional</t>
  </si>
  <si>
    <t>udap</t>
  </si>
  <si>
    <t>academic_usr_udap</t>
  </si>
  <si>
    <t>Rgvj18U8OaLs</t>
  </si>
  <si>
    <t>0454-91F1EC72-11AA-4613-843A-BBE310EEDC7A</t>
  </si>
  <si>
    <t>ESCUELA SUPERIOR CENTROAMERICANA S.C.</t>
  </si>
  <si>
    <t>unica</t>
  </si>
  <si>
    <t>academic_usr_unica</t>
  </si>
  <si>
    <t>v45X7jLXUZgc</t>
  </si>
  <si>
    <t>0455-9D597F4D-75AD-4A5C-83DB-F0FEBC23CFC7</t>
  </si>
  <si>
    <t>UNIVERSIDAD INTERNACIONAL DEL CONOCIMIENTO E INVESTIGACIÓN S.C.</t>
  </si>
  <si>
    <t>1gP1wNKBF9RO</t>
  </si>
  <si>
    <t>0456-653244E8-3A5A-48FA-949E-4D90A0874C19</t>
  </si>
  <si>
    <t>JORGE RAMÍREZ LÓPEZ</t>
  </si>
  <si>
    <t>colegiofraydiego</t>
  </si>
  <si>
    <t>academic_usr_colegiofraydiego</t>
  </si>
  <si>
    <t>TYXKcNY214Fw</t>
  </si>
  <si>
    <t>0457-7DB645B6-DD07-41DD-A8A9-45FA75620FE9</t>
  </si>
  <si>
    <t>test_unila</t>
  </si>
  <si>
    <t>academic_usr_test_unila</t>
  </si>
  <si>
    <t>2XsXENNIDRNq</t>
  </si>
  <si>
    <t>0458-EAC6E67F-7144-413F-9ABC-1E93BF884FA1</t>
  </si>
  <si>
    <t>Universidad de Educación Interactiva Online S.C.</t>
  </si>
  <si>
    <t>uniti</t>
  </si>
  <si>
    <t>academic_usr_uniti</t>
  </si>
  <si>
    <t>B4gE1UgFXwa7</t>
  </si>
  <si>
    <t>0459-FAB709BE-DA24-4375-83CD-4F1C58A40C39</t>
  </si>
  <si>
    <t>SERVICIOS DE ESTUDIOS ESPECIALIZADOS DE QUINTANA ROO S.C.</t>
  </si>
  <si>
    <t>unare</t>
  </si>
  <si>
    <t>academic_usr_unare</t>
  </si>
  <si>
    <t>2LLa9w7I7wc6</t>
  </si>
  <si>
    <t>0460-B482F9C9-2BB9-476B-A2E1-719971ECF86B</t>
  </si>
  <si>
    <t>SARA ROXANA GÓMEZ PÉREZ</t>
  </si>
  <si>
    <t>utamaulipas</t>
  </si>
  <si>
    <t>academic_usr_utamaulipas</t>
  </si>
  <si>
    <t>8gOZB6aXEhZI</t>
  </si>
  <si>
    <t>0461-539CA54E-8801-413B-A6CA-B5D86DDDDE6F</t>
  </si>
  <si>
    <t>Universidad Cultural de Investigación S.C.</t>
  </si>
  <si>
    <t>uif</t>
  </si>
  <si>
    <t>academic_usr_uif</t>
  </si>
  <si>
    <t>mgXhYX17KasO</t>
  </si>
  <si>
    <t>0463-DEFC1D5D-4909-4EC6-857A-8006AE4DBBB3</t>
  </si>
  <si>
    <t>ROSA ELIA TOPETE FLORES</t>
  </si>
  <si>
    <t>terranovacolegio</t>
  </si>
  <si>
    <t>academic_usr_terranovacolegio</t>
  </si>
  <si>
    <t>sZ00cRZcI7Fm</t>
  </si>
  <si>
    <t>0464-D04B0E66-51D4-4157-91B7-BD97C3FEBAED</t>
  </si>
  <si>
    <t>Luis René González Mira</t>
  </si>
  <si>
    <t>iem</t>
  </si>
  <si>
    <t>academic_usr_iem</t>
  </si>
  <si>
    <t>m94O3F7FKac4</t>
  </si>
  <si>
    <t>0465-D8EB3907-19B2-42B5-8A86-AEA481FA7979</t>
  </si>
  <si>
    <t>test_cetac</t>
  </si>
  <si>
    <t>academic_usr_test_cetac</t>
  </si>
  <si>
    <t>F92mNg9w93T2</t>
  </si>
  <si>
    <t>0466-1AD133E2-0828-41B8-AC5A-58AFE8F2611B</t>
  </si>
  <si>
    <t>INSTITUTO DCK PARA LA FORMACIÓN PROFESIONAL Y DE NEGOCIOS S.C.</t>
  </si>
  <si>
    <t>ahjende</t>
  </si>
  <si>
    <t>academic_usr_ahjende</t>
  </si>
  <si>
    <t>7R82I4jRXFgm</t>
  </si>
  <si>
    <t>0467-A80F1886-857C-45C4-95AE-657EF3E83B57</t>
  </si>
  <si>
    <t>Instituto Superior de Música Villalva Encore A.C.</t>
  </si>
  <si>
    <t>ismuve</t>
  </si>
  <si>
    <t>academic_usr_ismuve</t>
  </si>
  <si>
    <t>mNcqN18U5s0g</t>
  </si>
  <si>
    <t>0468-1A037424-1AD1-4112-B5F1-EE7F31F70AC2</t>
  </si>
  <si>
    <t>Centro de Capacitación Kaizen S.C.</t>
  </si>
  <si>
    <t>ceskaizen</t>
  </si>
  <si>
    <t>academic_usr_ceskaizen</t>
  </si>
  <si>
    <t>5046IcjL0ch6</t>
  </si>
  <si>
    <t>0469-A1E39642-AE47-48E6-A139-CA1289D15E7E</t>
  </si>
  <si>
    <t>Grupo Xoxtla Lunapar S.C.</t>
  </si>
  <si>
    <t>cesuma</t>
  </si>
  <si>
    <t>academic_usr_cesuma</t>
  </si>
  <si>
    <t>L77XRh4EaO7P</t>
  </si>
  <si>
    <t>0470-70B0AE12-46FA-4EE9-A88A-2393FAAC9CE3</t>
  </si>
  <si>
    <t>Cruz Roja Mexicana I.A.P.</t>
  </si>
  <si>
    <t>capacitacioncrm</t>
  </si>
  <si>
    <t>academic_usr_capacitacioncrm</t>
  </si>
  <si>
    <t>X1DNFOq5YBsL</t>
  </si>
  <si>
    <t>0471-394F2447-AC70-48A1-9FE7-D7649E3FA488</t>
  </si>
  <si>
    <t>Colegio del Tepeyac A.C.</t>
  </si>
  <si>
    <t>colegiotepeyac</t>
  </si>
  <si>
    <t>academic_usr_colegiotepeyac</t>
  </si>
  <si>
    <t>Pq135T67cZ78</t>
  </si>
  <si>
    <t>0472-67FB60DC-E725-43E0-A8FB-42C68DCF1F9F</t>
  </si>
  <si>
    <t>test_cepeco</t>
  </si>
  <si>
    <t>academic_usr_test_cepeco</t>
  </si>
  <si>
    <t>Dm2D4cNw0FB7</t>
  </si>
  <si>
    <t>0473-73B6C473-F6C4-487D-8FA9-6A66259C06DE</t>
  </si>
  <si>
    <t>TLAPITZANI FORMACIÓ ACADÉMICA PARA INTERPRETES Y COMPOSITORES S.C.</t>
  </si>
  <si>
    <t>tlapitzani</t>
  </si>
  <si>
    <t>academic_usr_tlapitzani</t>
  </si>
  <si>
    <t>UZ8LwOYTXU2D</t>
  </si>
  <si>
    <t>0474-B24779A4-2A6B-47D9-844C-E1B1A2CCE06A</t>
  </si>
  <si>
    <t>AMIGOS DE LA EDUCACIÓN S.C.</t>
  </si>
  <si>
    <t>isbtoluca</t>
  </si>
  <si>
    <t>academic_usr_isbtoluca</t>
  </si>
  <si>
    <t>qDFUDjYX8sOE</t>
  </si>
  <si>
    <t>0475-659EA312-58B8-487C-A112-37A96FE7591E</t>
  </si>
  <si>
    <t>Centro de Estudios Universitarios Horacio Zúñiga S.C.</t>
  </si>
  <si>
    <t>ceuhz</t>
  </si>
  <si>
    <t>academic_usr_ceuhz</t>
  </si>
  <si>
    <t>6mXFNacjcO90</t>
  </si>
  <si>
    <t>0476-56DB74BB-BDF9-4F0B-BBCE-F0DF30EF36FE</t>
  </si>
  <si>
    <t>Computación del Golfo Ver S.C.</t>
  </si>
  <si>
    <t>cg</t>
  </si>
  <si>
    <t>academic_usr_cg</t>
  </si>
  <si>
    <t>cwLa5aZLPYNw</t>
  </si>
  <si>
    <t>0477-1F8713D3-B475-4652-B56A-CCCD7A0AAD56</t>
  </si>
  <si>
    <t>Colegio Alberto  Camus A.C.</t>
  </si>
  <si>
    <t>colegioalbertcamus</t>
  </si>
  <si>
    <t>academic_usr_colegioalbertcamus</t>
  </si>
  <si>
    <t>2gqUO7Z1B0X0</t>
  </si>
  <si>
    <t>0478-0539F70E-31B1-4B4D-88EB-03C7CA9F62FE</t>
  </si>
  <si>
    <t>Observatorio Cine S. de R.L. de C.V.</t>
  </si>
  <si>
    <t>ocec</t>
  </si>
  <si>
    <t>academic_usr_ocec</t>
  </si>
  <si>
    <t>KXcqF8ZmYDXm</t>
  </si>
  <si>
    <t>0479-82F81410-C355-4D8D-8B50-2C30AA9E37A7</t>
  </si>
  <si>
    <t>test_tbc</t>
  </si>
  <si>
    <t>academic_usr_test_tbc</t>
  </si>
  <si>
    <t>YIF1NN97Ns69</t>
  </si>
  <si>
    <t>0480-A836BB1F-46BD-4106-959A-30D53C24A9BE</t>
  </si>
  <si>
    <t>RaZ29TBm0YEq</t>
  </si>
  <si>
    <t>0480-2ED6297F-3DDD-4BCC-97EF-BF62B3256C16</t>
  </si>
  <si>
    <t>Capacitación Academic</t>
  </si>
  <si>
    <t>capacitacion</t>
  </si>
  <si>
    <t>academic_usr_capacitacion</t>
  </si>
  <si>
    <t>g9KIEN4D0945</t>
  </si>
  <si>
    <t>0481-EA6088BE-963A-490D-AF49-ABC3C79C7081</t>
  </si>
  <si>
    <t>SOCIEDAD, MÉXICO FORTALECE EL FUTURO S.C.</t>
  </si>
  <si>
    <t>idma</t>
  </si>
  <si>
    <t>academic_usr_idma</t>
  </si>
  <si>
    <t>ThZXZXw5jK0E</t>
  </si>
  <si>
    <t>0482-74E51F5F-6E87-429B-9E3B-F0BF286AFDC7</t>
  </si>
  <si>
    <t>IPEM INSTITUTO PEDAGÓGICO ESCOLAR MÉXICO S.C.</t>
  </si>
  <si>
    <t>ipemexico</t>
  </si>
  <si>
    <t>academic_usr_ipemexico</t>
  </si>
  <si>
    <t>09sEIm8gFR3Z</t>
  </si>
  <si>
    <t>0483-5396A537-5D91-4C29-8735-6353D5AE1C47</t>
  </si>
  <si>
    <t>Universidad de la Salud de Lomas Verdes S.C.</t>
  </si>
  <si>
    <t>universidadugla</t>
  </si>
  <si>
    <t>academic_usr_universidadugla</t>
  </si>
  <si>
    <t>hg08mOBYm0U4</t>
  </si>
  <si>
    <t>0484-D735DBB2-3B61-41CF-9480-6C17EBB718D3</t>
  </si>
  <si>
    <t>Instituto Tecnológico de Tlaxcala S.C.</t>
  </si>
  <si>
    <t>institutotecnologicodetlaxcala</t>
  </si>
  <si>
    <t>academic_usr_institutotecnologicodetlaxcala</t>
  </si>
  <si>
    <t>N5w6KZ4acvwL</t>
  </si>
  <si>
    <t>0485-BCC5C618-9853-49FF-BAAF-3DEF626DE1E5</t>
  </si>
  <si>
    <t>Colegio Edinburgh de Querétaro S.C.</t>
  </si>
  <si>
    <t>colegioedinburgh</t>
  </si>
  <si>
    <t>academic_usr_colegioedinburgh</t>
  </si>
  <si>
    <t>RREUjIaLZBjD</t>
  </si>
  <si>
    <t>0486-8398A01D-84E0-4ACA-AFFB-2710C41723B7</t>
  </si>
  <si>
    <t>Universidad Tecnoeducativa de Mexico S.C.</t>
  </si>
  <si>
    <t>udi</t>
  </si>
  <si>
    <t>academic_usr_udi</t>
  </si>
  <si>
    <t>1j85c7PUEvLU</t>
  </si>
  <si>
    <t>0487-5C407126-ACAE-422A-B4AA-60AAE8F9E2E3</t>
  </si>
  <si>
    <t>Instituto Universitario Azcapotzalco S.C.</t>
  </si>
  <si>
    <t>inua</t>
  </si>
  <si>
    <t>academic_usr_inua</t>
  </si>
  <si>
    <t>OORTRTDNU353</t>
  </si>
  <si>
    <t>0488-A523E463-9765-483D-B93F-B298BBD51D53</t>
  </si>
  <si>
    <t>test_interglobal</t>
  </si>
  <si>
    <t>academic_usr_test_interglobal</t>
  </si>
  <si>
    <t>L9sB928hTvj5</t>
  </si>
  <si>
    <t>0489-923A3F59-D328-4493-96AC-EB941B6322A2</t>
  </si>
  <si>
    <t>Proveedora Educativa CS Toluca S.C.</t>
  </si>
  <si>
    <t>colegiospringfield</t>
  </si>
  <si>
    <t>academic_usr_colegiospringfield</t>
  </si>
  <si>
    <t>K8TI0mBIFvmj</t>
  </si>
  <si>
    <t>0490-1B3744DE-8D29-4871-804B-401F809401AA</t>
  </si>
  <si>
    <t>test_ibime</t>
  </si>
  <si>
    <t>academic_usr_test_ibime</t>
  </si>
  <si>
    <t>8j7vRR6EhU5g</t>
  </si>
  <si>
    <t>0491-BD955DC6-A8BC-44A9-A873-4ACC9677CB26</t>
  </si>
  <si>
    <t>Centro Educativo Pedagógico Educare S.C.</t>
  </si>
  <si>
    <t>educaremetepec</t>
  </si>
  <si>
    <t>academic_usr_educaremetepec</t>
  </si>
  <si>
    <t>Ym3LUD5jKjaY</t>
  </si>
  <si>
    <t>0492-FBCC6728-D6F5-4D91-A998-9485AA2AAC7C</t>
  </si>
  <si>
    <t>test_cesuma</t>
  </si>
  <si>
    <t>academic_usr_test_cesuma</t>
  </si>
  <si>
    <t>ZPmg1w7Ph7FY</t>
  </si>
  <si>
    <t>0493-E44F170B-E3C7-473D-B0F9-F028FE29DE68</t>
  </si>
  <si>
    <t>test_colegiotepeyac</t>
  </si>
  <si>
    <t>academic_usr_test_colegiotepeyac</t>
  </si>
  <si>
    <t>UB33qZB0sZ97</t>
  </si>
  <si>
    <t>0494-94830FEF-216F-4140-BB7F-FD4C2417B4DA</t>
  </si>
  <si>
    <t>María Esther Alcántara Gutiérrez</t>
  </si>
  <si>
    <t>uiimex</t>
  </si>
  <si>
    <t>academic_usr_uiimex</t>
  </si>
  <si>
    <t>NE8FmD3B6EXB</t>
  </si>
  <si>
    <t>0495-04298FCF-77D3-4025-9C7F-BCD4C07959EA</t>
  </si>
  <si>
    <t>MATTILDA-EDU, S.A. de C.V</t>
  </si>
  <si>
    <t>mattilda</t>
  </si>
  <si>
    <t>academic_usr_mattilda</t>
  </si>
  <si>
    <t>mcK6K3FjU1RI</t>
  </si>
  <si>
    <t>0496-7CE2721D-7E5B-44A3-AFEA-89384FDC28B7</t>
  </si>
  <si>
    <t>TCM Taller de Cine S.C.</t>
  </si>
  <si>
    <t>P8vZBqj4ZPKR</t>
  </si>
  <si>
    <t>0497-7B2A22BF-8851-486F-B8F9-96C3A0181094</t>
  </si>
  <si>
    <t>INSTITUTO CALI LINDAVISTA S. DE R.L. DE C.V.</t>
  </si>
  <si>
    <t>institutocali</t>
  </si>
  <si>
    <t>academic_usr_institutocali</t>
  </si>
  <si>
    <t>FRvcgq8cT5jD</t>
  </si>
  <si>
    <t>0498-DF03A267-1DFA-461B-9607-DBCA5CA6AF11</t>
  </si>
  <si>
    <t>Districun A.C.</t>
  </si>
  <si>
    <t>modernacademycancun</t>
  </si>
  <si>
    <t>academic_usr_modernacademycancun</t>
  </si>
  <si>
    <t>L9UOYU4a79T3</t>
  </si>
  <si>
    <t>0499-2CB21627-C1CE-449E-A6BB-F7FBF31C2B78</t>
  </si>
  <si>
    <t>67Ys3YKjLUsF</t>
  </si>
  <si>
    <t>0500-0216DE18-8C6F-4657-91E7-DDD5811753FA</t>
  </si>
  <si>
    <t>test_capacitacioncrm</t>
  </si>
  <si>
    <t>academic_usr_test_capacitacioncrm</t>
  </si>
  <si>
    <t>ZwOYEsa62gsj</t>
  </si>
  <si>
    <t>0501-57A21210-438A-4924-977C-BE4B82962BBB</t>
  </si>
  <si>
    <t>CENTRO DE IDIOMAS DE ORIENTE A.C.</t>
  </si>
  <si>
    <t>educanexo</t>
  </si>
  <si>
    <t>academic_usr_educanexo</t>
  </si>
  <si>
    <t>s4qq99YELqPB</t>
  </si>
  <si>
    <t>0502-8B2FBE0D-1EDA-4656-8B84-E49EB3C5E90F</t>
  </si>
  <si>
    <t>INSTITUTO UNIVERSITARIO UEM VILLA GUERRERO S.C.</t>
  </si>
  <si>
    <t>uem</t>
  </si>
  <si>
    <t>academic_usr_uem</t>
  </si>
  <si>
    <t>XEN3LBP0ORTc</t>
  </si>
  <si>
    <t>0503-BD017549-CD61-49CD-8858-DFF1052E4567</t>
  </si>
  <si>
    <t>Fundación Imparables México A.C.</t>
  </si>
  <si>
    <t>fundacionimparables</t>
  </si>
  <si>
    <t>academic_usr_fundacionimparables</t>
  </si>
  <si>
    <t>gYU5EgL5IZBU</t>
  </si>
  <si>
    <t>0504-46B823A1-5671-4FFD-8320-829C115B2745</t>
  </si>
  <si>
    <t>UNIVERSIDAD DE CIENCIAS Y ARTES DE MARQUELIA S.C.</t>
  </si>
  <si>
    <t>ucamguerrero</t>
  </si>
  <si>
    <t>academic_usr_ucamguerrero</t>
  </si>
  <si>
    <t>9TL7TOjqhZ5g</t>
  </si>
  <si>
    <t>0505-4B220D0E-DF9E-4CD7-AAC7-4DCBF7DB94ED</t>
  </si>
  <si>
    <t>Fundación Ternium para la Educación</t>
  </si>
  <si>
    <t>etrr</t>
  </si>
  <si>
    <t>academic_usr_etrr</t>
  </si>
  <si>
    <t>R4X2s97mqIR5</t>
  </si>
  <si>
    <t>0506-72C84101-FFC7-45C2-A223-786897856054</t>
  </si>
  <si>
    <t>UNIVERSIDAD EDEC</t>
  </si>
  <si>
    <t>edec</t>
  </si>
  <si>
    <t>academic_usr_edec</t>
  </si>
  <si>
    <t>EjLYFEwKcPTT</t>
  </si>
  <si>
    <t>0507-A19A314A-E251-4221-82CE-A9CC817BC207</t>
  </si>
  <si>
    <t>Instituto Edinburgh</t>
  </si>
  <si>
    <t>edinburghtest</t>
  </si>
  <si>
    <t>academic_usr_edinburghtest</t>
  </si>
  <si>
    <t>7sjB9O5a3OEI</t>
  </si>
  <si>
    <t>0508-69D42CB0-BA0C-4D09-AE73-6A08FFDDFFB1</t>
  </si>
  <si>
    <t>test_escomex</t>
  </si>
  <si>
    <t>academic_usr_test_escomex</t>
  </si>
  <si>
    <t>2P9Y2UOL1XcU</t>
  </si>
  <si>
    <t>0509-5EAA62D2-E7ED-4481-92DB-F09F1A6552D6</t>
  </si>
  <si>
    <t>Escuela de Especialidades para Contadores Profesionales AC</t>
  </si>
  <si>
    <t>eecp</t>
  </si>
  <si>
    <t>academic_usr_eecp</t>
  </si>
  <si>
    <t>LYKRw75a4PZa</t>
  </si>
  <si>
    <t>0510-4206D546-97CF-477E-9470-3CAA0100E805</t>
  </si>
  <si>
    <t>Instituto Bilingüe Integral Benemérito de las Américas</t>
  </si>
  <si>
    <t>ibibaamecameca</t>
  </si>
  <si>
    <t>academic_usr_ibibaamecameca</t>
  </si>
  <si>
    <t>KhgD3qmcgL4B</t>
  </si>
  <si>
    <t>0511-873348E8-E88F-44AF-911B-1288FD02CFAC</t>
  </si>
  <si>
    <t>INSTITUTO DE POSGRADOS  Y ESPECIALIDADES PARA LA FORMACIÓN CONTINUA S.C.</t>
  </si>
  <si>
    <t>ipesfo</t>
  </si>
  <si>
    <t>academic_usr_ipesfo</t>
  </si>
  <si>
    <t>TUTTPOK3ahIT</t>
  </si>
  <si>
    <t>0512-1FB95DC5-6D4B-4B49-9532-F137CF8689EC</t>
  </si>
  <si>
    <t>Instituto de Formación de Puebla A.C.</t>
  </si>
  <si>
    <t>ifep</t>
  </si>
  <si>
    <t>academic_usr_ifep</t>
  </si>
  <si>
    <t>2mNgD1aDF8O4</t>
  </si>
  <si>
    <t>0513-1AC9CCC6-F4D5-42DF-BF97-92D696B5BDEA</t>
  </si>
  <si>
    <t>Universidad Tecnológica del Valle de Toluca</t>
  </si>
  <si>
    <t>utvt</t>
  </si>
  <si>
    <t>academic_usr_utvt</t>
  </si>
  <si>
    <t>vw00wZwPREY6</t>
  </si>
  <si>
    <t>0514-1EBF0E9F-FA03-4B01-AA34-60712FEF3DB8</t>
  </si>
  <si>
    <t>ATENEO EN CIENCIAS DE LA SALUD S.C.</t>
  </si>
  <si>
    <t>cesalud</t>
  </si>
  <si>
    <t>academic_usr_cesalud</t>
  </si>
  <si>
    <t>RULF8BPBTN2N</t>
  </si>
  <si>
    <t>0515-DF23B885-8AF8-473B-90EF-C16F158E5873</t>
  </si>
  <si>
    <t>cOEE6PqYZwqs</t>
  </si>
  <si>
    <t>0516-A2227D3B-27DE-4A9C-89A9-5859585FAFE1</t>
  </si>
  <si>
    <t>HICKORY EDUCATIONAL CENTER S.A. DE C.V.</t>
  </si>
  <si>
    <t>hickory</t>
  </si>
  <si>
    <t>academic_usr_hickory</t>
  </si>
  <si>
    <t>q0FjX5jg9XmR</t>
  </si>
  <si>
    <t>0517-F61E4E74-2B1F-4FB2-BDF4-04E130BB44D4</t>
  </si>
  <si>
    <t>UNIDAD PEDAGÓGICA LIBERTAD S.C.</t>
  </si>
  <si>
    <t>upl</t>
  </si>
  <si>
    <t>academic_usr_upl</t>
  </si>
  <si>
    <t>2g7OvTU8vR9L</t>
  </si>
  <si>
    <t>0518-F319CD0C-462C-48E5-96AE-EE6699C25612</t>
  </si>
  <si>
    <t>Educación Disruptiva S.C.</t>
  </si>
  <si>
    <t>enbc</t>
  </si>
  <si>
    <t>academic_usr_enbc</t>
  </si>
  <si>
    <t>Umj7YD1NaYBv</t>
  </si>
  <si>
    <t>0519-246B7379-1843-4401-A253-4E4E0A0F59AA</t>
  </si>
  <si>
    <t>Servicios Recreativos Educacionales de Hidalgo A.C.</t>
  </si>
  <si>
    <t>calmecac</t>
  </si>
  <si>
    <t>academic_usr_calmecac</t>
  </si>
  <si>
    <t>qgOKmEjmh4UD</t>
  </si>
  <si>
    <t>0520-BE0CB979-B045-42EC-B434-03A35A7380A5</t>
  </si>
  <si>
    <t>Centro Cultural Petatlán A.C.</t>
  </si>
  <si>
    <t>ccpetatlan</t>
  </si>
  <si>
    <t>academic_usr_ccpetatlan</t>
  </si>
  <si>
    <t>NREDR8ENvZaF</t>
  </si>
  <si>
    <t>0521-9882D3EE-A111-4154-8D03-B1D48882AB7F</t>
  </si>
  <si>
    <t>INSTITUTO ESPECIALIZADO EN COMPUTACIÓN Y ADMINISTRACIÓN GAUSS JORDAN A.C.</t>
  </si>
  <si>
    <t>gaussjordan</t>
  </si>
  <si>
    <t>academic_usr_gaussjordan</t>
  </si>
  <si>
    <t>1j4ZNqX7chBE</t>
  </si>
  <si>
    <t>0522-8BB072C2-4D50-4343-9A08-274C46231AAD</t>
  </si>
  <si>
    <t>Peña Urquidi S.C.</t>
  </si>
  <si>
    <t>jnbuckingham</t>
  </si>
  <si>
    <t>academic_usr_jnbuckingham</t>
  </si>
  <si>
    <t>3Fv5XUYRhBXE</t>
  </si>
  <si>
    <t>0523-38547916-0485-4EBE-ADE4-E3E54EBE0498</t>
  </si>
  <si>
    <t>test_institutoquetzalcoatl</t>
  </si>
  <si>
    <t>academic_usr_test_institutoquetzalcoatl</t>
  </si>
  <si>
    <t>2a5IZBh7BvmU</t>
  </si>
  <si>
    <t>0524-AFFDDA7F-20C3-4757-B822-BC39E31EE8B3</t>
  </si>
  <si>
    <t>Ángel Ricardo May Aldecua - Universidad Enigma</t>
  </si>
  <si>
    <t>unienigma</t>
  </si>
  <si>
    <t>academic_usr_unienigma</t>
  </si>
  <si>
    <t>4aT3D5as8vZh</t>
  </si>
  <si>
    <t>0525-1CE8CA57-3A9D-41E8-8B2B-857C0462A2CC</t>
  </si>
  <si>
    <t>GW de Ensenada S.C.</t>
  </si>
  <si>
    <t>altiorahills</t>
  </si>
  <si>
    <t>academic_usr_altiorahills</t>
  </si>
  <si>
    <t>OhOBFBFUa6DO</t>
  </si>
  <si>
    <t>0526-E5025F27-B053-42C0-AF66-51AFE91959AB</t>
  </si>
  <si>
    <t>DLj7F8mTO38X</t>
  </si>
  <si>
    <t>0527-7D0CC20C-7546-425D-8425-370134860460</t>
  </si>
  <si>
    <t>PLAYAS ELEMENTARY &amp; JR HIGH S.C.</t>
  </si>
  <si>
    <t>colegioplayas</t>
  </si>
  <si>
    <t>academic_usr_colegioplayas</t>
  </si>
  <si>
    <t>YI3FRcTL1I3w</t>
  </si>
  <si>
    <t>0528-728FDB1C-378A-43F6-88E7-1E896E82733A</t>
  </si>
  <si>
    <t>Universidad Hernán Cortes A.C.</t>
  </si>
  <si>
    <t>uhc</t>
  </si>
  <si>
    <t>academic_usr_uhc</t>
  </si>
  <si>
    <t>5O60D72gKwvq</t>
  </si>
  <si>
    <t>0529-3B158C86-94E2-4CB4-ADE1-AA94DA5320C7</t>
  </si>
  <si>
    <t>AENOR – MÉXICO S.A. DE C.V.</t>
  </si>
  <si>
    <t>aenor</t>
  </si>
  <si>
    <t>academic_usr_aenor</t>
  </si>
  <si>
    <t>E73Ljq3OaYDP</t>
  </si>
  <si>
    <t>0530-058E912F-71D6-4C2E-B4E3-E6DABE011F71</t>
  </si>
  <si>
    <t>Universidad Univer de Zamora AC</t>
  </si>
  <si>
    <t>uces</t>
  </si>
  <si>
    <t>academic_usr_uces</t>
  </si>
  <si>
    <t>0caaDc3LD3U3</t>
  </si>
  <si>
    <t>0531-89756570-1041-4221-BD44-3D2D5E1D6B61</t>
  </si>
  <si>
    <t>Instituto Stella - Joshua Rivera Carrillo</t>
  </si>
  <si>
    <t>unistella</t>
  </si>
  <si>
    <t>academic_usr_unistella</t>
  </si>
  <si>
    <t>c2Yqsq601amP</t>
  </si>
  <si>
    <t>0532-AF78CBBB-AB1F-4240-A0B2-9B0885A7A0A1</t>
  </si>
  <si>
    <t>Escuela Culinaria de San Luis Potosí S.C.</t>
  </si>
  <si>
    <t>uninova</t>
  </si>
  <si>
    <t>academic_usr_uninova</t>
  </si>
  <si>
    <t>ssh29wFm7IqX</t>
  </si>
  <si>
    <t>0533-851DC28B-0DE2-4163-8987-017EF6E9956F</t>
  </si>
  <si>
    <t>Universidad La Salle Saltillo A.C.</t>
  </si>
  <si>
    <t>lasallesaltillo</t>
  </si>
  <si>
    <t>academic_usr_lasallesaltillo</t>
  </si>
  <si>
    <t>BFFLB45g0Yq5</t>
  </si>
  <si>
    <t>0534-5F9B4DFE-DAD4-4A24-9C0C-22DE19B69834</t>
  </si>
  <si>
    <t>test_ccpg</t>
  </si>
  <si>
    <t>academic_usr_test_ccpg</t>
  </si>
  <si>
    <t>NqPBBNXEcFv9</t>
  </si>
  <si>
    <t>0535-BE31612D-1EBC-42C0-B30B-B1BD5D793109</t>
  </si>
  <si>
    <t>Corporativo de Aprendizaje y Formación Integral Semillas A.C.</t>
  </si>
  <si>
    <t>semillas</t>
  </si>
  <si>
    <t>academic_usr_semillas</t>
  </si>
  <si>
    <t>RY0Dm40P27j6</t>
  </si>
  <si>
    <t>0536-D7640AB8-FE88-4752-91F7-6566B5DBE062</t>
  </si>
  <si>
    <t>Academic Demo</t>
  </si>
  <si>
    <t>academicdemo</t>
  </si>
  <si>
    <t>academic_usr_academicdemo</t>
  </si>
  <si>
    <t>j3L132wv4w0q</t>
  </si>
  <si>
    <t>0537-08DAD581-4672-496D-9624-434F3BB207E1</t>
  </si>
  <si>
    <t>test_unidei</t>
  </si>
  <si>
    <t>academic_usr_test_unidei</t>
  </si>
  <si>
    <t>FvIO2PmcLTNh</t>
  </si>
  <si>
    <t>0538-EBB1DCA0-21C4-4825-A9CC-0D5865B0C298</t>
  </si>
  <si>
    <t>Citlaly Guadalupe Olguín Martínez</t>
  </si>
  <si>
    <t>colegiojaen</t>
  </si>
  <si>
    <t>academic_usr_colegiojaen</t>
  </si>
  <si>
    <t>F34aDwIm7Ij1</t>
  </si>
  <si>
    <t>0539-735EB48E-0B92-44FA-9DBF-55DAFF8BDDC2</t>
  </si>
  <si>
    <t>test_institutometepec</t>
  </si>
  <si>
    <t>academic_usr_test_institutometepec</t>
  </si>
  <si>
    <t>Pm07sPUPg8v9</t>
  </si>
  <si>
    <t>0540-231CC786-976E-435A-AB03-6F7812028712</t>
  </si>
  <si>
    <t>Centro de Valores S.C</t>
  </si>
  <si>
    <t>centrodevalores</t>
  </si>
  <si>
    <t>academic_usr_centrodevalores</t>
  </si>
  <si>
    <t>6gEYYRZKIa2O</t>
  </si>
  <si>
    <t>0541-DF7C68AA-9F30-450B-9978-018EB39ED531</t>
  </si>
  <si>
    <t>Patronato Cultural Vizcaya A.C.</t>
  </si>
  <si>
    <t>uva</t>
  </si>
  <si>
    <t>academic_usr_uva</t>
  </si>
  <si>
    <t>NUD74aBwjFmO</t>
  </si>
  <si>
    <t>0542-3FBCC3A1-C0CF-4BE2-898F-40F4CA5FEAB1</t>
  </si>
  <si>
    <t>Universidad Eureka</t>
  </si>
  <si>
    <t>universidadeureka</t>
  </si>
  <si>
    <t>academic_usr_universidadeureka</t>
  </si>
  <si>
    <t>5mg62OvTNsBI</t>
  </si>
  <si>
    <t>0543-A0EEB383-EA2E-4C50-BE2F-876B9153A9E8</t>
  </si>
  <si>
    <t>Calidad e Innovación en la Educación First College S.C.</t>
  </si>
  <si>
    <t>firstcollege</t>
  </si>
  <si>
    <t>academic_usr_firstcollege</t>
  </si>
  <si>
    <t>K4L8LFcPY5Oc</t>
  </si>
  <si>
    <t>0544-0A051881-C3C0-40A3-ABB6-D80D802810F3</t>
  </si>
  <si>
    <t>Corporativo Jean Piaget S.C.</t>
  </si>
  <si>
    <t>soypiaget</t>
  </si>
  <si>
    <t>academic_usr_soypiaget</t>
  </si>
  <si>
    <t>1wXgL6ajm9gm</t>
  </si>
  <si>
    <t>0545-56D2369E-55A2-4D10-8736-63B460B6CD3B</t>
  </si>
  <si>
    <t>Corporación Americana de Formación S.C.</t>
  </si>
  <si>
    <t>institutoamericano</t>
  </si>
  <si>
    <t>academic_usr_institutoamericano</t>
  </si>
  <si>
    <t>FDsENwIqPaN4</t>
  </si>
  <si>
    <t>0546-F4CC851F-C5F6-4F2B-B24E-427BB1A8E182</t>
  </si>
  <si>
    <t>Preparatoria Americana Particular S.C.</t>
  </si>
  <si>
    <t>uniamericana</t>
  </si>
  <si>
    <t>academic_usr_uniamericana</t>
  </si>
  <si>
    <t>DBPmq9asNDws</t>
  </si>
  <si>
    <t>0547-AEDCCD6E-5967-4C58-9D7D-95ACEA784E4A</t>
  </si>
  <si>
    <t>Centro Universitario Albada S.C.</t>
  </si>
  <si>
    <t>centrouniversitarioalbada</t>
  </si>
  <si>
    <t>academic_usr_centrouniversitarioalbada</t>
  </si>
  <si>
    <t>Fv5EXDm41ZBN</t>
  </si>
  <si>
    <t>0548-F4C3C726-2342-468A-9069-3951A6535209</t>
  </si>
  <si>
    <t>Universidad del Norte de Tamaulipas</t>
  </si>
  <si>
    <t>untmexico</t>
  </si>
  <si>
    <t>academic_usr_untmexico</t>
  </si>
  <si>
    <t>ZgE4ZBaEEBaT</t>
  </si>
  <si>
    <t>0549-AF47E80C-AFED-461E-AC9A-D109222F625B</t>
  </si>
  <si>
    <t>Fomento Educativo J. Beckmann A.C.</t>
  </si>
  <si>
    <t>fundacionbeckmann</t>
  </si>
  <si>
    <t>academic_usr_fundacionbeckmann</t>
  </si>
  <si>
    <t>1gXRXRg9DmY2</t>
  </si>
  <si>
    <t>0550-443D841A-4DD9-4E2E-9A7B-C672422E57A1</t>
  </si>
  <si>
    <t>Instituto Edinburg SC</t>
  </si>
  <si>
    <t>edinburgh</t>
  </si>
  <si>
    <t>academic_usr_edinburgh</t>
  </si>
  <si>
    <t>I6BUvjNUPNcg</t>
  </si>
  <si>
    <t>0551-27062F05-215B-4F99-A5FE-AB803B09FE62</t>
  </si>
  <si>
    <t>Grupo Educativo Albores Alcázar S.C.</t>
  </si>
  <si>
    <t>uds</t>
  </si>
  <si>
    <t>academic_usr_uds</t>
  </si>
  <si>
    <t>TNDZP65wR3Uc</t>
  </si>
  <si>
    <t>0552-B5D1AE8B-6126-4726-A8C5-75B70324482B</t>
  </si>
  <si>
    <t>Universidad Europea de Dirección y Empresa S.C.</t>
  </si>
  <si>
    <t>eudemexico</t>
  </si>
  <si>
    <t>academic_usr_eudemexico</t>
  </si>
  <si>
    <t>I4UOZXF9PXTB</t>
  </si>
  <si>
    <t>0553-07146F29-6441-4B9A-B66A-E69D1CD6A8BB</t>
  </si>
  <si>
    <t>Centro Pedagógico Bertol S.C.</t>
  </si>
  <si>
    <t>bertolt</t>
  </si>
  <si>
    <t>academic_usr_bertolt</t>
  </si>
  <si>
    <t>5maOLqK0XYKN</t>
  </si>
  <si>
    <t>0554-04718B42-E18A-4B0E-9CE8-FE25F4E93B63</t>
  </si>
  <si>
    <t>Universidad de Innovación y Alianzas de Profesiones CESE A.C.</t>
  </si>
  <si>
    <t>cese</t>
  </si>
  <si>
    <t>academic_usr_cese</t>
  </si>
  <si>
    <t>ggKs9PT9hKgc</t>
  </si>
  <si>
    <t>0555-23632646-24A4-4829-A197-1B837BB43F72</t>
  </si>
  <si>
    <t>Comunidad Educativa Hans Christian Andersen S.C.</t>
  </si>
  <si>
    <t>comunidadandersen</t>
  </si>
  <si>
    <t>academic_usr_comunidadandersen</t>
  </si>
  <si>
    <t>24vN4sBTYUPq</t>
  </si>
  <si>
    <t>0556-D9382572-9EA7-4F96-8BBD-527E27511C35</t>
  </si>
  <si>
    <t>Colegio Zazu S.C.</t>
  </si>
  <si>
    <t>vangogh</t>
  </si>
  <si>
    <t>academic_usr_vangogh</t>
  </si>
  <si>
    <t>cDBqaTO02cXB</t>
  </si>
  <si>
    <t>0557-789DB647-76DB-4268-BB2F-8155AFE0FE48</t>
  </si>
  <si>
    <t>Jhoselin Elizabeth Andrade Ramírez -CEUC</t>
  </si>
  <si>
    <t>ceuc</t>
  </si>
  <si>
    <t>academic_usr_ceuc</t>
  </si>
  <si>
    <t>jj0NKLaT7ID1</t>
  </si>
  <si>
    <t>0558-E24D1E12-F1C9-47BB-A8AF-9FC29932E1DD</t>
  </si>
  <si>
    <t>Centro de Estudios para la Niñez y una Vida Mejor A.C.</t>
  </si>
  <si>
    <t>colegionikolatesla</t>
  </si>
  <si>
    <t>academic_usr_colegionikolatesla</t>
  </si>
  <si>
    <t>RXIg371P2gFK</t>
  </si>
  <si>
    <t>0559-183CE807-C577-45DF-8124-04F4ECB596D2</t>
  </si>
  <si>
    <t>Rubén Dario Quiroz Ríos</t>
  </si>
  <si>
    <t>uteci</t>
  </si>
  <si>
    <t>academic_usr_uteci</t>
  </si>
  <si>
    <t>3652YmR4gTD3</t>
  </si>
  <si>
    <t>0560-009AD32E-5449-4279-A03B-755B3C91594B</t>
  </si>
  <si>
    <t>Universidad Isidro Fabela de Toluca S.C.</t>
  </si>
  <si>
    <t>soyisidro</t>
  </si>
  <si>
    <t>academic_usr_soyisidro</t>
  </si>
  <si>
    <t>DERIR8caRcY2</t>
  </si>
  <si>
    <t>0561-79F44DAC-BAEC-475B-B8AE-643476378B8A</t>
  </si>
  <si>
    <t>test_lasallesaltillo</t>
  </si>
  <si>
    <t>academic_usr_test_lasallesaltillo</t>
  </si>
  <si>
    <t>Xvj7X7RFIsg4</t>
  </si>
  <si>
    <t>0562-A6059204-9328-43CC-B197-BF54723347DD</t>
  </si>
  <si>
    <t>Centro de Estudios Superiores Francisco Montejo A.C.</t>
  </si>
  <si>
    <t>cuv</t>
  </si>
  <si>
    <t>academic_usr_cuv</t>
  </si>
  <si>
    <t>2waEcFU0qasZ</t>
  </si>
  <si>
    <t>0563-F5D12983-6234-4E12-89A6-5385CA025708</t>
  </si>
  <si>
    <t>Quality Worldwide Consulting S.C.</t>
  </si>
  <si>
    <t>qwconsulting</t>
  </si>
  <si>
    <t>academic_usr_qwconsulting</t>
  </si>
  <si>
    <t>gYcgjYINKKZE</t>
  </si>
  <si>
    <t>0564-4D87DDAF-2C88-40CC-9AEC-ECC8D4C779D5</t>
  </si>
  <si>
    <t>Educación para el Desarrollo del Potencial Humano S.C.</t>
  </si>
  <si>
    <t>colegioerikerikson</t>
  </si>
  <si>
    <t>academic_usr_colegioerikerikson</t>
  </si>
  <si>
    <t>g5sUgmO0v53B</t>
  </si>
  <si>
    <t>0565-F97A0D7A-A505-48E9-B63F-271D785C70EF</t>
  </si>
  <si>
    <t>vwXIZL84RY3N</t>
  </si>
  <si>
    <t>0566-CBA80165-11CC-4963-B50D-79359D662A47</t>
  </si>
  <si>
    <t>Grupo Universitario Peninsular S.C.P.</t>
  </si>
  <si>
    <t>gup</t>
  </si>
  <si>
    <t>academic_usr_gup</t>
  </si>
  <si>
    <t>KPYg76REaYKP</t>
  </si>
  <si>
    <t>0567-AC373DF8-FA9A-4363-A95A-A4322F9B65C9</t>
  </si>
  <si>
    <t>test_uniymca</t>
  </si>
  <si>
    <t>academic_usr_test_uniymca</t>
  </si>
  <si>
    <t>s3hXKgs8K39R</t>
  </si>
  <si>
    <t>0568-9ABB819D-2D94-4315-AD24-6AFE70EE950C</t>
  </si>
  <si>
    <t>test_uva</t>
  </si>
  <si>
    <t>academic_usr_test_uva</t>
  </si>
  <si>
    <t>jFEFEPU7L4c7</t>
  </si>
  <si>
    <t>0569-DF2F073E-8ED2-4BC9-A044-75C6759CE311</t>
  </si>
  <si>
    <t>test_release_candidate</t>
  </si>
  <si>
    <t>academic_usr_test_release_candidate</t>
  </si>
  <si>
    <t>92IX6XDhqKK5</t>
  </si>
  <si>
    <t>0570-4A16D6CB-0882-4ABC-B85E-69395B70896E</t>
  </si>
  <si>
    <t>test_liceodeleon</t>
  </si>
  <si>
    <t>academic_usr_test_liceodeleon</t>
  </si>
  <si>
    <t>PERa47FN8aKh</t>
  </si>
  <si>
    <t>0571-14A5ED4E-A5A1-404D-9D47-311E849EEB31</t>
  </si>
  <si>
    <t>K3cLFqX4P9wY</t>
  </si>
  <si>
    <t>0572-EB8CB4E9-8BED-40CE-AED8-09396428E254</t>
  </si>
  <si>
    <t>test_uces</t>
  </si>
  <si>
    <t>academic_usr_test_uces</t>
  </si>
  <si>
    <t>hUcs3sFDLhKg</t>
  </si>
  <si>
    <t>0573-28975428-1FFD-4746-8696-CD5D24D42C8C</t>
  </si>
  <si>
    <t>test_cui</t>
  </si>
  <si>
    <t>academic_usr_test_cui</t>
  </si>
  <si>
    <t>809vEvZPR9B5</t>
  </si>
  <si>
    <t>0574-C31CEAE4-20C2-440C-B37B-074C1622A4B4</t>
  </si>
  <si>
    <t>Fomento Educativo Regiomontano S.C.</t>
  </si>
  <si>
    <t>universidadunica</t>
  </si>
  <si>
    <t>academic_usr_universidadunica</t>
  </si>
  <si>
    <t>hBhBB0RmOP3E</t>
  </si>
  <si>
    <t>0575-1FAA9DA1-6B53-4065-B043-7E6E24D172DF</t>
  </si>
  <si>
    <t>Instituto Superior de Computación S.C.</t>
  </si>
  <si>
    <t>insuco</t>
  </si>
  <si>
    <t>academic_usr_insuco</t>
  </si>
  <si>
    <t>Pj6gZ5XU9ZPa</t>
  </si>
  <si>
    <t>0576-8FB9BFE5-9768-4F6C-9EC1-3B6B7084BF77</t>
  </si>
  <si>
    <t>Instituto RC Consultoría Capacitación y Educación S.C.</t>
  </si>
  <si>
    <t>institutorc</t>
  </si>
  <si>
    <t>academic_usr_institutorc</t>
  </si>
  <si>
    <t>a1TN14I8wcac</t>
  </si>
  <si>
    <t>0577-CEADCCE8-6C03-4617-B8A2-B3B236031CEE</t>
  </si>
  <si>
    <t>Centro Universitario Dr. Emilio Cárdenas S.C.</t>
  </si>
  <si>
    <t>cudec</t>
  </si>
  <si>
    <t>academic_usr_cudec</t>
  </si>
  <si>
    <t>Z6TRLhjB06UD</t>
  </si>
  <si>
    <t>0578-8ABA1626-3055-4AA3-89D5-0D955178BE49</t>
  </si>
  <si>
    <t>test_fundacionbeckmann</t>
  </si>
  <si>
    <t>academic_usr_test_fundacionbeckmann</t>
  </si>
  <si>
    <t>ssB453q50RgX</t>
  </si>
  <si>
    <t>0579-0B19870C-534E-475E-ADB8-5BFEBC1332FB</t>
  </si>
  <si>
    <t>Abel Montes Suasnavart</t>
  </si>
  <si>
    <t>createch</t>
  </si>
  <si>
    <t>academic_usr_createch</t>
  </si>
  <si>
    <t>FhDDq8qK9XB7</t>
  </si>
  <si>
    <t>0580-A395E08F-F3E2-47E1-B651-5C8D4E0BD14B</t>
  </si>
  <si>
    <t>Colegio Cenzontle S.C.</t>
  </si>
  <si>
    <t>cenzontle</t>
  </si>
  <si>
    <t>academic_usr_cenzontle</t>
  </si>
  <si>
    <t>LaT3OR1s6w3h</t>
  </si>
  <si>
    <t>0581-D526A305-6A4C-4704-8BAC-8760E4815BD1</t>
  </si>
  <si>
    <t>Universidad Internacional Jefferson MLM S.C.</t>
  </si>
  <si>
    <t>jefferson</t>
  </si>
  <si>
    <t>academic_usr_jefferson</t>
  </si>
  <si>
    <t>j68U8OmhDg4F</t>
  </si>
  <si>
    <t>0582-5767696D-0308-4B4E-9B5A-10285C46D590</t>
  </si>
  <si>
    <t>Pulser IMI S.A.P.I de C.V.</t>
  </si>
  <si>
    <t>pulser</t>
  </si>
  <si>
    <t>academic_usr_pulser</t>
  </si>
  <si>
    <t>UD0mL18OmgcK</t>
  </si>
  <si>
    <t>0583-91A674DC-A432-4A75-9FD3-18BE0B56E810</t>
  </si>
  <si>
    <t>Centro de Innovación, Capacitación y Estudios Profesionales S.C.</t>
  </si>
  <si>
    <t>cicep</t>
  </si>
  <si>
    <t>academic_usr_cicep</t>
  </si>
  <si>
    <t>L1Bag8YKZ4PN</t>
  </si>
  <si>
    <t>0584-FF066236-05DA-40E7-B749-F30AC45BABC7</t>
  </si>
  <si>
    <t>Facultad Latinoamericana de Ciencias Sociales Sede México</t>
  </si>
  <si>
    <t>flacso</t>
  </si>
  <si>
    <t>academic_usr_flacso</t>
  </si>
  <si>
    <t>Bj1UE9UEv3g9</t>
  </si>
  <si>
    <t>0585-F66CD858-BBD7-424C-A362-B98A2E17AA84</t>
  </si>
  <si>
    <t>Grupo Universitario Aldea Loal SC</t>
  </si>
  <si>
    <t>unii</t>
  </si>
  <si>
    <t>academic_usr_unii</t>
  </si>
  <si>
    <t>ZX8LmZ62sN3c</t>
  </si>
  <si>
    <t>0586-0C4CB81A-C6AD-4B08-B126-0CBA31F8B2BC</t>
  </si>
  <si>
    <t>test_insuco</t>
  </si>
  <si>
    <t>academic_usr_test_insuco</t>
  </si>
  <si>
    <t>D7FBwwZ0c55s</t>
  </si>
  <si>
    <t>0587-B7A30F6B-354E-49AF-88C7-56B123546D6B</t>
  </si>
  <si>
    <t>Cruz Roja Mexicana I.A.P. (sede Durango)</t>
  </si>
  <si>
    <t>institutolaluzdurango</t>
  </si>
  <si>
    <t>academic_usr_institutolaluzdurango</t>
  </si>
  <si>
    <t>1gE4qs4sqEBI</t>
  </si>
  <si>
    <t>0588-6FBC30EB-7B6E-46BB-A5BA-81DBA5CB493B</t>
  </si>
  <si>
    <t>Testing de integraciones</t>
  </si>
  <si>
    <t>integraciones</t>
  </si>
  <si>
    <t>academic_usr_integraciones</t>
  </si>
  <si>
    <t>ZR40v3jF8jaX</t>
  </si>
  <si>
    <t>0589-FBA91326-F9D5-42A5-84A9-FE96472EF2DE</t>
  </si>
  <si>
    <t>Centro de Estudios Superiores Tepatitlán S.C.</t>
  </si>
  <si>
    <t>unc</t>
  </si>
  <si>
    <t>academic_usr_unc</t>
  </si>
  <si>
    <t>FNX0EBsKOIOI</t>
  </si>
  <si>
    <t>0590-A395FA1E-F9EE-4BB9-998A-2C77326625BA</t>
  </si>
  <si>
    <t>test_unag</t>
  </si>
  <si>
    <t>academic_usr_test_unag</t>
  </si>
  <si>
    <t>7DBg1N3I5gXm</t>
  </si>
  <si>
    <t>0591-E7A6A19E-C5C7-452E-BCD8-EEE5EC6CF065</t>
  </si>
  <si>
    <t>4g9XBmKYcKwT</t>
  </si>
  <si>
    <t>0592-E3F1D0C7-AC49-4CE3-8E19-8CF54CBC644A</t>
  </si>
  <si>
    <t>Spongies School S.C.</t>
  </si>
  <si>
    <t>spschools</t>
  </si>
  <si>
    <t>academic_usr_spschools</t>
  </si>
  <si>
    <t>hh1hUIsgm7BO</t>
  </si>
  <si>
    <t>0593-C3B301CA-908D-4AC6-9BF3-8A0F85DC3603</t>
  </si>
  <si>
    <t>Nubiral Postgres</t>
  </si>
  <si>
    <t>nubiral_postgres</t>
  </si>
  <si>
    <t>academic_usr_nubiral_postgres</t>
  </si>
  <si>
    <t>66R65IXDh4cX</t>
  </si>
  <si>
    <t>0594-42CCA3EA-FA89-4239-A7DC-8697A3F8B7EF</t>
  </si>
  <si>
    <t>Universidad Pedagógica Nacional Unidad 22 - A Querétaro</t>
  </si>
  <si>
    <t>upnqueretaro</t>
  </si>
  <si>
    <t>academic_usr_upnqueretaro</t>
  </si>
  <si>
    <t>TITXZED4ZYqE</t>
  </si>
  <si>
    <t>0595-76561670-ED6F-4943-BB4B-34BD736A6CB5</t>
  </si>
  <si>
    <t>Instituto de Educación Superior de la Paz A.C.</t>
  </si>
  <si>
    <t>unipaz</t>
  </si>
  <si>
    <t>academic_usr_unipaz</t>
  </si>
  <si>
    <t>B8qZmsOLwNg1</t>
  </si>
  <si>
    <t>0596-2445B397-501C-4180-B061-AB1EE9B74B08</t>
  </si>
  <si>
    <t>Centro Universitario Trébol S.C.</t>
  </si>
  <si>
    <t>cutrebol</t>
  </si>
  <si>
    <t>academic_usr_cutrebol</t>
  </si>
  <si>
    <t>O9s64aTFDvY1</t>
  </si>
  <si>
    <t>0597-4EBEFE88-4DF3-4C04-9CC9-922A84E886A4</t>
  </si>
  <si>
    <t>Servicios Médicos Prehospitalarios y Salud Ocupacional S.A. de C.V</t>
  </si>
  <si>
    <t>cecidemcolima</t>
  </si>
  <si>
    <t>academic_usr_cecidemcolima</t>
  </si>
  <si>
    <t>EP2PTYO0aY01</t>
  </si>
  <si>
    <t>0598-B9C5B569-FA2C-4599-8003-79122E811F9B</t>
  </si>
  <si>
    <t>test_pulser</t>
  </si>
  <si>
    <t>academic_usr_test_pulser</t>
  </si>
  <si>
    <t>mOjPTDsXTmq7</t>
  </si>
  <si>
    <t>0599-7FF98ADC-2691-470D-B44B-5E3170012E5B</t>
  </si>
  <si>
    <t>Servicios Educativos de Othón Pompeyo Blanco S.C</t>
  </si>
  <si>
    <t>colegioep</t>
  </si>
  <si>
    <t>academic_usr_colegioep</t>
  </si>
  <si>
    <t>Tm1EsF1N9ZgE</t>
  </si>
  <si>
    <t>0600-229CD076-BC22-4611-9E17-C83E5A96B897</t>
  </si>
  <si>
    <t>Instituto Misiones de Santa Esperanza S.C.</t>
  </si>
  <si>
    <t>institutoclover</t>
  </si>
  <si>
    <t>academic_usr_institutoclover</t>
  </si>
  <si>
    <t>ULFN47sY2ZIh</t>
  </si>
  <si>
    <t>0601-7B3B7948-3E2F-456F-855E-24ECF7E6F9B4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</si>
</sst>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yy"/>
    <numFmt numFmtId="166" formatCode="dd/mm/yyyy"/>
  </numFmts>
  <fonts count="46">
    <font>
      <sz val="10.0"/>
      <color rgb="FF000000"/>
      <name val="Arial"/>
      <scheme val="minor"/>
    </font>
    <font>
      <b/>
      <sz val="9.0"/>
      <color theme="1"/>
      <name val="Poppins"/>
    </font>
    <font>
      <b/>
      <sz val="9.0"/>
      <color rgb="FF0D112F"/>
      <name val="Poppins"/>
    </font>
    <font>
      <sz val="9.0"/>
      <color theme="1"/>
      <name val="Poppins"/>
    </font>
    <font>
      <color theme="1"/>
      <name val="Arial"/>
    </font>
    <font/>
    <font>
      <i/>
      <sz val="9.0"/>
      <color theme="1"/>
      <name val="Poppins"/>
    </font>
    <font>
      <sz val="9.0"/>
      <color rgb="FF333333"/>
      <name val="Poppins"/>
    </font>
    <font>
      <b/>
      <sz val="11.0"/>
      <color theme="1"/>
      <name val="Poppins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color rgb="FF0A53A8"/>
      <name val="Roboto"/>
    </font>
    <font>
      <color rgb="FFB10202"/>
      <name val="Roboto"/>
    </font>
    <font>
      <u/>
      <color rgb="FF1155CC"/>
      <name val="Arial"/>
    </font>
    <font>
      <color rgb="FF000000"/>
      <name val="Arial"/>
    </font>
    <font>
      <color rgb="FF434343"/>
      <name val="Roboto"/>
    </font>
    <font>
      <b/>
      <color theme="1"/>
      <name val="Roboto"/>
    </font>
    <font>
      <u/>
      <color rgb="FF434343"/>
      <name val="Roboto"/>
    </font>
    <font>
      <color rgb="FF473821"/>
      <name val="Roboto"/>
    </font>
    <font>
      <u/>
      <color rgb="FF434343"/>
      <name val="Roboto"/>
    </font>
    <font>
      <color rgb="FFD4EDBC"/>
      <name val="Roboto"/>
    </font>
    <font>
      <color rgb="FF11734B"/>
      <name val="Roboto"/>
    </font>
    <font>
      <color rgb="FFE5E5E5"/>
      <name val="Roboto"/>
    </font>
    <font>
      <color rgb="FF753800"/>
      <name val="Roboto"/>
    </font>
    <font>
      <color rgb="FFFFCFC9"/>
      <name val="Roboto"/>
    </font>
    <font>
      <color rgb="FF3D3D3D"/>
      <name val="Roboto"/>
    </font>
    <font>
      <u/>
      <color rgb="FF1155CC"/>
      <name val="Arial"/>
    </font>
    <font>
      <color theme="1"/>
      <name val="Roboto"/>
    </font>
    <font>
      <color rgb="FF000000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sz val="12.0"/>
      <color rgb="FFF0F6FC"/>
      <name val="&quot;Mona Sans VF&quot;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434343"/>
      <name val="Roboto"/>
    </font>
    <font>
      <color rgb="FF5A3286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ECF2F4"/>
        <bgColor rgb="FFECF2F4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6F8F9"/>
        <bgColor rgb="FFF6F8F9"/>
      </patternFill>
    </fill>
  </fills>
  <borders count="20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top style="thin">
        <color rgb="FFD9D9D9"/>
      </top>
      <bottom style="thin">
        <color rgb="FFD9D9D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right" vertical="bottom"/>
    </xf>
    <xf borderId="2" fillId="0" fontId="3" numFmtId="164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1" numFmtId="0" xfId="0" applyAlignment="1" applyBorder="1" applyFont="1">
      <alignment horizontal="right" vertical="bottom"/>
    </xf>
    <xf borderId="4" fillId="0" fontId="5" numFmtId="0" xfId="0" applyBorder="1" applyFont="1"/>
    <xf borderId="5" fillId="2" fontId="1" numFmtId="0" xfId="0" applyAlignment="1" applyBorder="1" applyFont="1">
      <alignment horizontal="center" vertical="bottom"/>
    </xf>
    <xf borderId="6" fillId="0" fontId="1" numFmtId="164" xfId="0" applyAlignment="1" applyBorder="1" applyFont="1" applyNumberFormat="1">
      <alignment horizontal="right" vertical="bottom"/>
    </xf>
    <xf borderId="0" fillId="0" fontId="4" numFmtId="4" xfId="0" applyAlignment="1" applyFont="1" applyNumberFormat="1">
      <alignment vertical="bottom"/>
    </xf>
    <xf borderId="3" fillId="2" fontId="6" numFmtId="4" xfId="0" applyAlignment="1" applyBorder="1" applyFont="1" applyNumberFormat="1">
      <alignment horizontal="right" vertical="bottom"/>
    </xf>
    <xf borderId="5" fillId="2" fontId="3" numFmtId="9" xfId="0" applyAlignment="1" applyBorder="1" applyFont="1" applyNumberFormat="1">
      <alignment horizontal="center" vertical="bottom"/>
    </xf>
    <xf borderId="6" fillId="0" fontId="3" numFmtId="164" xfId="0" applyAlignment="1" applyBorder="1" applyFont="1" applyNumberFormat="1">
      <alignment horizontal="right" vertical="bottom"/>
    </xf>
    <xf borderId="3" fillId="2" fontId="1" numFmtId="4" xfId="0" applyAlignment="1" applyBorder="1" applyFont="1" applyNumberFormat="1">
      <alignment horizontal="right" vertical="bottom"/>
    </xf>
    <xf borderId="7" fillId="0" fontId="5" numFmtId="0" xfId="0" applyBorder="1" applyFont="1"/>
    <xf borderId="3" fillId="2" fontId="6" numFmtId="0" xfId="0" applyAlignment="1" applyBorder="1" applyFont="1">
      <alignment horizontal="right" vertical="bottom"/>
    </xf>
    <xf borderId="5" fillId="2" fontId="7" numFmtId="0" xfId="0" applyAlignment="1" applyBorder="1" applyFont="1">
      <alignment horizontal="center" vertical="bottom"/>
    </xf>
    <xf borderId="0" fillId="0" fontId="1" numFmtId="4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0" fillId="3" fontId="7" numFmtId="0" xfId="0" applyAlignment="1" applyFill="1" applyFont="1">
      <alignment horizontal="right" vertical="bottom"/>
    </xf>
    <xf borderId="0" fillId="0" fontId="8" numFmtId="0" xfId="0" applyAlignment="1" applyFont="1">
      <alignment horizontal="right" vertical="bottom"/>
    </xf>
    <xf borderId="1" fillId="0" fontId="8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left" readingOrder="0" shrinkToFit="0" vertical="bottom" wrapText="0"/>
    </xf>
    <xf borderId="0" fillId="4" fontId="4" numFmtId="0" xfId="0" applyAlignment="1" applyFill="1" applyFont="1">
      <alignment shrinkToFit="0" vertical="bottom" wrapText="0"/>
    </xf>
    <xf borderId="0" fillId="4" fontId="4" numFmtId="0" xfId="0" applyAlignment="1" applyFont="1">
      <alignment horizontal="right" shrinkToFit="0" vertical="bottom" wrapText="0"/>
    </xf>
    <xf borderId="0" fillId="4" fontId="4" numFmtId="0" xfId="0" applyAlignment="1" applyFont="1">
      <alignment horizontal="right" readingOrder="0" shrinkToFit="0" vertical="bottom" wrapText="0"/>
    </xf>
    <xf borderId="0" fillId="5" fontId="4" numFmtId="0" xfId="0" applyAlignment="1" applyFill="1" applyFont="1">
      <alignment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0" fillId="6" fontId="4" numFmtId="0" xfId="0" applyAlignment="1" applyFill="1" applyFont="1">
      <alignment shrinkToFit="0" vertical="bottom" wrapText="0"/>
    </xf>
    <xf borderId="0" fillId="6" fontId="4" numFmtId="0" xfId="0" applyAlignment="1" applyFont="1">
      <alignment horizontal="right" shrinkToFit="0" vertical="bottom" wrapText="0"/>
    </xf>
    <xf borderId="0" fillId="6" fontId="4" numFmtId="0" xfId="0" applyAlignment="1" applyFont="1">
      <alignment horizontal="right" readingOrder="0" shrinkToFit="0" vertical="bottom" wrapText="0"/>
    </xf>
    <xf borderId="0" fillId="6" fontId="4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49" xfId="0" applyAlignment="1" applyFont="1" applyNumberFormat="1">
      <alignment horizontal="left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2" numFmtId="49" xfId="0" applyAlignment="1" applyFont="1" applyNumberForma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0" numFmtId="9" xfId="0" applyAlignment="1" applyFont="1" applyNumberFormat="1">
      <alignment horizontal="center" readingOrder="0" shrinkToFit="0" vertical="center" wrapText="0"/>
    </xf>
    <xf borderId="0" fillId="7" fontId="14" numFmtId="0" xfId="0" applyAlignment="1" applyFill="1" applyFont="1">
      <alignment horizontal="center" readingOrder="0" shrinkToFit="0" vertical="center" wrapText="1"/>
    </xf>
    <xf borderId="0" fillId="0" fontId="10" numFmtId="165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166" xfId="0" applyAlignment="1" applyFont="1" applyNumberFormat="1">
      <alignment horizontal="center" readingOrder="0" shrinkToFit="0" vertical="center" wrapText="0"/>
    </xf>
    <xf borderId="0" fillId="7" fontId="14" numFmtId="0" xfId="0" applyAlignment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right" shrinkToFit="0" vertical="bottom" wrapText="0"/>
    </xf>
    <xf borderId="0" fillId="0" fontId="16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7" fontId="1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4" numFmtId="165" xfId="0" applyAlignment="1" applyFont="1" applyNumberFormat="1">
      <alignment horizontal="right" shrinkToFit="0" vertical="bottom" wrapText="0"/>
    </xf>
    <xf borderId="0" fillId="0" fontId="4" numFmtId="165" xfId="0" applyAlignment="1" applyFont="1" applyNumberFormat="1">
      <alignment horizontal="center" shrinkToFit="0" vertical="bottom" wrapText="0"/>
    </xf>
    <xf borderId="0" fillId="3" fontId="17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7" fontId="14" numFmtId="0" xfId="0" applyAlignment="1" applyFont="1">
      <alignment horizontal="center" readingOrder="0" shrinkToFit="0" vertical="center" wrapText="0"/>
    </xf>
    <xf borderId="0" fillId="7" fontId="14" numFmtId="0" xfId="0" applyAlignment="1" applyFont="1">
      <alignment readingOrder="0" shrinkToFit="0" vertical="center" wrapText="0"/>
    </xf>
    <xf borderId="0" fillId="7" fontId="17" numFmtId="0" xfId="0" applyAlignment="1" applyFont="1">
      <alignment readingOrder="0" shrinkToFit="0" vertical="center" wrapText="0"/>
    </xf>
    <xf borderId="0" fillId="0" fontId="10" numFmtId="165" xfId="0" applyAlignment="1" applyFont="1" applyNumberFormat="1">
      <alignment readingOrder="0" shrinkToFit="0" vertical="center" wrapText="0"/>
    </xf>
    <xf borderId="0" fillId="0" fontId="10" numFmtId="166" xfId="0" applyAlignment="1" applyFont="1" applyNumberFormat="1">
      <alignment readingOrder="0" shrinkToFit="0" vertical="center" wrapText="0"/>
    </xf>
    <xf borderId="0" fillId="7" fontId="14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8" fillId="7" fontId="18" numFmtId="165" xfId="0" applyAlignment="1" applyBorder="1" applyFont="1" applyNumberFormat="1">
      <alignment horizontal="center" shrinkToFit="0" vertical="center" wrapText="0"/>
    </xf>
    <xf borderId="9" fillId="0" fontId="19" numFmtId="0" xfId="0" applyAlignment="1" applyBorder="1" applyFont="1">
      <alignment horizontal="center" readingOrder="0" shrinkToFit="0" vertical="center" wrapText="0"/>
    </xf>
    <xf borderId="10" fillId="3" fontId="14" numFmtId="0" xfId="0" applyAlignment="1" applyBorder="1" applyFont="1">
      <alignment readingOrder="0" shrinkToFit="0" vertical="center" wrapText="0"/>
    </xf>
    <xf borderId="10" fillId="3" fontId="14" numFmtId="0" xfId="0" applyAlignment="1" applyBorder="1" applyFont="1">
      <alignment horizontal="center" readingOrder="0" shrinkToFit="0" vertical="center" wrapText="0"/>
    </xf>
    <xf borderId="10" fillId="7" fontId="14" numFmtId="0" xfId="0" applyAlignment="1" applyBorder="1" applyFont="1">
      <alignment readingOrder="0" shrinkToFit="0" vertical="center" wrapText="0"/>
    </xf>
    <xf borderId="10" fillId="7" fontId="18" numFmtId="0" xfId="0" applyAlignment="1" applyBorder="1" applyFont="1">
      <alignment shrinkToFit="0" vertical="center" wrapText="0"/>
    </xf>
    <xf borderId="10" fillId="7" fontId="20" numFmtId="0" xfId="0" applyAlignment="1" applyBorder="1" applyFont="1">
      <alignment shrinkToFit="0" vertical="center" wrapText="0"/>
    </xf>
    <xf borderId="10" fillId="3" fontId="15" numFmtId="0" xfId="0" applyAlignment="1" applyBorder="1" applyFont="1">
      <alignment horizontal="center" readingOrder="0" shrinkToFit="0" vertical="center" wrapText="0"/>
    </xf>
    <xf borderId="10" fillId="7" fontId="21" numFmtId="0" xfId="0" applyAlignment="1" applyBorder="1" applyFont="1">
      <alignment horizontal="center" readingOrder="0" shrinkToFit="0" vertical="center" wrapText="0"/>
    </xf>
    <xf borderId="10" fillId="3" fontId="15" numFmtId="0" xfId="0" applyAlignment="1" applyBorder="1" applyFont="1">
      <alignment shrinkToFit="0" vertical="center" wrapText="0"/>
    </xf>
    <xf borderId="10" fillId="7" fontId="21" numFmtId="0" xfId="0" applyAlignment="1" applyBorder="1" applyFont="1">
      <alignment shrinkToFit="0" vertical="center" wrapText="0"/>
    </xf>
    <xf borderId="10" fillId="7" fontId="21" numFmtId="0" xfId="0" applyAlignment="1" applyBorder="1" applyFont="1">
      <alignment horizontal="center" shrinkToFit="0" vertical="center" wrapText="0"/>
    </xf>
    <xf borderId="10" fillId="7" fontId="18" numFmtId="0" xfId="0" applyAlignment="1" applyBorder="1" applyFont="1">
      <alignment horizontal="center" shrinkToFit="0" vertical="center" wrapText="0"/>
    </xf>
    <xf borderId="10" fillId="7" fontId="15" numFmtId="0" xfId="0" applyAlignment="1" applyBorder="1" applyFont="1">
      <alignment horizontal="center" shrinkToFit="0" vertical="center" wrapText="0"/>
    </xf>
    <xf borderId="10" fillId="7" fontId="15" numFmtId="0" xfId="0" applyAlignment="1" applyBorder="1" applyFont="1">
      <alignment readingOrder="0" shrinkToFit="0" vertical="center" wrapText="0"/>
    </xf>
    <xf borderId="10" fillId="7" fontId="18" numFmtId="0" xfId="0" applyAlignment="1" applyBorder="1" applyFont="1">
      <alignment horizontal="center" readingOrder="0" shrinkToFit="0" vertical="center" wrapText="0"/>
    </xf>
    <xf borderId="10" fillId="3" fontId="18" numFmtId="9" xfId="0" applyAlignment="1" applyBorder="1" applyFont="1" applyNumberFormat="1">
      <alignment horizontal="center" readingOrder="0" shrinkToFit="0" vertical="center" wrapText="0"/>
    </xf>
    <xf borderId="10" fillId="7" fontId="18" numFmtId="165" xfId="0" applyAlignment="1" applyBorder="1" applyFont="1" applyNumberFormat="1">
      <alignment horizontal="center" shrinkToFit="0" vertical="center" wrapText="0"/>
    </xf>
    <xf borderId="10" fillId="3" fontId="18" numFmtId="0" xfId="0" applyAlignment="1" applyBorder="1" applyFont="1">
      <alignment shrinkToFit="0" vertical="center" wrapText="0"/>
    </xf>
    <xf borderId="10" fillId="3" fontId="22" numFmtId="0" xfId="0" applyAlignment="1" applyBorder="1" applyFont="1">
      <alignment shrinkToFit="0" vertical="center" wrapText="0"/>
    </xf>
    <xf borderId="10" fillId="3" fontId="23" numFmtId="0" xfId="0" applyAlignment="1" applyBorder="1" applyFont="1">
      <alignment horizontal="center" shrinkToFit="0" vertical="center" wrapText="0"/>
    </xf>
    <xf borderId="10" fillId="3" fontId="24" numFmtId="0" xfId="0" applyAlignment="1" applyBorder="1" applyFont="1">
      <alignment shrinkToFit="0" vertical="center" wrapText="0"/>
    </xf>
    <xf borderId="10" fillId="3" fontId="15" numFmtId="0" xfId="0" applyAlignment="1" applyBorder="1" applyFont="1">
      <alignment horizontal="center" shrinkToFit="0" vertical="center" wrapText="0"/>
    </xf>
    <xf borderId="10" fillId="3" fontId="18" numFmtId="0" xfId="0" applyAlignment="1" applyBorder="1" applyFont="1">
      <alignment horizontal="center" shrinkToFit="0" vertical="center" wrapText="0"/>
    </xf>
    <xf borderId="10" fillId="3" fontId="15" numFmtId="0" xfId="0" applyAlignment="1" applyBorder="1" applyFont="1">
      <alignment readingOrder="0" shrinkToFit="0" vertical="center" wrapText="0"/>
    </xf>
    <xf borderId="10" fillId="3" fontId="18" numFmtId="165" xfId="0" applyAlignment="1" applyBorder="1" applyFont="1" applyNumberFormat="1">
      <alignment horizontal="center" shrinkToFit="0" vertical="center" wrapText="0"/>
    </xf>
    <xf borderId="10" fillId="7" fontId="18" numFmtId="0" xfId="0" applyAlignment="1" applyBorder="1" applyFont="1">
      <alignment horizontal="center" readingOrder="0" shrinkToFit="0" vertical="center" wrapText="0"/>
    </xf>
    <xf borderId="10" fillId="7" fontId="25" numFmtId="0" xfId="0" applyAlignment="1" applyBorder="1" applyFont="1">
      <alignment shrinkToFit="0" vertical="center" wrapText="0"/>
    </xf>
    <xf borderId="10" fillId="7" fontId="21" numFmtId="0" xfId="0" applyAlignment="1" applyBorder="1" applyFont="1">
      <alignment readingOrder="0" shrinkToFit="0" vertical="center" wrapText="0"/>
    </xf>
    <xf borderId="10" fillId="3" fontId="21" numFmtId="0" xfId="0" applyAlignment="1" applyBorder="1" applyFont="1">
      <alignment horizontal="center" readingOrder="0" shrinkToFit="0" vertical="center" wrapText="0"/>
    </xf>
    <xf borderId="10" fillId="3" fontId="21" numFmtId="0" xfId="0" applyAlignment="1" applyBorder="1" applyFont="1">
      <alignment shrinkToFit="0" vertical="center" wrapText="0"/>
    </xf>
    <xf borderId="10" fillId="3" fontId="21" numFmtId="0" xfId="0" applyAlignment="1" applyBorder="1" applyFont="1">
      <alignment horizontal="center" shrinkToFit="0" vertical="center" wrapText="0"/>
    </xf>
    <xf borderId="10" fillId="3" fontId="26" numFmtId="0" xfId="0" applyAlignment="1" applyBorder="1" applyFont="1">
      <alignment horizontal="center" shrinkToFit="0" vertical="center" wrapText="0"/>
    </xf>
    <xf borderId="10" fillId="3" fontId="26" numFmtId="0" xfId="0" applyAlignment="1" applyBorder="1" applyFont="1">
      <alignment readingOrder="0" shrinkToFit="0" vertical="center" wrapText="0"/>
    </xf>
    <xf borderId="10" fillId="3" fontId="18" numFmtId="0" xfId="0" applyAlignment="1" applyBorder="1" applyFont="1">
      <alignment horizontal="center" readingOrder="0" shrinkToFit="0" vertical="center" wrapText="0"/>
    </xf>
    <xf borderId="10" fillId="3" fontId="27" numFmtId="0" xfId="0" applyAlignment="1" applyBorder="1" applyFont="1">
      <alignment shrinkToFit="0" vertical="center" wrapText="0"/>
    </xf>
    <xf borderId="10" fillId="3" fontId="21" numFmtId="0" xfId="0" applyAlignment="1" applyBorder="1" applyFont="1">
      <alignment readingOrder="0" shrinkToFit="0" vertical="center" wrapText="0"/>
    </xf>
    <xf borderId="10" fillId="3" fontId="14" numFmtId="0" xfId="0" applyAlignment="1" applyBorder="1" applyFont="1">
      <alignment readingOrder="0" shrinkToFit="0" vertical="center" wrapText="0"/>
    </xf>
    <xf borderId="10" fillId="7" fontId="25" numFmtId="0" xfId="0" applyAlignment="1" applyBorder="1" applyFont="1">
      <alignment horizontal="center" shrinkToFit="0" vertical="center" wrapText="0"/>
    </xf>
    <xf borderId="10" fillId="7" fontId="18" numFmtId="0" xfId="0" applyAlignment="1" applyBorder="1" applyFont="1">
      <alignment horizontal="center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0" fillId="7" fontId="24" numFmtId="0" xfId="0" applyAlignment="1" applyBorder="1" applyFont="1">
      <alignment horizontal="center" shrinkToFit="0" vertical="center" wrapText="0"/>
    </xf>
    <xf borderId="10" fillId="3" fontId="14" numFmtId="0" xfId="0" applyAlignment="1" applyBorder="1" applyFont="1">
      <alignment horizontal="center" readingOrder="0" shrinkToFit="0" vertical="center" wrapText="0"/>
    </xf>
    <xf borderId="10" fillId="3" fontId="24" numFmtId="0" xfId="0" applyAlignment="1" applyBorder="1" applyFont="1">
      <alignment horizontal="center" readingOrder="0" shrinkToFit="0" vertical="center" wrapText="0"/>
    </xf>
    <xf borderId="10" fillId="3" fontId="24" numFmtId="0" xfId="0" applyAlignment="1" applyBorder="1" applyFont="1">
      <alignment horizontal="center" shrinkToFit="0" vertical="center" wrapText="0"/>
    </xf>
    <xf borderId="10" fillId="3" fontId="24" numFmtId="0" xfId="0" applyAlignment="1" applyBorder="1" applyFont="1">
      <alignment readingOrder="0" shrinkToFit="0" vertical="center" wrapText="0"/>
    </xf>
    <xf borderId="10" fillId="3" fontId="18" numFmtId="0" xfId="0" applyAlignment="1" applyBorder="1" applyFont="1">
      <alignment horizontal="center" readingOrder="0" shrinkToFit="0" vertical="center" wrapText="0"/>
    </xf>
    <xf borderId="10" fillId="3" fontId="25" numFmtId="0" xfId="0" applyAlignment="1" applyBorder="1" applyFont="1">
      <alignment shrinkToFit="0" vertical="center" wrapText="0"/>
    </xf>
    <xf borderId="10" fillId="7" fontId="18" numFmtId="0" xfId="0" applyAlignment="1" applyBorder="1" applyFont="1">
      <alignment readingOrder="0" shrinkToFit="0" vertical="center" wrapText="0"/>
    </xf>
    <xf borderId="10" fillId="7" fontId="27" numFmtId="0" xfId="0" applyAlignment="1" applyBorder="1" applyFont="1">
      <alignment horizontal="center" readingOrder="0" shrinkToFit="0" vertical="center" wrapText="0"/>
    </xf>
    <xf borderId="10" fillId="7" fontId="26" numFmtId="0" xfId="0" applyAlignment="1" applyBorder="1" applyFont="1">
      <alignment horizontal="center" shrinkToFit="0" vertical="center" wrapText="0"/>
    </xf>
    <xf borderId="10" fillId="7" fontId="26" numFmtId="0" xfId="0" applyAlignment="1" applyBorder="1" applyFont="1">
      <alignment readingOrder="0" shrinkToFit="0" vertical="center" wrapText="0"/>
    </xf>
    <xf borderId="10" fillId="7" fontId="18" numFmtId="165" xfId="0" applyAlignment="1" applyBorder="1" applyFont="1" applyNumberFormat="1">
      <alignment horizontal="center" readingOrder="0" shrinkToFit="0" vertical="center" wrapText="0"/>
    </xf>
    <xf borderId="10" fillId="7" fontId="23" numFmtId="0" xfId="0" applyAlignment="1" applyBorder="1" applyFont="1">
      <alignment horizontal="center" shrinkToFit="0" vertical="center" wrapText="0"/>
    </xf>
    <xf borderId="10" fillId="7" fontId="24" numFmtId="0" xfId="0" applyAlignment="1" applyBorder="1" applyFont="1">
      <alignment shrinkToFit="0" vertical="center" wrapText="0"/>
    </xf>
    <xf borderId="10" fillId="7" fontId="24" numFmtId="0" xfId="0" applyAlignment="1" applyBorder="1" applyFont="1">
      <alignment readingOrder="0" shrinkToFit="0" vertical="center" wrapText="0"/>
    </xf>
    <xf borderId="10" fillId="3" fontId="25" numFmtId="0" xfId="0" applyAlignment="1" applyBorder="1" applyFont="1">
      <alignment horizontal="center" readingOrder="0" shrinkToFit="0" vertical="center" wrapText="0"/>
    </xf>
    <xf borderId="10" fillId="3" fontId="14" numFmtId="0" xfId="0" applyAlignment="1" applyBorder="1" applyFont="1">
      <alignment horizontal="center" shrinkToFit="0" vertical="center" wrapText="0"/>
    </xf>
    <xf borderId="10" fillId="3" fontId="18" numFmtId="165" xfId="0" applyAlignment="1" applyBorder="1" applyFont="1" applyNumberFormat="1">
      <alignment horizontal="center" readingOrder="0" shrinkToFit="0" vertical="center" wrapText="0"/>
    </xf>
    <xf borderId="10" fillId="3" fontId="4" numFmtId="0" xfId="0" applyAlignment="1" applyBorder="1" applyFont="1">
      <alignment shrinkToFit="0" vertical="center" wrapText="0"/>
    </xf>
    <xf borderId="10" fillId="3" fontId="27" numFmtId="0" xfId="0" applyAlignment="1" applyBorder="1" applyFont="1">
      <alignment readingOrder="0" shrinkToFit="0" vertical="center" wrapText="0"/>
    </xf>
    <xf borderId="10" fillId="7" fontId="27" numFmtId="0" xfId="0" applyAlignment="1" applyBorder="1" applyFont="1">
      <alignment horizontal="center" shrinkToFit="0" vertical="center" wrapText="0"/>
    </xf>
    <xf borderId="10" fillId="7" fontId="15" numFmtId="0" xfId="0" applyAlignment="1" applyBorder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shrinkToFit="0" vertical="center" wrapText="0"/>
    </xf>
    <xf borderId="10" fillId="3" fontId="27" numFmtId="0" xfId="0" applyAlignment="1" applyBorder="1" applyFont="1">
      <alignment horizontal="center" shrinkToFit="0" vertical="center" wrapText="0"/>
    </xf>
    <xf borderId="10" fillId="3" fontId="26" numFmtId="0" xfId="0" applyAlignment="1" applyBorder="1" applyFont="1">
      <alignment horizontal="center" readingOrder="0" shrinkToFit="0" vertical="center" wrapText="0"/>
    </xf>
    <xf borderId="10" fillId="7" fontId="24" numFmtId="0" xfId="0" applyAlignment="1" applyBorder="1" applyFont="1">
      <alignment horizontal="center" readingOrder="0" shrinkToFit="0" vertical="center" wrapText="0"/>
    </xf>
    <xf borderId="10" fillId="7" fontId="18" numFmtId="166" xfId="0" applyAlignment="1" applyBorder="1" applyFont="1" applyNumberFormat="1">
      <alignment horizontal="center" readingOrder="0" shrinkToFit="0" vertical="center" wrapText="0"/>
    </xf>
    <xf borderId="10" fillId="3" fontId="18" numFmtId="166" xfId="0" applyAlignment="1" applyBorder="1" applyFont="1" applyNumberFormat="1">
      <alignment horizontal="center" shrinkToFit="0" vertical="center" wrapText="0"/>
    </xf>
    <xf borderId="10" fillId="7" fontId="26" numFmtId="0" xfId="0" applyAlignment="1" applyBorder="1" applyFont="1">
      <alignment horizontal="center" readingOrder="0" shrinkToFit="0" vertical="center" wrapText="0"/>
    </xf>
    <xf borderId="10" fillId="3" fontId="25" numFmtId="0" xfId="0" applyAlignment="1" applyBorder="1" applyFont="1">
      <alignment horizontal="center" shrinkToFit="0" vertical="center" wrapText="0"/>
    </xf>
    <xf borderId="10" fillId="3" fontId="18" numFmtId="0" xfId="0" applyAlignment="1" applyBorder="1" applyFont="1">
      <alignment horizontal="center" shrinkToFit="0" vertical="center" wrapText="0"/>
    </xf>
    <xf borderId="10" fillId="3" fontId="28" numFmtId="0" xfId="0" applyAlignment="1" applyBorder="1" applyFont="1">
      <alignment readingOrder="0" shrinkToFit="0" vertical="center" wrapText="0"/>
    </xf>
    <xf borderId="10" fillId="0" fontId="29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horizontal="center" readingOrder="0" shrinkToFit="0" vertical="bottom" wrapText="0"/>
    </xf>
    <xf borderId="10" fillId="0" fontId="4" numFmtId="0" xfId="0" applyAlignment="1" applyBorder="1" applyFont="1">
      <alignment horizontal="center" shrinkToFit="0" vertical="bottom" wrapText="0"/>
    </xf>
    <xf borderId="11" fillId="3" fontId="14" numFmtId="0" xfId="0" applyAlignment="1" applyBorder="1" applyFont="1">
      <alignment readingOrder="0" shrinkToFit="0" vertical="center" wrapText="0"/>
    </xf>
    <xf borderId="11" fillId="3" fontId="14" numFmtId="0" xfId="0" applyAlignment="1" applyBorder="1" applyFont="1">
      <alignment horizontal="center" readingOrder="0" shrinkToFit="0" vertical="center" wrapText="0"/>
    </xf>
    <xf borderId="9" fillId="3" fontId="14" numFmtId="0" xfId="0" applyAlignment="1" applyBorder="1" applyFont="1">
      <alignment readingOrder="0" shrinkToFit="0" vertical="center" wrapText="0"/>
    </xf>
    <xf borderId="9" fillId="3" fontId="14" numFmtId="0" xfId="0" applyAlignment="1" applyBorder="1" applyFont="1">
      <alignment horizontal="center" readingOrder="0" shrinkToFit="0" vertical="center" wrapText="0"/>
    </xf>
    <xf borderId="10" fillId="7" fontId="25" numFmtId="0" xfId="0" applyAlignment="1" applyBorder="1" applyFont="1">
      <alignment horizontal="center" readingOrder="0" shrinkToFit="0" vertical="center" wrapText="0"/>
    </xf>
    <xf borderId="10" fillId="7" fontId="4" numFmtId="0" xfId="0" applyAlignment="1" applyBorder="1" applyFont="1">
      <alignment horizontal="center" readingOrder="0" shrinkToFit="0" vertical="center" wrapText="0"/>
    </xf>
    <xf borderId="10" fillId="7" fontId="30" numFmtId="0" xfId="0" applyAlignment="1" applyBorder="1" applyFont="1">
      <alignment horizontal="center" readingOrder="0" shrinkToFit="0" vertical="center" wrapText="0"/>
    </xf>
    <xf borderId="10" fillId="3" fontId="31" numFmtId="0" xfId="0" applyAlignment="1" applyBorder="1" applyFont="1">
      <alignment horizontal="center" readingOrder="0" shrinkToFit="0" vertical="center" wrapText="0"/>
    </xf>
    <xf borderId="10" fillId="3" fontId="4" numFmtId="0" xfId="0" applyAlignment="1" applyBorder="1" applyFont="1">
      <alignment horizontal="center" readingOrder="0" shrinkToFit="0" vertical="center" wrapText="0"/>
    </xf>
    <xf borderId="10" fillId="3" fontId="18" numFmtId="0" xfId="0" applyAlignment="1" applyBorder="1" applyFont="1">
      <alignment shrinkToFit="0" vertical="center" wrapText="0"/>
    </xf>
    <xf borderId="10" fillId="3" fontId="15" numFmtId="0" xfId="0" applyAlignment="1" applyBorder="1" applyFont="1">
      <alignment shrinkToFit="0" vertical="center" wrapText="0"/>
    </xf>
    <xf borderId="10" fillId="7" fontId="18" numFmtId="0" xfId="0" applyAlignment="1" applyBorder="1" applyFont="1">
      <alignment shrinkToFit="0" vertical="center" wrapText="0"/>
    </xf>
    <xf borderId="10" fillId="7" fontId="15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horizontal="center" shrinkToFit="0" vertical="bottom" wrapText="0"/>
    </xf>
    <xf borderId="10" fillId="3" fontId="26" numFmtId="0" xfId="0" applyAlignment="1" applyBorder="1" applyFont="1">
      <alignment shrinkToFit="0" vertical="center" wrapText="0"/>
    </xf>
    <xf borderId="10" fillId="3" fontId="14" numFmtId="0" xfId="0" applyAlignment="1" applyBorder="1" applyFont="1">
      <alignment shrinkToFit="0" vertical="center" wrapText="0"/>
    </xf>
    <xf borderId="10" fillId="7" fontId="26" numFmtId="0" xfId="0" applyAlignment="1" applyBorder="1" applyFont="1">
      <alignment shrinkToFit="0" vertical="center" wrapText="0"/>
    </xf>
    <xf borderId="10" fillId="7" fontId="4" numFmtId="0" xfId="0" applyAlignment="1" applyBorder="1" applyFont="1">
      <alignment shrinkToFit="0" vertical="center" wrapText="0"/>
    </xf>
    <xf borderId="11" fillId="3" fontId="18" numFmtId="0" xfId="0" applyAlignment="1" applyBorder="1" applyFont="1">
      <alignment horizontal="center" shrinkToFit="0" vertical="center" wrapText="0"/>
    </xf>
    <xf borderId="0" fillId="3" fontId="18" numFmtId="0" xfId="0" applyAlignment="1" applyFont="1">
      <alignment horizontal="center" shrinkToFit="0" vertical="center" wrapText="0"/>
    </xf>
    <xf borderId="0" fillId="7" fontId="18" numFmtId="0" xfId="0" applyAlignment="1" applyFont="1">
      <alignment horizontal="center" shrinkToFit="0" vertical="center" wrapText="0"/>
    </xf>
    <xf borderId="10" fillId="0" fontId="4" numFmtId="0" xfId="0" applyAlignment="1" applyBorder="1" applyFont="1">
      <alignment shrinkToFit="0" vertical="bottom" wrapText="0"/>
    </xf>
    <xf borderId="10" fillId="3" fontId="18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shrinkToFit="0" vertical="bottom" wrapText="0"/>
    </xf>
    <xf borderId="11" fillId="3" fontId="25" numFmtId="0" xfId="0" applyAlignment="1" applyBorder="1" applyFont="1">
      <alignment horizontal="center" shrinkToFit="0" vertical="center" wrapText="0"/>
    </xf>
    <xf borderId="11" fillId="3" fontId="14" numFmtId="0" xfId="0" applyAlignment="1" applyBorder="1" applyFont="1">
      <alignment horizontal="center" readingOrder="0" shrinkToFit="0" vertical="center" wrapText="0"/>
    </xf>
    <xf borderId="11" fillId="3" fontId="18" numFmtId="165" xfId="0" applyAlignment="1" applyBorder="1" applyFont="1" applyNumberFormat="1">
      <alignment horizontal="center" readingOrder="0" shrinkToFit="0" vertical="center" wrapText="0"/>
    </xf>
    <xf borderId="9" fillId="3" fontId="18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/>
    </xf>
    <xf borderId="0" fillId="0" fontId="10" numFmtId="49" xfId="0" applyAlignment="1" applyFont="1" applyNumberFormat="1">
      <alignment horizontal="left"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borderId="0" fillId="0" fontId="35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37" numFmtId="0" xfId="0" applyAlignment="1" applyFont="1">
      <alignment readingOrder="0" shrinkToFit="0" vertical="center" wrapText="0"/>
    </xf>
    <xf borderId="0" fillId="0" fontId="38" numFmtId="0" xfId="0" applyAlignment="1" applyFont="1">
      <alignment horizontal="center" readingOrder="0" shrinkToFit="0" vertical="center" wrapText="0"/>
    </xf>
    <xf borderId="0" fillId="0" fontId="3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19" numFmtId="49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12" fillId="7" fontId="18" numFmtId="0" xfId="0" applyAlignment="1" applyBorder="1" applyFont="1">
      <alignment horizontal="center" shrinkToFit="0" vertical="center" wrapText="0"/>
    </xf>
    <xf borderId="13" fillId="7" fontId="15" numFmtId="0" xfId="0" applyAlignment="1" applyBorder="1" applyFont="1">
      <alignment horizontal="center" shrinkToFit="0" vertical="center" wrapText="0"/>
    </xf>
    <xf borderId="13" fillId="7" fontId="18" numFmtId="0" xfId="0" applyAlignment="1" applyBorder="1" applyFont="1">
      <alignment horizontal="center" shrinkToFit="0" vertical="center" wrapText="0"/>
    </xf>
    <xf borderId="14" fillId="7" fontId="18" numFmtId="0" xfId="0" applyAlignment="1" applyBorder="1" applyFont="1">
      <alignment horizontal="center" shrinkToFit="0" vertical="center" wrapText="0"/>
    </xf>
    <xf borderId="13" fillId="7" fontId="40" numFmtId="0" xfId="0" applyAlignment="1" applyBorder="1" applyFont="1">
      <alignment horizontal="center" shrinkToFit="0" vertical="center" wrapText="0"/>
    </xf>
    <xf borderId="0" fillId="7" fontId="18" numFmtId="0" xfId="0" applyAlignment="1" applyFont="1">
      <alignment horizontal="center" readingOrder="0" shrinkToFit="0" vertical="center" wrapText="1"/>
    </xf>
    <xf borderId="15" fillId="7" fontId="18" numFmtId="0" xfId="0" applyAlignment="1" applyBorder="1" applyFont="1">
      <alignment horizontal="center" shrinkToFit="0" vertical="center" wrapText="0"/>
    </xf>
    <xf borderId="8" fillId="7" fontId="41" numFmtId="0" xfId="0" applyAlignment="1" applyBorder="1" applyFont="1">
      <alignment horizontal="center" shrinkToFit="0" vertical="center" wrapText="0"/>
    </xf>
    <xf borderId="8" fillId="7" fontId="18" numFmtId="0" xfId="0" applyAlignment="1" applyBorder="1" applyFont="1">
      <alignment horizontal="center" shrinkToFit="0" vertical="center" wrapText="0"/>
    </xf>
    <xf borderId="16" fillId="7" fontId="18" numFmtId="0" xfId="0" applyAlignment="1" applyBorder="1" applyFont="1">
      <alignment horizontal="center" shrinkToFit="0" vertical="center" wrapText="0"/>
    </xf>
    <xf borderId="8" fillId="7" fontId="42" numFmtId="0" xfId="0" applyAlignment="1" applyBorder="1" applyFont="1">
      <alignment horizontal="center" shrinkToFit="0" vertical="center" wrapText="0"/>
    </xf>
    <xf borderId="12" fillId="3" fontId="18" numFmtId="0" xfId="0" applyAlignment="1" applyBorder="1" applyFont="1">
      <alignment horizontal="center" shrinkToFit="0" vertical="center" wrapText="0"/>
    </xf>
    <xf borderId="13" fillId="3" fontId="21" numFmtId="0" xfId="0" applyAlignment="1" applyBorder="1" applyFont="1">
      <alignment horizontal="center" shrinkToFit="0" vertical="center" wrapText="0"/>
    </xf>
    <xf borderId="13" fillId="3" fontId="18" numFmtId="0" xfId="0" applyAlignment="1" applyBorder="1" applyFont="1">
      <alignment horizontal="center" shrinkToFit="0" vertical="center" wrapText="0"/>
    </xf>
    <xf borderId="14" fillId="3" fontId="18" numFmtId="0" xfId="0" applyAlignment="1" applyBorder="1" applyFont="1">
      <alignment horizontal="center" shrinkToFit="0" vertical="center" wrapText="0"/>
    </xf>
    <xf borderId="13" fillId="3" fontId="43" numFmtId="0" xfId="0" applyAlignment="1" applyBorder="1" applyFont="1">
      <alignment horizontal="center" shrinkToFit="0" vertical="center" wrapText="0"/>
    </xf>
    <xf borderId="15" fillId="3" fontId="18" numFmtId="0" xfId="0" applyAlignment="1" applyBorder="1" applyFont="1">
      <alignment horizontal="center" shrinkToFit="0" vertical="center" wrapText="0"/>
    </xf>
    <xf borderId="8" fillId="3" fontId="21" numFmtId="0" xfId="0" applyAlignment="1" applyBorder="1" applyFont="1">
      <alignment horizontal="center" shrinkToFit="0" vertical="center" wrapText="0"/>
    </xf>
    <xf borderId="8" fillId="3" fontId="18" numFmtId="0" xfId="0" applyAlignment="1" applyBorder="1" applyFont="1">
      <alignment horizontal="center" shrinkToFit="0" vertical="center" wrapText="0"/>
    </xf>
    <xf borderId="16" fillId="3" fontId="18" numFmtId="0" xfId="0" applyAlignment="1" applyBorder="1" applyFont="1">
      <alignment horizontal="center" shrinkToFit="0" vertical="center" wrapText="0"/>
    </xf>
    <xf borderId="8" fillId="3" fontId="44" numFmtId="0" xfId="0" applyAlignment="1" applyBorder="1" applyFont="1">
      <alignment horizontal="center" shrinkToFit="0" vertical="center" wrapText="0"/>
    </xf>
    <xf borderId="13" fillId="7" fontId="21" numFmtId="0" xfId="0" applyAlignment="1" applyBorder="1" applyFont="1">
      <alignment horizontal="center" shrinkToFit="0" vertical="center" wrapText="0"/>
    </xf>
    <xf borderId="12" fillId="3" fontId="18" numFmtId="0" xfId="0" applyAlignment="1" applyBorder="1" applyFont="1">
      <alignment horizontal="center" shrinkToFit="0" vertical="center" wrapText="0"/>
    </xf>
    <xf borderId="8" fillId="7" fontId="21" numFmtId="0" xfId="0" applyAlignment="1" applyBorder="1" applyFont="1">
      <alignment horizontal="center" shrinkToFit="0" vertical="center" wrapText="0"/>
    </xf>
    <xf borderId="13" fillId="3" fontId="14" numFmtId="0" xfId="0" applyAlignment="1" applyBorder="1" applyFont="1">
      <alignment horizontal="center" shrinkToFit="0" vertical="center" wrapText="0"/>
    </xf>
    <xf borderId="0" fillId="3" fontId="18" numFmtId="0" xfId="0" applyAlignment="1" applyFont="1">
      <alignment horizontal="center" readingOrder="0" shrinkToFit="0" vertical="center" wrapText="1"/>
    </xf>
    <xf borderId="15" fillId="7" fontId="18" numFmtId="0" xfId="0" applyAlignment="1" applyBorder="1" applyFont="1">
      <alignment horizontal="center" shrinkToFit="0" vertical="center" wrapText="0"/>
    </xf>
    <xf borderId="8" fillId="7" fontId="14" numFmtId="0" xfId="0" applyAlignment="1" applyBorder="1" applyFont="1">
      <alignment horizontal="center" shrinkToFit="0" vertical="center" wrapText="0"/>
    </xf>
    <xf borderId="12" fillId="7" fontId="18" numFmtId="0" xfId="0" applyAlignment="1" applyBorder="1" applyFont="1">
      <alignment horizontal="center" shrinkToFit="0" vertical="center" wrapText="0"/>
    </xf>
    <xf borderId="13" fillId="7" fontId="14" numFmtId="0" xfId="0" applyAlignment="1" applyBorder="1" applyFont="1">
      <alignment horizontal="center" shrinkToFit="0" vertical="center" wrapText="0"/>
    </xf>
    <xf borderId="15" fillId="3" fontId="18" numFmtId="0" xfId="0" applyAlignment="1" applyBorder="1" applyFont="1">
      <alignment horizontal="center" shrinkToFit="0" vertical="center" wrapText="0"/>
    </xf>
    <xf borderId="8" fillId="3" fontId="14" numFmtId="0" xfId="0" applyAlignment="1" applyBorder="1" applyFont="1">
      <alignment horizontal="center" shrinkToFit="0" vertical="center" wrapText="0"/>
    </xf>
    <xf borderId="17" fillId="7" fontId="18" numFmtId="0" xfId="0" applyAlignment="1" applyBorder="1" applyFont="1">
      <alignment horizontal="center" shrinkToFit="0" vertical="center" wrapText="0"/>
    </xf>
    <xf borderId="18" fillId="7" fontId="14" numFmtId="0" xfId="0" applyAlignment="1" applyBorder="1" applyFont="1">
      <alignment horizontal="center" shrinkToFit="0" vertical="center" wrapText="0"/>
    </xf>
    <xf borderId="18" fillId="7" fontId="18" numFmtId="0" xfId="0" applyAlignment="1" applyBorder="1" applyFont="1">
      <alignment horizontal="center" shrinkToFit="0" vertical="center" wrapText="0"/>
    </xf>
    <xf borderId="19" fillId="7" fontId="18" numFmtId="0" xfId="0" applyAlignment="1" applyBorder="1" applyFont="1">
      <alignment horizontal="center" shrinkToFit="0" vertical="center" wrapText="0"/>
    </xf>
    <xf borderId="18" fillId="7" fontId="4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cur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quip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ye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vi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aci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sito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_ro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bd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4" displayName="Tabla_2" name="Tabla_2" id="1">
  <tableColumns count="9">
    <tableColumn name="nombre" id="1"/>
    <tableColumn name="email" id="2"/>
    <tableColumn name="id" id="3"/>
    <tableColumn name="departamento" id="4"/>
    <tableColumn name="rol" id="5"/>
    <tableColumn name="jefe" id="6"/>
    <tableColumn name="email_jefe" id="7"/>
    <tableColumn name="id_jefe" id="8"/>
    <tableColumn name="Progreso" id="9"/>
  </tableColumns>
  <tableStyleInfo name="cursos-style" showColumnStripes="0" showFirstColumn="1" showLastColumn="1" showRowStripes="1"/>
</table>
</file>

<file path=xl/tables/table2.xml><?xml version="1.0" encoding="utf-8"?>
<table xmlns="http://schemas.openxmlformats.org/spreadsheetml/2006/main" ref="A1:K35" displayName="Equipo" name="Equipo" id="2">
  <tableColumns count="11">
    <tableColumn name="id" id="1"/>
    <tableColumn name="nombre" id="2"/>
    <tableColumn name="email" id="3"/>
    <tableColumn name="tag" id="4"/>
    <tableColumn name="nickname" id="5"/>
    <tableColumn name="user" id="6"/>
    <tableColumn name="puesto" id="7"/>
    <tableColumn name="departamento" id="8"/>
    <tableColumn name="rol" id="9"/>
    <tableColumn name="jefe" id="10"/>
    <tableColumn name="jefe_id" id="11"/>
  </tableColumns>
  <tableStyleInfo name="equipo-style" showColumnStripes="0" showFirstColumn="1" showLastColumn="1" showRowStripes="1"/>
</table>
</file>

<file path=xl/tables/table3.xml><?xml version="1.0" encoding="utf-8"?>
<table xmlns="http://schemas.openxmlformats.org/spreadsheetml/2006/main" ref="A1:AI64" displayName="Proyectos" name="Proyectos" id="3">
  <autoFilter ref="$A$1:$AI$64">
    <filterColumn colId="23">
      <filters>
        <filter val="Dave"/>
      </filters>
    </filterColumn>
  </autoFilter>
  <tableColumns count="35">
    <tableColumn name="id" id="1"/>
    <tableColumn name="URL" id="2"/>
    <tableColumn name="folio" id="3"/>
    <tableColumn name="nombre" id="4"/>
    <tableColumn name="tipo" id="5"/>
    <tableColumn name="producto" id="6"/>
    <tableColumn name="servicio" id="7"/>
    <tableColumn name="aliado" id="8"/>
    <tableColumn name="estatus" id="9"/>
    <tableColumn name="salud" id="10"/>
    <tableColumn name="progreso" id="11"/>
    <tableColumn name="prioridad" id="12"/>
    <tableColumn name="Épica (Producto)" id="13"/>
    <tableColumn name="cuatrimestre" id="14"/>
    <tableColumn name="sprint" id="15"/>
    <tableColumn name="Puntos" id="16"/>
    <tableColumn name="Registro" id="17"/>
    <tableColumn name="Inicio estimado" id="18"/>
    <tableColumn name="Fecha inicio" id="19"/>
    <tableColumn name="Fin estimado" id="20"/>
    <tableColumn name="Fin real" id="21"/>
    <tableColumn name="PO" id="22"/>
    <tableColumn name="PO_ID" id="23"/>
    <tableColumn name="PM" id="24"/>
    <tableColumn name="PM_ID" id="25"/>
    <tableColumn name="Arquitecto" id="26"/>
    <tableColumn name="Arquitecto_ID" id="27"/>
    <tableColumn name="DEVs" id="28"/>
    <tableColumn name="DEVs_ID" id="29"/>
    <tableColumn name="SQA" id="30"/>
    <tableColumn name="SQA_ID" id="31"/>
    <tableColumn name="Requiere de" id="32"/>
    <tableColumn name="Requiere_ID" id="33"/>
    <tableColumn name="Accion requerida" id="34"/>
    <tableColumn name="Fecha de accion" id="35"/>
  </tableColumns>
  <tableStyleInfo name="proyectos-style" showColumnStripes="0" showFirstColumn="1" showLastColumn="1" showRowStripes="1"/>
</table>
</file>

<file path=xl/tables/table4.xml><?xml version="1.0" encoding="utf-8"?>
<table xmlns="http://schemas.openxmlformats.org/spreadsheetml/2006/main" ref="A1:AB114" displayName="Actividades" name="Actividades" id="4">
  <autoFilter ref="$A$1:$AB$114">
    <filterColumn colId="7">
      <filters>
        <filter val="In progress"/>
        <filter val="PO Review"/>
        <filter val="TL Review"/>
        <filter val="Pending"/>
      </filters>
    </filterColumn>
    <filterColumn colId="6">
      <filters>
        <filter val="Arman"/>
        <filter val="Edgar"/>
        <filter val="Alejandro"/>
        <filter val="Gregorio"/>
        <filter val="Jasiel"/>
        <filter val="Lore"/>
        <filter val="Emilio"/>
      </filters>
    </filterColumn>
    <filterColumn colId="11">
      <filters blank="1">
        <filter val="Liberacion"/>
        <filter val="SQA"/>
        <filter val="Desarrollo"/>
        <filter val="Planeacion"/>
        <filter val="Analisis"/>
      </filters>
    </filterColumn>
  </autoFilter>
  <tableColumns count="28">
    <tableColumn name="Proyecto" id="1"/>
    <tableColumn name="ProyectoId" id="2"/>
    <tableColumn name="Producto" id="3"/>
    <tableColumn name="sprint" id="4"/>
    <tableColumn name="Folio" id="5"/>
    <tableColumn name="URL" id="6"/>
    <tableColumn name="Asignado" id="7"/>
    <tableColumn name="Estatus" id="8"/>
    <tableColumn name="Actividad" id="9"/>
    <tableColumn name="AsignadoId" id="10"/>
    <tableColumn name="Salud" id="11"/>
    <tableColumn name="Fase" id="12"/>
    <tableColumn name="Tipo" id="13"/>
    <tableColumn name="Prioridad" id="14"/>
    <tableColumn name="Dificultad" id="15"/>
    <tableColumn name="Épica" id="16"/>
    <tableColumn name="Hito" id="17"/>
    <tableColumn name="HitoId" id="18"/>
    <tableColumn name="Cuenta" id="19"/>
    <tableColumn name="Puntos" id="20"/>
    <tableColumn name="Traking" id="21"/>
    <tableColumn name="avance" id="22"/>
    <tableColumn name="Registro" id="23"/>
    <tableColumn name="inicio estimado" id="24"/>
    <tableColumn name="Fecha inicio" id="25"/>
    <tableColumn name="Fin estimado" id="26"/>
    <tableColumn name="Fin real" id="27"/>
    <tableColumn name="Rol" id="28"/>
  </tableColumns>
  <tableStyleInfo name="actividades-style" showColumnStripes="0" showFirstColumn="1" showLastColumn="1" showRowStripes="1"/>
</table>
</file>

<file path=xl/tables/table5.xml><?xml version="1.0" encoding="utf-8"?>
<table xmlns="http://schemas.openxmlformats.org/spreadsheetml/2006/main" ref="A1:K9" displayName="Sprint" name="Sprint" id="5">
  <autoFilter ref="$A$1:$K$9">
    <filterColumn colId="0">
      <filters>
        <filter val="S17"/>
      </filters>
    </filterColumn>
  </autoFilter>
  <tableColumns count="11">
    <tableColumn name="Sprint" id="1"/>
    <tableColumn name="Mes" id="2"/>
    <tableColumn name="Año" id="3"/>
    <tableColumn name="Dias" id="4"/>
    <tableColumn name="Inicio estimado" id="5"/>
    <tableColumn name="inicio real" id="6"/>
    <tableColumn name="Fin estimado" id="7"/>
    <tableColumn name="Fin real" id="8"/>
    <tableColumn name="Desfase" id="9"/>
    <tableColumn name="Capacidad / HRS" id="10"/>
    <tableColumn name="Pts" id="11"/>
  </tableColumns>
  <tableStyleInfo name="sprint-style" showColumnStripes="0" showFirstColumn="1" showLastColumn="1" showRowStripes="1"/>
</table>
</file>

<file path=xl/tables/table6.xml><?xml version="1.0" encoding="utf-8"?>
<table xmlns="http://schemas.openxmlformats.org/spreadsheetml/2006/main" ref="A1:I2" displayName="Hitos" name="Hitos" id="6">
  <tableColumns count="9">
    <tableColumn name="id_hito" id="1"/>
    <tableColumn name="id_proyecto" id="2"/>
    <tableColumn name="hito_nombre" id="3"/>
    <tableColumn name="Cliente" id="4"/>
    <tableColumn name="Prioridad" id="5"/>
    <tableColumn name="Inicio" id="6"/>
    <tableColumn name="Fin" id="7"/>
    <tableColumn name="Estatus" id="8"/>
    <tableColumn name="Avance" id="9"/>
  </tableColumns>
  <tableStyleInfo name="hitos-style" showColumnStripes="0" showFirstColumn="1" showLastColumn="1" showRowStripes="1"/>
</table>
</file>

<file path=xl/tables/table7.xml><?xml version="1.0" encoding="utf-8"?>
<table xmlns="http://schemas.openxmlformats.org/spreadsheetml/2006/main" ref="A1:F19" displayName="capacidades" name="capacidades" id="7">
  <tableColumns count="6">
    <tableColumn name="id_team" id="1"/>
    <tableColumn name="Nombre" id="2"/>
    <tableColumn name="user_id" id="3"/>
    <tableColumn name="id_sprint" id="4"/>
    <tableColumn name="vacaciones" id="5"/>
    <tableColumn name="capacidad" id="6"/>
  </tableColumns>
  <tableStyleInfo name="capacidades-style" showColumnStripes="0" showFirstColumn="1" showLastColumn="1" showRowStripes="1"/>
</table>
</file>

<file path=xl/tables/table8.xml><?xml version="1.0" encoding="utf-8"?>
<table xmlns="http://schemas.openxmlformats.org/spreadsheetml/2006/main" ref="A1:K21" displayName="Tabla_6" name="Tabla_6" id="8">
  <tableColumns count="11">
    <tableColumn name="Nombre común" id="1"/>
    <tableColumn name="Ambientes" id="2"/>
    <tableColumn name="Estatus" id="3"/>
    <tableColumn name="Dpto" id="4"/>
    <tableColumn name="Producto" id="5"/>
    <tableColumn name="GITHub Repositorio" id="6"/>
    <tableColumn name="Administrador" id="7"/>
    <tableColumn name="Arquitecto" id="8"/>
    <tableColumn name="Colaborador" id="9"/>
    <tableColumn name="Visualizador" id="10"/>
    <tableColumn name="Deploy" id="11"/>
  </tableColumns>
  <tableStyleInfo name="repositorios-style" showColumnStripes="0" showFirstColumn="1" showLastColumn="1" showRowStripes="1"/>
</table>
</file>

<file path=xl/tables/table9.xml><?xml version="1.0" encoding="utf-8"?>
<table xmlns="http://schemas.openxmlformats.org/spreadsheetml/2006/main" ref="A1:AE33" displayName="users" name="users" id="9">
  <autoFilter ref="$A$1:$AE$33"/>
  <tableColumns count="31">
    <tableColumn name="id" id="1"/>
    <tableColumn name="departamento" id="2"/>
    <tableColumn name="nombre" id="3"/>
    <tableColumn name="email" id="4"/>
    <tableColumn name="rol" id="5"/>
    <tableColumn name="jefe" id="6"/>
    <tableColumn name="nickname" id="7"/>
    <tableColumn name="user" id="8"/>
    <tableColumn name="puesto" id="9"/>
    <tableColumn name="tag" id="10"/>
    <tableColumn name="APIs App Academic" id="11"/>
    <tableColumn name="Academic Web" id="12"/>
    <tableColumn name="APIs Basic Procesos" id="13"/>
    <tableColumn name="Academic App Movil" id="14"/>
    <tableColumn name="Paginador Academic Web" id="15"/>
    <tableColumn name="Caja rápida" id="16"/>
    <tableColumn name="Motor de procesamiento - Academic" id="17"/>
    <tableColumn name="Academic Portal (Landpage intgerado)" id="18"/>
    <tableColumn name="Motor de envío de correos" id="19"/>
    <tableColumn name="API Facturacion" id="20"/>
    <tableColumn name="API de conversión de reportes a PDF" id="21"/>
    <tableColumn name="Motor de facturación" id="22"/>
    <tableColumn name="API de generación de reportes" id="23"/>
    <tableColumn name="Motor de titulos digitales" id="24"/>
    <tableColumn name="APIs Bearer Personales" id="25"/>
    <tableColumn name="Academic DevHub" id="26"/>
    <tableColumn name="Academic asistencia por dactilar" id="27"/>
    <tableColumn name="Academic Admin Site" id="28"/>
    <tableColumn name="APIs Academic Portal" id="29"/>
    <tableColumn name="Backoffice" id="30"/>
    <tableColumn name="Columna 31" id="31"/>
  </tableColumns>
  <tableStyleInfo name="user_rol-style" showColumnStripes="0" showFirstColumn="1" showLastColumn="1" showRowStripes="1"/>
</table>
</file>

<file path=xl/tables/table10.xml><?xml version="1.0" encoding="utf-8"?>
<table xmlns="http://schemas.openxmlformats.org/spreadsheetml/2006/main" ref="A1:Y565" displayName="Tabla" name="Tabla" id="10">
  <tableColumns count="25">
    <tableColumn name="D" id="1"/>
    <tableColumn name="idCliente" id="2"/>
    <tableColumn name="sClave" id="3"/>
    <tableColumn name="sCliente" id="4"/>
    <tableColumn name="sRazonSocial" id="5"/>
    <tableColumn name="sClaveAtencion" id="6"/>
    <tableColumn name="iIdetificador" id="7"/>
    <tableColumn name="sIdentificador" id="8"/>
    <tableColumn name="Column 25" id="9"/>
    <tableColumn name="sBD" id="10"/>
    <tableColumn name="sUsuario" id="11"/>
    <tableColumn name="sPass" id="12"/>
    <tableColumn name="sServidor" id="13"/>
    <tableColumn name="bDemo" id="14"/>
    <tableColumn name="bActivo" id="15"/>
    <tableColumn name="iVersion" id="16"/>
    <tableColumn name="bPortalSSL" id="17"/>
    <tableColumn name="iGrupo" id="18"/>
    <tableColumn name="bTest" id="19"/>
    <tableColumn name="sTokenUnico" id="20"/>
    <tableColumn name="bActivoMotorFact" id="21"/>
    <tableColumn name="iGrupoFacturacion" id="22"/>
    <tableColumn name="iGrupoNotificacion" id="23"/>
    <tableColumn name="iGrupoComunicacion" id="24"/>
    <tableColumn name="bTitulosElectronicos" id="25"/>
  </tableColumns>
  <tableStyleInfo name="bbd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czamudio@bit.lat" TargetMode="External"/><Relationship Id="rId22" Type="http://schemas.openxmlformats.org/officeDocument/2006/relationships/hyperlink" Target="mailto:hloredo@bit.lat" TargetMode="External"/><Relationship Id="rId21" Type="http://schemas.openxmlformats.org/officeDocument/2006/relationships/hyperlink" Target="mailto:dgonzalez@bit.lat" TargetMode="External"/><Relationship Id="rId24" Type="http://schemas.openxmlformats.org/officeDocument/2006/relationships/hyperlink" Target="mailto:emontano@bit.lat" TargetMode="External"/><Relationship Id="rId23" Type="http://schemas.openxmlformats.org/officeDocument/2006/relationships/hyperlink" Target="mailto:eramirez@bit.lat" TargetMode="External"/><Relationship Id="rId1" Type="http://schemas.openxmlformats.org/officeDocument/2006/relationships/hyperlink" Target="mailto:aserrano@bit.lat" TargetMode="External"/><Relationship Id="rId2" Type="http://schemas.openxmlformats.org/officeDocument/2006/relationships/hyperlink" Target="mailto:alara@bit.lat" TargetMode="External"/><Relationship Id="rId3" Type="http://schemas.openxmlformats.org/officeDocument/2006/relationships/hyperlink" Target="mailto:aaguilar@bit.lat" TargetMode="External"/><Relationship Id="rId4" Type="http://schemas.openxmlformats.org/officeDocument/2006/relationships/hyperlink" Target="mailto:dperez@bit.lat" TargetMode="External"/><Relationship Id="rId9" Type="http://schemas.openxmlformats.org/officeDocument/2006/relationships/hyperlink" Target="mailto:henriquez@bit.lat" TargetMode="External"/><Relationship Id="rId26" Type="http://schemas.openxmlformats.org/officeDocument/2006/relationships/hyperlink" Target="mailto:lolvera@bit.lat" TargetMode="External"/><Relationship Id="rId25" Type="http://schemas.openxmlformats.org/officeDocument/2006/relationships/hyperlink" Target="mailto:egonzalez@bit.lat" TargetMode="External"/><Relationship Id="rId28" Type="http://schemas.openxmlformats.org/officeDocument/2006/relationships/hyperlink" Target="mailto:rescobar@bit.lat" TargetMode="External"/><Relationship Id="rId27" Type="http://schemas.openxmlformats.org/officeDocument/2006/relationships/hyperlink" Target="mailto:nmejia@bit.lat" TargetMode="External"/><Relationship Id="rId5" Type="http://schemas.openxmlformats.org/officeDocument/2006/relationships/hyperlink" Target="mailto:etorres@bit.lat" TargetMode="External"/><Relationship Id="rId6" Type="http://schemas.openxmlformats.org/officeDocument/2006/relationships/hyperlink" Target="mailto:econtreras@bit.lat" TargetMode="External"/><Relationship Id="rId29" Type="http://schemas.openxmlformats.org/officeDocument/2006/relationships/hyperlink" Target="mailto:rcuevas@bit.lat" TargetMode="External"/><Relationship Id="rId7" Type="http://schemas.openxmlformats.org/officeDocument/2006/relationships/hyperlink" Target="mailto:gmartinez@bit.lat" TargetMode="External"/><Relationship Id="rId8" Type="http://schemas.openxmlformats.org/officeDocument/2006/relationships/hyperlink" Target="mailto:gguadarrama@bit.lat" TargetMode="External"/><Relationship Id="rId31" Type="http://schemas.openxmlformats.org/officeDocument/2006/relationships/hyperlink" Target="mailto:fgonzalez@bit.lat" TargetMode="External"/><Relationship Id="rId30" Type="http://schemas.openxmlformats.org/officeDocument/2006/relationships/hyperlink" Target="mailto:jenriquez@bit.lat" TargetMode="External"/><Relationship Id="rId11" Type="http://schemas.openxmlformats.org/officeDocument/2006/relationships/hyperlink" Target="mailto:asierra@bit.lat" TargetMode="External"/><Relationship Id="rId33" Type="http://schemas.openxmlformats.org/officeDocument/2006/relationships/hyperlink" Target="mailto:mhernandez@bit.lat" TargetMode="External"/><Relationship Id="rId10" Type="http://schemas.openxmlformats.org/officeDocument/2006/relationships/hyperlink" Target="mailto:jlopez@bit.lat" TargetMode="External"/><Relationship Id="rId32" Type="http://schemas.openxmlformats.org/officeDocument/2006/relationships/hyperlink" Target="mailto:fgonzalezr@bit.lat" TargetMode="External"/><Relationship Id="rId13" Type="http://schemas.openxmlformats.org/officeDocument/2006/relationships/hyperlink" Target="mailto:jpatino@bit.lat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mailto:ameza@bit.lat" TargetMode="External"/><Relationship Id="rId34" Type="http://schemas.openxmlformats.org/officeDocument/2006/relationships/hyperlink" Target="mailto:earzate@bit.lat" TargetMode="External"/><Relationship Id="rId15" Type="http://schemas.openxmlformats.org/officeDocument/2006/relationships/hyperlink" Target="mailto:lbernal@bit.lat" TargetMode="External"/><Relationship Id="rId37" Type="http://schemas.openxmlformats.org/officeDocument/2006/relationships/table" Target="../tables/table2.xml"/><Relationship Id="rId14" Type="http://schemas.openxmlformats.org/officeDocument/2006/relationships/hyperlink" Target="mailto:jrojas@bit.lat" TargetMode="External"/><Relationship Id="rId17" Type="http://schemas.openxmlformats.org/officeDocument/2006/relationships/hyperlink" Target="mailto:rbernal@bit.lat" TargetMode="External"/><Relationship Id="rId16" Type="http://schemas.openxmlformats.org/officeDocument/2006/relationships/hyperlink" Target="mailto:mramirez@bit.lat" TargetMode="External"/><Relationship Id="rId19" Type="http://schemas.openxmlformats.org/officeDocument/2006/relationships/hyperlink" Target="mailto:amorales@bit.lat" TargetMode="External"/><Relationship Id="rId18" Type="http://schemas.openxmlformats.org/officeDocument/2006/relationships/hyperlink" Target="mailto:avazquez@bit.lat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samva.io/PnlCliente/ListarClientesColasProyectosDetalle.aspx?ID=411193&amp;P=11242" TargetMode="External"/><Relationship Id="rId42" Type="http://schemas.openxmlformats.org/officeDocument/2006/relationships/hyperlink" Target="https://app.samva.io/PnlCliente/ListarClientesColasProyectosDetalle.aspx?ID=411157&amp;P=11242" TargetMode="External"/><Relationship Id="rId41" Type="http://schemas.openxmlformats.org/officeDocument/2006/relationships/hyperlink" Target="https://app.samva.io/PnlCliente/ListarClientesColasProyectosDetalle.aspx?ID=411156&amp;P=11242" TargetMode="External"/><Relationship Id="rId44" Type="http://schemas.openxmlformats.org/officeDocument/2006/relationships/hyperlink" Target="https://app.samva.io/PnlCliente/ListarClientesColasProyectosDetalle.aspx?ID=417738&amp;P=11242" TargetMode="External"/><Relationship Id="rId43" Type="http://schemas.openxmlformats.org/officeDocument/2006/relationships/hyperlink" Target="https://app.samva.io/PnlCliente/ListarClientesColasProyectosDetalle.aspx?ID=411276&amp;P=11242" TargetMode="External"/><Relationship Id="rId46" Type="http://schemas.openxmlformats.org/officeDocument/2006/relationships/hyperlink" Target="https://app.samva.io/PnlCliente/ListarClientesColasProyectosDetalle.aspx?ID=411209&amp;P=11242" TargetMode="External"/><Relationship Id="rId45" Type="http://schemas.openxmlformats.org/officeDocument/2006/relationships/hyperlink" Target="https://app.samva.io/PnlCliente/ListarClientesColasProyectosDetalle.aspx?eSUQ9NDE1MDA1JlA9MTEyNDI=" TargetMode="External"/><Relationship Id="rId1" Type="http://schemas.openxmlformats.org/officeDocument/2006/relationships/hyperlink" Target="https://app.samva.io/PnlCliente/ListarClientesColasProyectosDetalle.aspx?eSUQ9NDE0ODQ3JlA9MTEyNDI=" TargetMode="External"/><Relationship Id="rId2" Type="http://schemas.openxmlformats.org/officeDocument/2006/relationships/hyperlink" Target="https://app.samva.io/PnlCliente/ListarClientesColasProyectosDetalle.aspx?ID=411556&amp;P=11242" TargetMode="External"/><Relationship Id="rId3" Type="http://schemas.openxmlformats.org/officeDocument/2006/relationships/hyperlink" Target="https://app.samva.io/PnlCliente/ListarClientesColasProyectosDetalle.aspx?eSUQ9NDE4MDk0JlA9MTEyNDI=" TargetMode="External"/><Relationship Id="rId4" Type="http://schemas.openxmlformats.org/officeDocument/2006/relationships/hyperlink" Target="https://app.samva.io/PnlCliente/ListarClientesColasProyectosDetalle.aspx?ID=414269&amp;P=11242" TargetMode="External"/><Relationship Id="rId9" Type="http://schemas.openxmlformats.org/officeDocument/2006/relationships/hyperlink" Target="https://app.samva.io/PnlCliente/ListarClientesColasProyectosDetalle.aspx?ID=411231&amp;P=11242" TargetMode="External"/><Relationship Id="rId48" Type="http://schemas.openxmlformats.org/officeDocument/2006/relationships/hyperlink" Target="https://app.samva.io/PnlCliente/ListarClientesColasProyectosDetalle.aspx?ID=411220&amp;P=11242" TargetMode="External"/><Relationship Id="rId47" Type="http://schemas.openxmlformats.org/officeDocument/2006/relationships/hyperlink" Target="https://app.samva.io/PnlCliente/ListarClientesColasProyectosDetalle.aspx?ID=411211&amp;P=11242" TargetMode="External"/><Relationship Id="rId49" Type="http://schemas.openxmlformats.org/officeDocument/2006/relationships/drawing" Target="../drawings/drawing4.xml"/><Relationship Id="rId5" Type="http://schemas.openxmlformats.org/officeDocument/2006/relationships/hyperlink" Target="https://app.samva.io/PnlCliente/ListarClientesColasProyectosDetalle.aspx?ID=411158&amp;P=11242" TargetMode="External"/><Relationship Id="rId6" Type="http://schemas.openxmlformats.org/officeDocument/2006/relationships/hyperlink" Target="https://app.samva.io/PnlCliente/ListarClientesColasProyectosDetalle.aspx?ID=411210&amp;P=11242" TargetMode="External"/><Relationship Id="rId7" Type="http://schemas.openxmlformats.org/officeDocument/2006/relationships/hyperlink" Target="https://app.samva.io/PnlCliente/ListarClientesColasProyectosDetalle.aspx?ID=411217&amp;P=11242" TargetMode="External"/><Relationship Id="rId8" Type="http://schemas.openxmlformats.org/officeDocument/2006/relationships/hyperlink" Target="https://app.samva.io/PnlCliente/ListarClientesColasProyectosDetalle.aspx?ID=411225&amp;P=11242" TargetMode="External"/><Relationship Id="rId31" Type="http://schemas.openxmlformats.org/officeDocument/2006/relationships/hyperlink" Target="https://app.samva.io/PnlCliente/ListarClientesColasProyectosDetalle.aspx?ID=413032&amp;P=11242" TargetMode="External"/><Relationship Id="rId30" Type="http://schemas.openxmlformats.org/officeDocument/2006/relationships/hyperlink" Target="https://app.samva.io/PnlCliente/ListarClientesColasProyectosDetalle.aspx?ID=411361&amp;P=11242" TargetMode="External"/><Relationship Id="rId33" Type="http://schemas.openxmlformats.org/officeDocument/2006/relationships/hyperlink" Target="https://app.samva.io/PnlCliente/ListarClientesColasProyectosDetalle.aspx?ID=411213&amp;P=11242" TargetMode="External"/><Relationship Id="rId32" Type="http://schemas.openxmlformats.org/officeDocument/2006/relationships/hyperlink" Target="https://app.samva.io/PnlCliente/ListarClientesColasProyectosDetalle.aspx?eSUQ9NDE0ODUyJlA9MTEyNDI=" TargetMode="External"/><Relationship Id="rId35" Type="http://schemas.openxmlformats.org/officeDocument/2006/relationships/hyperlink" Target="https://app.samva.io/PnlCliente/ListarClientesColasProyectosDetalle.aspx?ID=411223&amp;P=11242" TargetMode="External"/><Relationship Id="rId34" Type="http://schemas.openxmlformats.org/officeDocument/2006/relationships/hyperlink" Target="https://app.samva.io/PnlCliente/ListarClientesColasProyectosDetalle.aspx?ID=411218&amp;P=11242" TargetMode="External"/><Relationship Id="rId37" Type="http://schemas.openxmlformats.org/officeDocument/2006/relationships/hyperlink" Target="https://app.samva.io/PnlCliente/ListarClientesColasProyectosDetalle.aspx?eSUQ9NDIwMTUwJlA9MTEyNDI=" TargetMode="External"/><Relationship Id="rId36" Type="http://schemas.openxmlformats.org/officeDocument/2006/relationships/hyperlink" Target="https://app.samva.io/PnlCliente/ListarClientesColasProyectosDetalle.aspx?eSUQ9NDE5MzQzJlA9MTEyNDI=" TargetMode="External"/><Relationship Id="rId39" Type="http://schemas.openxmlformats.org/officeDocument/2006/relationships/hyperlink" Target="https://app.samva.io/PnlCliente/ListarClientesColasProyectosDetalle.aspx?ID=411191&amp;P=11242" TargetMode="External"/><Relationship Id="rId38" Type="http://schemas.openxmlformats.org/officeDocument/2006/relationships/hyperlink" Target="https://app.samva.io/PnlCliente/ListarClientesColasProyectosDetalle.aspx?ID=411191&amp;P=11242" TargetMode="External"/><Relationship Id="rId20" Type="http://schemas.openxmlformats.org/officeDocument/2006/relationships/hyperlink" Target="https://app.samva.io/PnlCliente/ListarClientesColasProyectosDetalle.aspx?ID=411273&amp;P=11242" TargetMode="External"/><Relationship Id="rId22" Type="http://schemas.openxmlformats.org/officeDocument/2006/relationships/hyperlink" Target="https://app.samva.io/PnlCliente/ListarClientesColasProyectosDetalle.aspx?ID=412534&amp;P=11242" TargetMode="External"/><Relationship Id="rId21" Type="http://schemas.openxmlformats.org/officeDocument/2006/relationships/hyperlink" Target="https://app.samva.io/PnlCliente/ListarClientesColasProyectosDetalle.aspx?ID=411365&amp;P=11242" TargetMode="External"/><Relationship Id="rId24" Type="http://schemas.openxmlformats.org/officeDocument/2006/relationships/hyperlink" Target="https://app.samva.io/PnlCliente/ListarClientesColasProyectosDetalle.aspx?eSUQ9NDE1MDA0JlA9MTEyNDI=" TargetMode="External"/><Relationship Id="rId23" Type="http://schemas.openxmlformats.org/officeDocument/2006/relationships/hyperlink" Target="https://app.samva.io/PnlCliente/ListarClientesColasProyectosDetalle.aspx?ID=414780&amp;P=11242" TargetMode="External"/><Relationship Id="rId26" Type="http://schemas.openxmlformats.org/officeDocument/2006/relationships/hyperlink" Target="https://app.samva.io/PnlCliente/ListarClientesColasProyectosDetalle.aspx?ID=411219&amp;P=11242" TargetMode="External"/><Relationship Id="rId25" Type="http://schemas.openxmlformats.org/officeDocument/2006/relationships/hyperlink" Target="https://app.samva.io/PnlCliente/ListarClientesColasProyectosDetalle.aspx?ID=414744&amp;P=11242" TargetMode="External"/><Relationship Id="rId28" Type="http://schemas.openxmlformats.org/officeDocument/2006/relationships/hyperlink" Target="https://app.samva.io/PnlCliente/ListarClientesColasProyectosDetalle.aspx?ID=411228&amp;P=11242" TargetMode="External"/><Relationship Id="rId27" Type="http://schemas.openxmlformats.org/officeDocument/2006/relationships/hyperlink" Target="https://app.samva.io/PnlCliente/ListarClientesColasProyectosDetalle.aspx?ID=411227&amp;P=11242" TargetMode="External"/><Relationship Id="rId29" Type="http://schemas.openxmlformats.org/officeDocument/2006/relationships/hyperlink" Target="https://app.samva.io/PnlCliente/ListarClientesColasProyectosDetalle.aspx?ID=411229&amp;P=11242" TargetMode="External"/><Relationship Id="rId51" Type="http://schemas.openxmlformats.org/officeDocument/2006/relationships/table" Target="../tables/table3.xml"/><Relationship Id="rId11" Type="http://schemas.openxmlformats.org/officeDocument/2006/relationships/hyperlink" Target="https://app.samva.io/PnlCliente/ListarClientesColasProyectosDetalle.aspx?ID=412550&amp;P=11242" TargetMode="External"/><Relationship Id="rId10" Type="http://schemas.openxmlformats.org/officeDocument/2006/relationships/hyperlink" Target="https://app.samva.io/PnlCliente/ListarClientesColasProyectosDetalle.aspx?ID=411159&amp;P=11242" TargetMode="External"/><Relationship Id="rId13" Type="http://schemas.openxmlformats.org/officeDocument/2006/relationships/hyperlink" Target="https://app.samva.io/PnlCliente/ListarClientesColasProyectosDetalle.aspx?ID=411159&amp;P=11242" TargetMode="External"/><Relationship Id="rId12" Type="http://schemas.openxmlformats.org/officeDocument/2006/relationships/hyperlink" Target="https://app.samva.io/PnlCliente/ListarClientesColasProyectosDetalle.aspx?ID=414779&amp;P=11242" TargetMode="External"/><Relationship Id="rId15" Type="http://schemas.openxmlformats.org/officeDocument/2006/relationships/hyperlink" Target="https://app.samva.io/PnlCliente/ListarClientesColasProyectosDetalle.aspx?ID=411160&amp;P=11242" TargetMode="External"/><Relationship Id="rId14" Type="http://schemas.openxmlformats.org/officeDocument/2006/relationships/hyperlink" Target="https://app.samva.io/PnlCliente/ListarClientesColasProyectosDetalle.aspx?ID=412309&amp;P=11242" TargetMode="External"/><Relationship Id="rId17" Type="http://schemas.openxmlformats.org/officeDocument/2006/relationships/hyperlink" Target="https://app.samva.io/PnlCliente/ListarClientesColasProyectosDetalle.aspx?ID=411263&amp;P=11242" TargetMode="External"/><Relationship Id="rId16" Type="http://schemas.openxmlformats.org/officeDocument/2006/relationships/hyperlink" Target="https://app.samva.io/PnlCliente/ListarClientesColasProyectosDetalle.aspx?eSUQ9NDE4MDk2JlA9MTEyNDI=" TargetMode="External"/><Relationship Id="rId19" Type="http://schemas.openxmlformats.org/officeDocument/2006/relationships/hyperlink" Target="https://app.samva.io/PnlCliente/ListarClientesColasProyectosDetalle.aspx?ID=411226&amp;P=11242" TargetMode="External"/><Relationship Id="rId18" Type="http://schemas.openxmlformats.org/officeDocument/2006/relationships/hyperlink" Target="https://app.samva.io/PnlCliente/ListarClientesColasProyectosDetalle.aspx?ID=411224&amp;P=11242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samva.io/PnlCliente/ListarClientesColasProyectosDetalle.aspx?ID=420581&amp;P=617" TargetMode="External"/><Relationship Id="rId42" Type="http://schemas.openxmlformats.org/officeDocument/2006/relationships/hyperlink" Target="https://app.samva.io/PnlCliente/ListarClientesColasProyectosDetalle.aspx?ID=418111&amp;P=617" TargetMode="External"/><Relationship Id="rId41" Type="http://schemas.openxmlformats.org/officeDocument/2006/relationships/hyperlink" Target="https://app.samva.io/PnlCliente/ListarClientesColasProyectosDetalle.aspx?ID=420585&amp;P=617" TargetMode="External"/><Relationship Id="rId44" Type="http://schemas.openxmlformats.org/officeDocument/2006/relationships/hyperlink" Target="https://app.samva.io/PnlCliente/ListarClientesColasProyectosDetalle.aspx?ID=420722&amp;P=617" TargetMode="External"/><Relationship Id="rId43" Type="http://schemas.openxmlformats.org/officeDocument/2006/relationships/hyperlink" Target="https://app.samva.io/PnlCliente/ListarClientesColasProyectosDetalle.aspx?ID=420591&amp;P=617" TargetMode="External"/><Relationship Id="rId46" Type="http://schemas.openxmlformats.org/officeDocument/2006/relationships/hyperlink" Target="https://app.samva.io/PnlCliente/ListarClientesColasProyectosDetalle.aspx?ID=418107&amp;P=617" TargetMode="External"/><Relationship Id="rId45" Type="http://schemas.openxmlformats.org/officeDocument/2006/relationships/hyperlink" Target="https://app.samva.io/PnlCliente/ListarClientesColasProyectosDetalle.aspx?ID=419188&amp;P=617" TargetMode="External"/><Relationship Id="rId1" Type="http://schemas.openxmlformats.org/officeDocument/2006/relationships/hyperlink" Target="https://app.samva.io/PnlCliente/ListarClientesColasProyectosDetalle.aspx?ID=418105&amp;P=617" TargetMode="External"/><Relationship Id="rId2" Type="http://schemas.openxmlformats.org/officeDocument/2006/relationships/hyperlink" Target="https://app.samva.io/PnlCliente/ListarClientesColasProyectosDetalle.aspx?ID=419194&amp;P=617" TargetMode="External"/><Relationship Id="rId3" Type="http://schemas.openxmlformats.org/officeDocument/2006/relationships/hyperlink" Target="https://app.samva.io/PnlCliente/ListarClientesColasProyectosDetalle.aspx?ID=418106&amp;P=617" TargetMode="External"/><Relationship Id="rId4" Type="http://schemas.openxmlformats.org/officeDocument/2006/relationships/hyperlink" Target="https://app.samva.io/PnlCliente/ListarClientesColasProyectosDetalle.aspx?ID=418336&amp;P=617" TargetMode="External"/><Relationship Id="rId9" Type="http://schemas.openxmlformats.org/officeDocument/2006/relationships/hyperlink" Target="https://app.samva.io/PnlCliente/ListarClientesProyectosHitosDetalle.aspx?eUD02MTcmSUQ9MzQzNzE=" TargetMode="External"/><Relationship Id="rId48" Type="http://schemas.openxmlformats.org/officeDocument/2006/relationships/hyperlink" Target="https://app.samva.io/PnlCliente/ListarClientesColasProyectosDetalle.aspx?ID=419190&amp;P=617" TargetMode="External"/><Relationship Id="rId47" Type="http://schemas.openxmlformats.org/officeDocument/2006/relationships/hyperlink" Target="https://app.samva.io/PnlCliente/ListarClientesColasProyectosDetalle.aspx?ID=419189&amp;P=617" TargetMode="External"/><Relationship Id="rId49" Type="http://schemas.openxmlformats.org/officeDocument/2006/relationships/hyperlink" Target="https://app.samva.io/PnlCliente/ListarClientesColasProyectosDetalle.aspx?ID=420653&amp;P=617" TargetMode="External"/><Relationship Id="rId5" Type="http://schemas.openxmlformats.org/officeDocument/2006/relationships/hyperlink" Target="https://app.samva.io/PnlCliente/ListarClientesColasProyectosDetalle.aspx?ID=418474&amp;P=617" TargetMode="External"/><Relationship Id="rId6" Type="http://schemas.openxmlformats.org/officeDocument/2006/relationships/hyperlink" Target="https://app.samva.io/PnlCliente/ListarClientesColasProyectosDetalle.aspx?ID=418220&amp;P=617" TargetMode="External"/><Relationship Id="rId7" Type="http://schemas.openxmlformats.org/officeDocument/2006/relationships/hyperlink" Target="https://app.samva.io/PnlCliente/ListarClientesProyectosHitosDetalle.aspx?eUD02MTcmSUQ9MzQzNzE=" TargetMode="External"/><Relationship Id="rId8" Type="http://schemas.openxmlformats.org/officeDocument/2006/relationships/hyperlink" Target="https://app.samva.io/PnlCliente/ListarClientesColasProyectosDetalle.aspx?ID=419116&amp;P=617" TargetMode="External"/><Relationship Id="rId72" Type="http://schemas.openxmlformats.org/officeDocument/2006/relationships/drawing" Target="../drawings/drawing5.xml"/><Relationship Id="rId31" Type="http://schemas.openxmlformats.org/officeDocument/2006/relationships/hyperlink" Target="https://app.samva.io/PnlCliente/ListarClientesColasProyectosDetalle.aspx?ID=420746&amp;P=617" TargetMode="External"/><Relationship Id="rId30" Type="http://schemas.openxmlformats.org/officeDocument/2006/relationships/hyperlink" Target="https://app.samva.io/PnlCliente/ListarClientesColasProyectosDetalle.aspx?ID=420595&amp;P=617" TargetMode="External"/><Relationship Id="rId74" Type="http://schemas.openxmlformats.org/officeDocument/2006/relationships/table" Target="../tables/table4.xml"/><Relationship Id="rId33" Type="http://schemas.openxmlformats.org/officeDocument/2006/relationships/hyperlink" Target="https://app.samva.io/PnlCliente/ListarClientesColasProyectosDetalle.aspx?ID=420592&amp;P=617" TargetMode="External"/><Relationship Id="rId32" Type="http://schemas.openxmlformats.org/officeDocument/2006/relationships/hyperlink" Target="https://app.samva.io/PnlCliente/ListarClientesColasProyectosDetalle.aspx?ID=420590&amp;P=617" TargetMode="External"/><Relationship Id="rId35" Type="http://schemas.openxmlformats.org/officeDocument/2006/relationships/hyperlink" Target="https://app.samva.io/PnlCliente/ListarClientesColasProyectosDetalle.aspx?ID=420598&amp;P=617" TargetMode="External"/><Relationship Id="rId34" Type="http://schemas.openxmlformats.org/officeDocument/2006/relationships/hyperlink" Target="https://app.samva.io/PnlCliente/ListarClientesColasProyectosDetalle.aspx?ID=420756&amp;P=617" TargetMode="External"/><Relationship Id="rId71" Type="http://schemas.openxmlformats.org/officeDocument/2006/relationships/hyperlink" Target="https://app.samva.io/PnlCliente/ListarClientesColasProyectosDetalle.aspx?ID=420757&amp;P=617" TargetMode="External"/><Relationship Id="rId70" Type="http://schemas.openxmlformats.org/officeDocument/2006/relationships/hyperlink" Target="https://app.samva.io/PnlCliente/ListarClientesColasProyectosDetalle.aspx?ID=420721&amp;P=617" TargetMode="External"/><Relationship Id="rId37" Type="http://schemas.openxmlformats.org/officeDocument/2006/relationships/hyperlink" Target="https://app.samva.io/PnlCliente/ListarClientesColasProyectosDetalle.aspx?ID=420599&amp;P=617" TargetMode="External"/><Relationship Id="rId36" Type="http://schemas.openxmlformats.org/officeDocument/2006/relationships/hyperlink" Target="https://app.samva.io/PnlCliente/ListarClientesColasProyectosDetalle.aspx?ID=419195&amp;P=617" TargetMode="External"/><Relationship Id="rId39" Type="http://schemas.openxmlformats.org/officeDocument/2006/relationships/hyperlink" Target="https://app.samva.io/PnlCliente/ListarClientesColasProyectosDetalle.aspx?ID=420593&amp;P=617" TargetMode="External"/><Relationship Id="rId38" Type="http://schemas.openxmlformats.org/officeDocument/2006/relationships/hyperlink" Target="https://app.samva.io/PnlCliente/ListarClientesColasProyectosDetalle.aspx?ID=420600&amp;P=617" TargetMode="External"/><Relationship Id="rId62" Type="http://schemas.openxmlformats.org/officeDocument/2006/relationships/hyperlink" Target="https://app.samva.io/PnlCliente/ListarClientesColasProyectosDetalle.aspx?ID=420586&amp;P=617" TargetMode="External"/><Relationship Id="rId61" Type="http://schemas.openxmlformats.org/officeDocument/2006/relationships/hyperlink" Target="https://app.samva.io/PnlCliente/ListarClientesColasProyectosDetalle.aspx?ID=420584&amp;P=617" TargetMode="External"/><Relationship Id="rId20" Type="http://schemas.openxmlformats.org/officeDocument/2006/relationships/hyperlink" Target="https://app.samva.io/PnlCliente/ListarClientesColasProyectosDetalle.aspx?ID=419143&amp;P=617" TargetMode="External"/><Relationship Id="rId64" Type="http://schemas.openxmlformats.org/officeDocument/2006/relationships/hyperlink" Target="https://app.samva.io/PnlCliente/ListarClientesColasProyectosDetalle.aspx?ID=420588&amp;P=617" TargetMode="External"/><Relationship Id="rId63" Type="http://schemas.openxmlformats.org/officeDocument/2006/relationships/hyperlink" Target="https://app.samva.io/PnlCliente/ListarClientesColasProyectosDetalle.aspx?ID=420587&amp;P=617" TargetMode="External"/><Relationship Id="rId22" Type="http://schemas.openxmlformats.org/officeDocument/2006/relationships/hyperlink" Target="https://app.samva.io/PnlCliente/ListarClientesColasProyectosDetalle.aspx?eSUQ9NDE5MjA5JlA9NjE3" TargetMode="External"/><Relationship Id="rId66" Type="http://schemas.openxmlformats.org/officeDocument/2006/relationships/hyperlink" Target="https://app.samva.io/PnlCliente/ListarClientesColasProyectosDetalle.aspx?ID=420601&amp;P=617" TargetMode="External"/><Relationship Id="rId21" Type="http://schemas.openxmlformats.org/officeDocument/2006/relationships/hyperlink" Target="https://app.samva.io/PnlCliente/ListarClientesColasProyectosDetalle.aspx?ID=419166&amp;P=617" TargetMode="External"/><Relationship Id="rId65" Type="http://schemas.openxmlformats.org/officeDocument/2006/relationships/hyperlink" Target="https://app.samva.io/PnlCliente/ListarClientesColasProyectosDetalle.aspx?ID=420589&amp;P=617" TargetMode="External"/><Relationship Id="rId24" Type="http://schemas.openxmlformats.org/officeDocument/2006/relationships/hyperlink" Target="https://app.samva.io/PnlCliente/ListarClientesProyectosHitosDetalle.aspx?eUD02MTcmSUQ9MzQzNzE=" TargetMode="External"/><Relationship Id="rId68" Type="http://schemas.openxmlformats.org/officeDocument/2006/relationships/hyperlink" Target="https://app.samva.io/PnlCliente/ListarClientesColasProyectosDetalle.aspx?ID=420735&amp;P=617" TargetMode="External"/><Relationship Id="rId23" Type="http://schemas.openxmlformats.org/officeDocument/2006/relationships/hyperlink" Target="https://app.samva.io/PnlCliente/ListarClientesColasProyectosDetalle.aspx?ID=419167&amp;P=617" TargetMode="External"/><Relationship Id="rId67" Type="http://schemas.openxmlformats.org/officeDocument/2006/relationships/hyperlink" Target="https://app.samva.io/PnlCliente/ListarClientesColasProyectosDetalle.aspx?ID=420734&amp;P=617" TargetMode="External"/><Relationship Id="rId60" Type="http://schemas.openxmlformats.org/officeDocument/2006/relationships/hyperlink" Target="https://app.samva.io/PnlCliente/ListarClientesColasProyectosDetalle.aspx?ID=420583&amp;P=617" TargetMode="External"/><Relationship Id="rId26" Type="http://schemas.openxmlformats.org/officeDocument/2006/relationships/hyperlink" Target="https://app.samva.io/PnlCliente/ListarClientesColasProyectosDetalle.aspx?ID=420602&amp;P=617" TargetMode="External"/><Relationship Id="rId25" Type="http://schemas.openxmlformats.org/officeDocument/2006/relationships/hyperlink" Target="https://app.samva.io/PnlCliente/ListarClientesColasProyectosDetalle.aspx?ID=420597&amp;P=617" TargetMode="External"/><Relationship Id="rId69" Type="http://schemas.openxmlformats.org/officeDocument/2006/relationships/hyperlink" Target="https://app.samva.io/PnlCliente/ListarClientesColasProyectosDetalle.aspx?ID=420736&amp;P=617" TargetMode="External"/><Relationship Id="rId28" Type="http://schemas.openxmlformats.org/officeDocument/2006/relationships/hyperlink" Target="https://app.samva.io/PnlCliente/ListarClientesColasProyectosDetalle.aspx?ID=418220&amp;P=617" TargetMode="External"/><Relationship Id="rId27" Type="http://schemas.openxmlformats.org/officeDocument/2006/relationships/hyperlink" Target="https://app.samva.io/PnlCliente/ListarClientesColasProyectosDetalle.aspx?ID=420603&amp;P=617" TargetMode="External"/><Relationship Id="rId29" Type="http://schemas.openxmlformats.org/officeDocument/2006/relationships/hyperlink" Target="https://app.samva.io/PnlCliente/ListarClientesColasProyectosDetalle.aspx?ID=419193&amp;P=617" TargetMode="External"/><Relationship Id="rId51" Type="http://schemas.openxmlformats.org/officeDocument/2006/relationships/hyperlink" Target="https://app.samva.io/PnlCliente/ListarClientesColasProyectosDetalle.aspx?ID=420655&amp;P=617" TargetMode="External"/><Relationship Id="rId50" Type="http://schemas.openxmlformats.org/officeDocument/2006/relationships/hyperlink" Target="https://app.samva.io/PnlCliente/ListarClientesColasProyectosDetalle.aspx?ID=420654&amp;P=617" TargetMode="External"/><Relationship Id="rId53" Type="http://schemas.openxmlformats.org/officeDocument/2006/relationships/hyperlink" Target="https://app.samva.io/PnlCliente/ListarClientesColasProyectosDetalle.aspx?ID=420657&amp;P=617" TargetMode="External"/><Relationship Id="rId52" Type="http://schemas.openxmlformats.org/officeDocument/2006/relationships/hyperlink" Target="https://app.samva.io/PnlCliente/ListarClientesColasProyectosDetalle.aspx?ID=420656&amp;P=617" TargetMode="External"/><Relationship Id="rId11" Type="http://schemas.openxmlformats.org/officeDocument/2006/relationships/hyperlink" Target="https://app.samva.io/PnlCliente/ListarClientesColasProyectosDetalle.aspx?ID=418109&amp;P=617" TargetMode="External"/><Relationship Id="rId55" Type="http://schemas.openxmlformats.org/officeDocument/2006/relationships/hyperlink" Target="https://app.samva.io/PnlCliente/ListarClientesColasProyectosDetalle.aspx?ID=420747&amp;P=617" TargetMode="External"/><Relationship Id="rId10" Type="http://schemas.openxmlformats.org/officeDocument/2006/relationships/hyperlink" Target="https://app.samva.io/PnlCliente/ListarClientesColasProyectosDetalle.aspx?ID=418104&amp;P=617" TargetMode="External"/><Relationship Id="rId54" Type="http://schemas.openxmlformats.org/officeDocument/2006/relationships/hyperlink" Target="https://app.samva.io/PnlCliente/ListarClientesColasProyectosDetalle.aspx?ID=420745&amp;P=617" TargetMode="External"/><Relationship Id="rId13" Type="http://schemas.openxmlformats.org/officeDocument/2006/relationships/hyperlink" Target="https://app.samva.io/PnlCliente/ListarClientesColasProyectosDetalle.aspx?ID=413918&amp;P=617" TargetMode="External"/><Relationship Id="rId57" Type="http://schemas.openxmlformats.org/officeDocument/2006/relationships/hyperlink" Target="https://app.samva.io/PnlCliente/ListarClientesColasProyectosDetalle.aspx?ID=420594&amp;P=617" TargetMode="External"/><Relationship Id="rId12" Type="http://schemas.openxmlformats.org/officeDocument/2006/relationships/hyperlink" Target="https://app.samva.io/PnlCliente/ListarClientesColasProyectosDetalle.aspx?ID=418465&amp;P=617" TargetMode="External"/><Relationship Id="rId56" Type="http://schemas.openxmlformats.org/officeDocument/2006/relationships/hyperlink" Target="https://app.samva.io/PnlCliente/ListarClientesColasProyectosDetalle.aspx?ID=420748&amp;P=617" TargetMode="External"/><Relationship Id="rId15" Type="http://schemas.openxmlformats.org/officeDocument/2006/relationships/hyperlink" Target="https://app.samva.io/PnlCliente/ListarClientesColasProyectosDetalle.aspx?ID=419142&amp;P=617" TargetMode="External"/><Relationship Id="rId59" Type="http://schemas.openxmlformats.org/officeDocument/2006/relationships/hyperlink" Target="https://app.samva.io/PnlCliente/ListarClientesColasProyectosDetalle.aspx?ID=420582&amp;P=617" TargetMode="External"/><Relationship Id="rId14" Type="http://schemas.openxmlformats.org/officeDocument/2006/relationships/hyperlink" Target="https://app.samva.io/PnlCliente/ListarClientesColasProyectosDetalle.aspx?ID=416896&amp;P=617" TargetMode="External"/><Relationship Id="rId58" Type="http://schemas.openxmlformats.org/officeDocument/2006/relationships/hyperlink" Target="https://app.samva.io/PnlCliente/ListarClientesColasProyectosDetalle.aspx?ID=420596&amp;P=617" TargetMode="External"/><Relationship Id="rId17" Type="http://schemas.openxmlformats.org/officeDocument/2006/relationships/hyperlink" Target="https://app.samva.io/PnlCliente/ListarClientesColasProyectosDetalle.aspx?ID=418108&amp;P=617" TargetMode="External"/><Relationship Id="rId16" Type="http://schemas.openxmlformats.org/officeDocument/2006/relationships/hyperlink" Target="https://app.samva.io/PnlCliente/ListarClientesColasProyectosDetalle.aspx?eSUQ9NDE5MjA1JlA9MTExMzY=" TargetMode="External"/><Relationship Id="rId19" Type="http://schemas.openxmlformats.org/officeDocument/2006/relationships/hyperlink" Target="https://app.samva.io/PnlCliente/ListarClientesColasProyectosDetalle.aspx?ID=419192&amp;P=617" TargetMode="External"/><Relationship Id="rId18" Type="http://schemas.openxmlformats.org/officeDocument/2006/relationships/hyperlink" Target="https://app.samva.io/PnlCliente/ListarClientesColasProyectosDetalle.aspx?ID=419171&amp;P=617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lbernal@bit.lat" TargetMode="External"/><Relationship Id="rId2" Type="http://schemas.openxmlformats.org/officeDocument/2006/relationships/hyperlink" Target="mailto:alara@bit.lat" TargetMode="External"/><Relationship Id="rId3" Type="http://schemas.openxmlformats.org/officeDocument/2006/relationships/hyperlink" Target="mailto:etorres@bit.lat" TargetMode="External"/><Relationship Id="rId4" Type="http://schemas.openxmlformats.org/officeDocument/2006/relationships/hyperlink" Target="mailto:jlopez@bit.lat" TargetMode="External"/><Relationship Id="rId9" Type="http://schemas.openxmlformats.org/officeDocument/2006/relationships/hyperlink" Target="mailto:avazquez@bit.lat" TargetMode="External"/><Relationship Id="rId5" Type="http://schemas.openxmlformats.org/officeDocument/2006/relationships/hyperlink" Target="mailto:ameza@bit.lat" TargetMode="External"/><Relationship Id="rId6" Type="http://schemas.openxmlformats.org/officeDocument/2006/relationships/hyperlink" Target="mailto:lolvera@bit.lat" TargetMode="External"/><Relationship Id="rId7" Type="http://schemas.openxmlformats.org/officeDocument/2006/relationships/hyperlink" Target="mailto:asierra@bit.lat" TargetMode="External"/><Relationship Id="rId8" Type="http://schemas.openxmlformats.org/officeDocument/2006/relationships/hyperlink" Target="mailto:mramirez@bit.lat" TargetMode="External"/><Relationship Id="rId21" Type="http://schemas.openxmlformats.org/officeDocument/2006/relationships/table" Target="../tables/table7.xml"/><Relationship Id="rId11" Type="http://schemas.openxmlformats.org/officeDocument/2006/relationships/hyperlink" Target="mailto:gguadarrama@bit.lat" TargetMode="External"/><Relationship Id="rId10" Type="http://schemas.openxmlformats.org/officeDocument/2006/relationships/hyperlink" Target="mailto:econtreras@bit.lat" TargetMode="External"/><Relationship Id="rId13" Type="http://schemas.openxmlformats.org/officeDocument/2006/relationships/hyperlink" Target="mailto:dperez@bit.lat" TargetMode="External"/><Relationship Id="rId12" Type="http://schemas.openxmlformats.org/officeDocument/2006/relationships/hyperlink" Target="mailto:rescobar@bit.lat" TargetMode="External"/><Relationship Id="rId15" Type="http://schemas.openxmlformats.org/officeDocument/2006/relationships/hyperlink" Target="mailto:czamudio@bit.lat" TargetMode="External"/><Relationship Id="rId14" Type="http://schemas.openxmlformats.org/officeDocument/2006/relationships/hyperlink" Target="mailto:hloredo@bit.lat" TargetMode="External"/><Relationship Id="rId17" Type="http://schemas.openxmlformats.org/officeDocument/2006/relationships/hyperlink" Target="mailto:egonzalez@bit.lat" TargetMode="External"/><Relationship Id="rId16" Type="http://schemas.openxmlformats.org/officeDocument/2006/relationships/hyperlink" Target="mailto:dgonzalez@bit.lat" TargetMode="External"/><Relationship Id="rId19" Type="http://schemas.openxmlformats.org/officeDocument/2006/relationships/drawing" Target="../drawings/drawing8.xml"/><Relationship Id="rId18" Type="http://schemas.openxmlformats.org/officeDocument/2006/relationships/hyperlink" Target="mailto:eramirez@bit.lat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mailto:lbernal@bit.lat" TargetMode="External"/><Relationship Id="rId84" Type="http://schemas.openxmlformats.org/officeDocument/2006/relationships/hyperlink" Target="mailto:jenriquez@bit.lat" TargetMode="External"/><Relationship Id="rId83" Type="http://schemas.openxmlformats.org/officeDocument/2006/relationships/hyperlink" Target="https://github.com/bit-mx/lms-proxy" TargetMode="External"/><Relationship Id="rId42" Type="http://schemas.openxmlformats.org/officeDocument/2006/relationships/hyperlink" Target="mailto:jenriquez@bit.lat" TargetMode="External"/><Relationship Id="rId86" Type="http://schemas.openxmlformats.org/officeDocument/2006/relationships/hyperlink" Target="mailto:dgonzalez@bit.lat" TargetMode="External"/><Relationship Id="rId41" Type="http://schemas.openxmlformats.org/officeDocument/2006/relationships/hyperlink" Target="mailto:lbernal@bit.lat" TargetMode="External"/><Relationship Id="rId85" Type="http://schemas.openxmlformats.org/officeDocument/2006/relationships/hyperlink" Target="mailto:avazquez@bit.lat" TargetMode="External"/><Relationship Id="rId44" Type="http://schemas.openxmlformats.org/officeDocument/2006/relationships/hyperlink" Target="mailto:lbernal@bit.lat" TargetMode="External"/><Relationship Id="rId88" Type="http://schemas.openxmlformats.org/officeDocument/2006/relationships/hyperlink" Target="mailto:dgonzalez@bit.lat" TargetMode="External"/><Relationship Id="rId43" Type="http://schemas.openxmlformats.org/officeDocument/2006/relationships/hyperlink" Target="mailto:lbernal@bit.lat" TargetMode="External"/><Relationship Id="rId87" Type="http://schemas.openxmlformats.org/officeDocument/2006/relationships/hyperlink" Target="mailto:dgonzalez@bit.lat" TargetMode="External"/><Relationship Id="rId46" Type="http://schemas.openxmlformats.org/officeDocument/2006/relationships/hyperlink" Target="mailto:jenriquez@bit.lat" TargetMode="External"/><Relationship Id="rId45" Type="http://schemas.openxmlformats.org/officeDocument/2006/relationships/hyperlink" Target="mailto:lbernal@bit.lat" TargetMode="External"/><Relationship Id="rId89" Type="http://schemas.openxmlformats.org/officeDocument/2006/relationships/drawing" Target="../drawings/drawing9.xml"/><Relationship Id="rId80" Type="http://schemas.openxmlformats.org/officeDocument/2006/relationships/hyperlink" Target="mailto:lbernal@bit.lat" TargetMode="External"/><Relationship Id="rId82" Type="http://schemas.openxmlformats.org/officeDocument/2006/relationships/hyperlink" Target="mailto:lbernal@bit.lat" TargetMode="External"/><Relationship Id="rId81" Type="http://schemas.openxmlformats.org/officeDocument/2006/relationships/hyperlink" Target="mailto:lbernal@bit.lat" TargetMode="External"/><Relationship Id="rId1" Type="http://schemas.openxmlformats.org/officeDocument/2006/relationships/hyperlink" Target="mailto:jenriquez@bit.lat" TargetMode="External"/><Relationship Id="rId2" Type="http://schemas.openxmlformats.org/officeDocument/2006/relationships/hyperlink" Target="mailto:lbernal@bit.lat" TargetMode="External"/><Relationship Id="rId3" Type="http://schemas.openxmlformats.org/officeDocument/2006/relationships/hyperlink" Target="mailto:lolvera@bit.lat" TargetMode="External"/><Relationship Id="rId4" Type="http://schemas.openxmlformats.org/officeDocument/2006/relationships/hyperlink" Target="mailto:dgonzalez@bit.lat" TargetMode="External"/><Relationship Id="rId9" Type="http://schemas.openxmlformats.org/officeDocument/2006/relationships/hyperlink" Target="mailto:lbernal@bit.lat" TargetMode="External"/><Relationship Id="rId48" Type="http://schemas.openxmlformats.org/officeDocument/2006/relationships/hyperlink" Target="mailto:lbernal@bit.lat" TargetMode="External"/><Relationship Id="rId47" Type="http://schemas.openxmlformats.org/officeDocument/2006/relationships/hyperlink" Target="mailto:lbernal@bit.lat" TargetMode="External"/><Relationship Id="rId49" Type="http://schemas.openxmlformats.org/officeDocument/2006/relationships/hyperlink" Target="mailto:lbernal@bit.lat" TargetMode="External"/><Relationship Id="rId5" Type="http://schemas.openxmlformats.org/officeDocument/2006/relationships/hyperlink" Target="mailto:jenriquez@bit.lat" TargetMode="External"/><Relationship Id="rId6" Type="http://schemas.openxmlformats.org/officeDocument/2006/relationships/hyperlink" Target="mailto:lbernal@bit.lat" TargetMode="External"/><Relationship Id="rId7" Type="http://schemas.openxmlformats.org/officeDocument/2006/relationships/hyperlink" Target="mailto:gguadarrama@bit.lat" TargetMode="External"/><Relationship Id="rId8" Type="http://schemas.openxmlformats.org/officeDocument/2006/relationships/hyperlink" Target="mailto:dgonzalez@bit.lat" TargetMode="External"/><Relationship Id="rId73" Type="http://schemas.openxmlformats.org/officeDocument/2006/relationships/hyperlink" Target="mailto:henriquez@bit.lat" TargetMode="External"/><Relationship Id="rId72" Type="http://schemas.openxmlformats.org/officeDocument/2006/relationships/hyperlink" Target="mailto:lbernal@bit.lat" TargetMode="External"/><Relationship Id="rId31" Type="http://schemas.openxmlformats.org/officeDocument/2006/relationships/hyperlink" Target="mailto:lbernal@bit.lat" TargetMode="External"/><Relationship Id="rId75" Type="http://schemas.openxmlformats.org/officeDocument/2006/relationships/hyperlink" Target="mailto:jenriquez@bit.lat" TargetMode="External"/><Relationship Id="rId30" Type="http://schemas.openxmlformats.org/officeDocument/2006/relationships/hyperlink" Target="mailto:jenriquez@bit.lat" TargetMode="External"/><Relationship Id="rId74" Type="http://schemas.openxmlformats.org/officeDocument/2006/relationships/hyperlink" Target="mailto:lbernal@bit.lat" TargetMode="External"/><Relationship Id="rId33" Type="http://schemas.openxmlformats.org/officeDocument/2006/relationships/hyperlink" Target="mailto:lbernal@bit.lat" TargetMode="External"/><Relationship Id="rId77" Type="http://schemas.openxmlformats.org/officeDocument/2006/relationships/hyperlink" Target="mailto:lbernal@bit.lat" TargetMode="External"/><Relationship Id="rId32" Type="http://schemas.openxmlformats.org/officeDocument/2006/relationships/hyperlink" Target="mailto:lbernal@bit.lat" TargetMode="External"/><Relationship Id="rId76" Type="http://schemas.openxmlformats.org/officeDocument/2006/relationships/hyperlink" Target="mailto:lbernal@bit.lat" TargetMode="External"/><Relationship Id="rId35" Type="http://schemas.openxmlformats.org/officeDocument/2006/relationships/hyperlink" Target="mailto:lbernal@bit.lat" TargetMode="External"/><Relationship Id="rId79" Type="http://schemas.openxmlformats.org/officeDocument/2006/relationships/hyperlink" Target="mailto:jenriquez@bit.lat" TargetMode="External"/><Relationship Id="rId34" Type="http://schemas.openxmlformats.org/officeDocument/2006/relationships/hyperlink" Target="mailto:jenriquez@bit.lat" TargetMode="External"/><Relationship Id="rId78" Type="http://schemas.openxmlformats.org/officeDocument/2006/relationships/hyperlink" Target="mailto:lbernal@bit.lat" TargetMode="External"/><Relationship Id="rId71" Type="http://schemas.openxmlformats.org/officeDocument/2006/relationships/hyperlink" Target="mailto:jenriquez@bit.lat" TargetMode="External"/><Relationship Id="rId70" Type="http://schemas.openxmlformats.org/officeDocument/2006/relationships/hyperlink" Target="mailto:lbernal@bit.lat" TargetMode="External"/><Relationship Id="rId37" Type="http://schemas.openxmlformats.org/officeDocument/2006/relationships/hyperlink" Target="mailto:lbernal@bit.lat" TargetMode="External"/><Relationship Id="rId36" Type="http://schemas.openxmlformats.org/officeDocument/2006/relationships/hyperlink" Target="mailto:lbernal@bit.lat" TargetMode="External"/><Relationship Id="rId39" Type="http://schemas.openxmlformats.org/officeDocument/2006/relationships/hyperlink" Target="mailto:lbernal@bit.lat" TargetMode="External"/><Relationship Id="rId38" Type="http://schemas.openxmlformats.org/officeDocument/2006/relationships/hyperlink" Target="mailto:jenriquez@bit.lat" TargetMode="External"/><Relationship Id="rId62" Type="http://schemas.openxmlformats.org/officeDocument/2006/relationships/hyperlink" Target="mailto:jenriquez@bit.lat" TargetMode="External"/><Relationship Id="rId61" Type="http://schemas.openxmlformats.org/officeDocument/2006/relationships/hyperlink" Target="mailto:lbernal@bit.lat" TargetMode="External"/><Relationship Id="rId20" Type="http://schemas.openxmlformats.org/officeDocument/2006/relationships/hyperlink" Target="mailto:jenriquez@bit.lat" TargetMode="External"/><Relationship Id="rId64" Type="http://schemas.openxmlformats.org/officeDocument/2006/relationships/hyperlink" Target="mailto:lbernal@bit.lat" TargetMode="External"/><Relationship Id="rId63" Type="http://schemas.openxmlformats.org/officeDocument/2006/relationships/hyperlink" Target="mailto:lbernal@bit.lat" TargetMode="External"/><Relationship Id="rId22" Type="http://schemas.openxmlformats.org/officeDocument/2006/relationships/hyperlink" Target="mailto:lbernal@bit.lat" TargetMode="External"/><Relationship Id="rId66" Type="http://schemas.openxmlformats.org/officeDocument/2006/relationships/hyperlink" Target="mailto:jenriquez@bit.lat" TargetMode="External"/><Relationship Id="rId21" Type="http://schemas.openxmlformats.org/officeDocument/2006/relationships/hyperlink" Target="mailto:lbernal@bit.lat" TargetMode="External"/><Relationship Id="rId65" Type="http://schemas.openxmlformats.org/officeDocument/2006/relationships/hyperlink" Target="mailto:lbernal@bit.lat" TargetMode="External"/><Relationship Id="rId24" Type="http://schemas.openxmlformats.org/officeDocument/2006/relationships/hyperlink" Target="mailto:lbernal@bit.lat" TargetMode="External"/><Relationship Id="rId68" Type="http://schemas.openxmlformats.org/officeDocument/2006/relationships/hyperlink" Target="mailto:lbernal@bit.lat" TargetMode="External"/><Relationship Id="rId23" Type="http://schemas.openxmlformats.org/officeDocument/2006/relationships/hyperlink" Target="mailto:gguadarrama@bit.lat" TargetMode="External"/><Relationship Id="rId67" Type="http://schemas.openxmlformats.org/officeDocument/2006/relationships/hyperlink" Target="mailto:rcuevas@bit.lat" TargetMode="External"/><Relationship Id="rId60" Type="http://schemas.openxmlformats.org/officeDocument/2006/relationships/hyperlink" Target="mailto:henriquez@bit.lat" TargetMode="External"/><Relationship Id="rId26" Type="http://schemas.openxmlformats.org/officeDocument/2006/relationships/hyperlink" Target="mailto:emontano@bit.lat" TargetMode="External"/><Relationship Id="rId25" Type="http://schemas.openxmlformats.org/officeDocument/2006/relationships/hyperlink" Target="mailto:jenriquez@bit.lat" TargetMode="External"/><Relationship Id="rId69" Type="http://schemas.openxmlformats.org/officeDocument/2006/relationships/hyperlink" Target="mailto:dgonzalez@bit.lat" TargetMode="External"/><Relationship Id="rId28" Type="http://schemas.openxmlformats.org/officeDocument/2006/relationships/hyperlink" Target="mailto:asierra@bit.lat" TargetMode="External"/><Relationship Id="rId27" Type="http://schemas.openxmlformats.org/officeDocument/2006/relationships/hyperlink" Target="mailto:jlopez@bit.lat" TargetMode="External"/><Relationship Id="rId29" Type="http://schemas.openxmlformats.org/officeDocument/2006/relationships/hyperlink" Target="mailto:emontano@bit.lat" TargetMode="External"/><Relationship Id="rId51" Type="http://schemas.openxmlformats.org/officeDocument/2006/relationships/hyperlink" Target="mailto:lbernal@bit.lat" TargetMode="External"/><Relationship Id="rId50" Type="http://schemas.openxmlformats.org/officeDocument/2006/relationships/hyperlink" Target="mailto:jenriquez@bit.lat" TargetMode="External"/><Relationship Id="rId53" Type="http://schemas.openxmlformats.org/officeDocument/2006/relationships/hyperlink" Target="mailto:lbernal@bit.lat" TargetMode="External"/><Relationship Id="rId52" Type="http://schemas.openxmlformats.org/officeDocument/2006/relationships/hyperlink" Target="mailto:henriquez@bit.lat" TargetMode="External"/><Relationship Id="rId11" Type="http://schemas.openxmlformats.org/officeDocument/2006/relationships/hyperlink" Target="mailto:lbernal@bit.lat" TargetMode="External"/><Relationship Id="rId55" Type="http://schemas.openxmlformats.org/officeDocument/2006/relationships/hyperlink" Target="mailto:lbernal@bit.lat" TargetMode="External"/><Relationship Id="rId10" Type="http://schemas.openxmlformats.org/officeDocument/2006/relationships/hyperlink" Target="mailto:jenriquez@bit.lat" TargetMode="External"/><Relationship Id="rId54" Type="http://schemas.openxmlformats.org/officeDocument/2006/relationships/hyperlink" Target="mailto:jenriquez@bit.lat" TargetMode="External"/><Relationship Id="rId13" Type="http://schemas.openxmlformats.org/officeDocument/2006/relationships/hyperlink" Target="mailto:dgonzalez@bit.lat" TargetMode="External"/><Relationship Id="rId57" Type="http://schemas.openxmlformats.org/officeDocument/2006/relationships/hyperlink" Target="mailto:lbernal@bit.lat" TargetMode="External"/><Relationship Id="rId12" Type="http://schemas.openxmlformats.org/officeDocument/2006/relationships/hyperlink" Target="mailto:lolvera@bit.lat" TargetMode="External"/><Relationship Id="rId56" Type="http://schemas.openxmlformats.org/officeDocument/2006/relationships/hyperlink" Target="mailto:lbernal@bit.lat" TargetMode="External"/><Relationship Id="rId91" Type="http://schemas.openxmlformats.org/officeDocument/2006/relationships/table" Target="../tables/table8.xml"/><Relationship Id="rId15" Type="http://schemas.openxmlformats.org/officeDocument/2006/relationships/hyperlink" Target="mailto:jenriquez@bit.lat" TargetMode="External"/><Relationship Id="rId59" Type="http://schemas.openxmlformats.org/officeDocument/2006/relationships/hyperlink" Target="mailto:lbernal@bit.lat" TargetMode="External"/><Relationship Id="rId14" Type="http://schemas.openxmlformats.org/officeDocument/2006/relationships/hyperlink" Target="mailto:lbernal@bit.lat" TargetMode="External"/><Relationship Id="rId58" Type="http://schemas.openxmlformats.org/officeDocument/2006/relationships/hyperlink" Target="mailto:jenriquez@bit.lat" TargetMode="External"/><Relationship Id="rId17" Type="http://schemas.openxmlformats.org/officeDocument/2006/relationships/hyperlink" Target="mailto:ameza@bit.lat" TargetMode="External"/><Relationship Id="rId16" Type="http://schemas.openxmlformats.org/officeDocument/2006/relationships/hyperlink" Target="mailto:etorres@bit.lat" TargetMode="External"/><Relationship Id="rId19" Type="http://schemas.openxmlformats.org/officeDocument/2006/relationships/hyperlink" Target="mailto:etorres@bit.lat" TargetMode="External"/><Relationship Id="rId18" Type="http://schemas.openxmlformats.org/officeDocument/2006/relationships/hyperlink" Target="mailto:dgonzalez@bit.lat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dperez@bit.lat" TargetMode="External"/><Relationship Id="rId2" Type="http://schemas.openxmlformats.org/officeDocument/2006/relationships/hyperlink" Target="mailto:gmartinez@bit.lat" TargetMode="External"/><Relationship Id="rId3" Type="http://schemas.openxmlformats.org/officeDocument/2006/relationships/hyperlink" Target="mailto:fgonzalezr@bit.lat" TargetMode="External"/><Relationship Id="rId4" Type="http://schemas.openxmlformats.org/officeDocument/2006/relationships/hyperlink" Target="mailto:hloredo@bit.lat" TargetMode="External"/><Relationship Id="rId9" Type="http://schemas.openxmlformats.org/officeDocument/2006/relationships/hyperlink" Target="mailto:fgonzalez@bit.lat" TargetMode="External"/><Relationship Id="rId5" Type="http://schemas.openxmlformats.org/officeDocument/2006/relationships/hyperlink" Target="mailto:aaguilar@bit.lat" TargetMode="External"/><Relationship Id="rId6" Type="http://schemas.openxmlformats.org/officeDocument/2006/relationships/hyperlink" Target="mailto:czamudio@bit.lat" TargetMode="External"/><Relationship Id="rId7" Type="http://schemas.openxmlformats.org/officeDocument/2006/relationships/hyperlink" Target="mailto:dgonzalez@bit.lat" TargetMode="External"/><Relationship Id="rId8" Type="http://schemas.openxmlformats.org/officeDocument/2006/relationships/hyperlink" Target="mailto:nmejia@bit.lat" TargetMode="External"/><Relationship Id="rId31" Type="http://schemas.openxmlformats.org/officeDocument/2006/relationships/hyperlink" Target="mailto:rescobar@bit.lat" TargetMode="External"/><Relationship Id="rId30" Type="http://schemas.openxmlformats.org/officeDocument/2006/relationships/hyperlink" Target="mailto:henriquez@bit.lat" TargetMode="External"/><Relationship Id="rId33" Type="http://schemas.openxmlformats.org/officeDocument/2006/relationships/drawing" Target="../drawings/drawing10.xml"/><Relationship Id="rId32" Type="http://schemas.openxmlformats.org/officeDocument/2006/relationships/hyperlink" Target="mailto:egonzalez@bit.lat" TargetMode="External"/><Relationship Id="rId35" Type="http://schemas.openxmlformats.org/officeDocument/2006/relationships/table" Target="../tables/table9.xml"/><Relationship Id="rId20" Type="http://schemas.openxmlformats.org/officeDocument/2006/relationships/hyperlink" Target="mailto:etorres@bit.lat" TargetMode="External"/><Relationship Id="rId22" Type="http://schemas.openxmlformats.org/officeDocument/2006/relationships/hyperlink" Target="mailto:jrojas@bit.lat" TargetMode="External"/><Relationship Id="rId21" Type="http://schemas.openxmlformats.org/officeDocument/2006/relationships/hyperlink" Target="mailto:ameza@bit.lat" TargetMode="External"/><Relationship Id="rId24" Type="http://schemas.openxmlformats.org/officeDocument/2006/relationships/hyperlink" Target="mailto:lolvera@bit.lat" TargetMode="External"/><Relationship Id="rId23" Type="http://schemas.openxmlformats.org/officeDocument/2006/relationships/hyperlink" Target="mailto:amorales@bit.lat" TargetMode="External"/><Relationship Id="rId26" Type="http://schemas.openxmlformats.org/officeDocument/2006/relationships/hyperlink" Target="mailto:mramirez@bit.lat" TargetMode="External"/><Relationship Id="rId25" Type="http://schemas.openxmlformats.org/officeDocument/2006/relationships/hyperlink" Target="mailto:asierra@bit.lat" TargetMode="External"/><Relationship Id="rId28" Type="http://schemas.openxmlformats.org/officeDocument/2006/relationships/hyperlink" Target="mailto:econtreras@bit.lat" TargetMode="External"/><Relationship Id="rId27" Type="http://schemas.openxmlformats.org/officeDocument/2006/relationships/hyperlink" Target="mailto:avazquez@bit.lat" TargetMode="External"/><Relationship Id="rId29" Type="http://schemas.openxmlformats.org/officeDocument/2006/relationships/hyperlink" Target="mailto:gguadarrama@bit.lat" TargetMode="External"/><Relationship Id="rId11" Type="http://schemas.openxmlformats.org/officeDocument/2006/relationships/hyperlink" Target="mailto:jpatino@bit.lat" TargetMode="External"/><Relationship Id="rId10" Type="http://schemas.openxmlformats.org/officeDocument/2006/relationships/hyperlink" Target="mailto:eramirez@bit.lat" TargetMode="External"/><Relationship Id="rId13" Type="http://schemas.openxmlformats.org/officeDocument/2006/relationships/hyperlink" Target="mailto:rbernal@bit.lat" TargetMode="External"/><Relationship Id="rId12" Type="http://schemas.openxmlformats.org/officeDocument/2006/relationships/hyperlink" Target="mailto:lbernal@bit.lat" TargetMode="External"/><Relationship Id="rId15" Type="http://schemas.openxmlformats.org/officeDocument/2006/relationships/hyperlink" Target="mailto:rcuevas@bit.lat" TargetMode="External"/><Relationship Id="rId14" Type="http://schemas.openxmlformats.org/officeDocument/2006/relationships/hyperlink" Target="mailto:emontano@bit.lat" TargetMode="External"/><Relationship Id="rId17" Type="http://schemas.openxmlformats.org/officeDocument/2006/relationships/hyperlink" Target="mailto:aserrano@bit.lat" TargetMode="External"/><Relationship Id="rId16" Type="http://schemas.openxmlformats.org/officeDocument/2006/relationships/hyperlink" Target="mailto:jenriquez@bit.lat" TargetMode="External"/><Relationship Id="rId19" Type="http://schemas.openxmlformats.org/officeDocument/2006/relationships/hyperlink" Target="mailto:alara@bit.lat" TargetMode="External"/><Relationship Id="rId18" Type="http://schemas.openxmlformats.org/officeDocument/2006/relationships/hyperlink" Target="mailto:jlopez@bit.lat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1.0</v>
      </c>
      <c r="C2" s="5">
        <v>1.0</v>
      </c>
      <c r="D2" s="6">
        <v>50000.0</v>
      </c>
      <c r="E2" s="6">
        <f t="shared" ref="E2:E13" si="1">D2/160</f>
        <v>312.5</v>
      </c>
      <c r="F2" s="5">
        <f t="shared" ref="F2:F13" si="2">B2*C2</f>
        <v>1</v>
      </c>
      <c r="G2" s="7">
        <f t="shared" ref="G2:G13" si="3">E2*(F2*B2)</f>
        <v>312.5</v>
      </c>
    </row>
    <row r="3">
      <c r="A3" s="3" t="s">
        <v>8</v>
      </c>
      <c r="B3" s="4">
        <v>1.0</v>
      </c>
      <c r="C3" s="5">
        <v>1.0</v>
      </c>
      <c r="D3" s="6">
        <v>50000.0</v>
      </c>
      <c r="E3" s="6">
        <f t="shared" si="1"/>
        <v>312.5</v>
      </c>
      <c r="F3" s="5">
        <f t="shared" si="2"/>
        <v>1</v>
      </c>
      <c r="G3" s="7">
        <f t="shared" si="3"/>
        <v>312.5</v>
      </c>
    </row>
    <row r="4">
      <c r="A4" s="3" t="s">
        <v>9</v>
      </c>
      <c r="B4" s="4">
        <v>1.0</v>
      </c>
      <c r="C4" s="5">
        <v>1.0</v>
      </c>
      <c r="D4" s="6">
        <v>50000.0</v>
      </c>
      <c r="E4" s="6">
        <f t="shared" si="1"/>
        <v>312.5</v>
      </c>
      <c r="F4" s="5">
        <f t="shared" si="2"/>
        <v>1</v>
      </c>
      <c r="G4" s="7">
        <f t="shared" si="3"/>
        <v>312.5</v>
      </c>
    </row>
    <row r="5">
      <c r="A5" s="3" t="s">
        <v>10</v>
      </c>
      <c r="B5" s="4">
        <v>1.0</v>
      </c>
      <c r="C5" s="5">
        <v>1.0</v>
      </c>
      <c r="D5" s="6">
        <v>45000.0</v>
      </c>
      <c r="E5" s="6">
        <f t="shared" si="1"/>
        <v>281.25</v>
      </c>
      <c r="F5" s="5">
        <f t="shared" si="2"/>
        <v>1</v>
      </c>
      <c r="G5" s="7">
        <f t="shared" si="3"/>
        <v>281.25</v>
      </c>
    </row>
    <row r="6">
      <c r="A6" s="3" t="s">
        <v>11</v>
      </c>
      <c r="B6" s="4">
        <v>1.0</v>
      </c>
      <c r="C6" s="5">
        <v>1.0</v>
      </c>
      <c r="D6" s="6">
        <v>25000.0</v>
      </c>
      <c r="E6" s="6">
        <f t="shared" si="1"/>
        <v>156.25</v>
      </c>
      <c r="F6" s="5">
        <f t="shared" si="2"/>
        <v>1</v>
      </c>
      <c r="G6" s="7">
        <f t="shared" si="3"/>
        <v>156.25</v>
      </c>
    </row>
    <row r="7">
      <c r="A7" s="3" t="s">
        <v>12</v>
      </c>
      <c r="B7" s="4">
        <v>1.0</v>
      </c>
      <c r="C7" s="5">
        <v>1.0</v>
      </c>
      <c r="D7" s="6">
        <v>25000.0</v>
      </c>
      <c r="E7" s="6">
        <f t="shared" si="1"/>
        <v>156.25</v>
      </c>
      <c r="F7" s="5">
        <f t="shared" si="2"/>
        <v>1</v>
      </c>
      <c r="G7" s="7">
        <f t="shared" si="3"/>
        <v>156.25</v>
      </c>
    </row>
    <row r="8">
      <c r="A8" s="3" t="s">
        <v>13</v>
      </c>
      <c r="B8" s="4">
        <v>1.0</v>
      </c>
      <c r="C8" s="5">
        <v>1.0</v>
      </c>
      <c r="D8" s="6">
        <v>32000.0</v>
      </c>
      <c r="E8" s="6">
        <f t="shared" si="1"/>
        <v>200</v>
      </c>
      <c r="F8" s="5">
        <f t="shared" si="2"/>
        <v>1</v>
      </c>
      <c r="G8" s="7">
        <f t="shared" si="3"/>
        <v>200</v>
      </c>
    </row>
    <row r="9">
      <c r="A9" s="3" t="s">
        <v>14</v>
      </c>
      <c r="B9" s="4">
        <v>1.0</v>
      </c>
      <c r="C9" s="5">
        <v>1.0</v>
      </c>
      <c r="D9" s="6">
        <v>25000.0</v>
      </c>
      <c r="E9" s="6">
        <f t="shared" si="1"/>
        <v>156.25</v>
      </c>
      <c r="F9" s="5">
        <f t="shared" si="2"/>
        <v>1</v>
      </c>
      <c r="G9" s="7">
        <f t="shared" si="3"/>
        <v>156.25</v>
      </c>
    </row>
    <row r="10">
      <c r="A10" s="3" t="s">
        <v>15</v>
      </c>
      <c r="B10" s="4">
        <v>1.0</v>
      </c>
      <c r="C10" s="5">
        <v>1.0</v>
      </c>
      <c r="D10" s="6">
        <v>18000.0</v>
      </c>
      <c r="E10" s="6">
        <f t="shared" si="1"/>
        <v>112.5</v>
      </c>
      <c r="F10" s="5">
        <f t="shared" si="2"/>
        <v>1</v>
      </c>
      <c r="G10" s="7">
        <f t="shared" si="3"/>
        <v>112.5</v>
      </c>
    </row>
    <row r="11">
      <c r="A11" s="3" t="s">
        <v>16</v>
      </c>
      <c r="B11" s="4">
        <v>1.0</v>
      </c>
      <c r="C11" s="5">
        <v>1.0</v>
      </c>
      <c r="D11" s="6">
        <v>18000.0</v>
      </c>
      <c r="E11" s="6">
        <f t="shared" si="1"/>
        <v>112.5</v>
      </c>
      <c r="F11" s="5">
        <f t="shared" si="2"/>
        <v>1</v>
      </c>
      <c r="G11" s="7">
        <f t="shared" si="3"/>
        <v>112.5</v>
      </c>
    </row>
    <row r="12">
      <c r="A12" s="3" t="s">
        <v>17</v>
      </c>
      <c r="B12" s="4">
        <v>1.0</v>
      </c>
      <c r="C12" s="5">
        <v>1.0</v>
      </c>
      <c r="D12" s="6">
        <v>18000.0</v>
      </c>
      <c r="E12" s="6">
        <f t="shared" si="1"/>
        <v>112.5</v>
      </c>
      <c r="F12" s="5">
        <f t="shared" si="2"/>
        <v>1</v>
      </c>
      <c r="G12" s="7">
        <f t="shared" si="3"/>
        <v>112.5</v>
      </c>
    </row>
    <row r="13">
      <c r="A13" s="3" t="s">
        <v>18</v>
      </c>
      <c r="B13" s="4">
        <v>1.0</v>
      </c>
      <c r="C13" s="5">
        <v>1.0</v>
      </c>
      <c r="D13" s="8">
        <v>18000.0</v>
      </c>
      <c r="E13" s="8">
        <f t="shared" si="1"/>
        <v>112.5</v>
      </c>
      <c r="F13" s="9">
        <f t="shared" si="2"/>
        <v>1</v>
      </c>
      <c r="G13" s="7">
        <f t="shared" si="3"/>
        <v>112.5</v>
      </c>
    </row>
    <row r="14">
      <c r="A14" s="10"/>
      <c r="B14" s="10"/>
      <c r="C14" s="10"/>
      <c r="D14" s="11" t="s">
        <v>19</v>
      </c>
      <c r="E14" s="12"/>
      <c r="F14" s="13">
        <f t="shared" ref="F14:G14" si="4">SUM(F2:F13)</f>
        <v>12</v>
      </c>
      <c r="G14" s="14">
        <f t="shared" si="4"/>
        <v>2337.5</v>
      </c>
    </row>
    <row r="15">
      <c r="A15" s="10"/>
      <c r="B15" s="10"/>
      <c r="C15" s="15"/>
      <c r="D15" s="16" t="s">
        <v>20</v>
      </c>
      <c r="E15" s="12"/>
      <c r="F15" s="17">
        <v>0.4</v>
      </c>
      <c r="G15" s="18">
        <f>G14*F15</f>
        <v>935</v>
      </c>
    </row>
    <row r="16">
      <c r="A16" s="10"/>
      <c r="B16" s="10"/>
      <c r="C16" s="15"/>
      <c r="D16" s="19" t="s">
        <v>21</v>
      </c>
      <c r="E16" s="20"/>
      <c r="F16" s="12"/>
      <c r="G16" s="14">
        <f>SUM($H$3:$H$14)+G15</f>
        <v>935</v>
      </c>
    </row>
    <row r="17">
      <c r="A17" s="10"/>
      <c r="B17" s="10"/>
      <c r="C17" s="15"/>
      <c r="D17" s="16" t="s">
        <v>22</v>
      </c>
      <c r="E17" s="12"/>
      <c r="F17" s="17">
        <v>0.3</v>
      </c>
      <c r="G17" s="18">
        <f>G16*F17</f>
        <v>280.5</v>
      </c>
    </row>
    <row r="18">
      <c r="A18" s="10"/>
      <c r="B18" s="15"/>
      <c r="C18" s="15"/>
      <c r="D18" s="19" t="s">
        <v>23</v>
      </c>
      <c r="E18" s="20"/>
      <c r="F18" s="12"/>
      <c r="G18" s="14">
        <f>G16+G17</f>
        <v>1215.5</v>
      </c>
    </row>
    <row r="19">
      <c r="A19" s="10"/>
      <c r="B19" s="10"/>
      <c r="C19" s="10"/>
      <c r="D19" s="21" t="s">
        <v>24</v>
      </c>
      <c r="E19" s="12"/>
      <c r="F19" s="22">
        <v>0.6</v>
      </c>
      <c r="G19" s="18">
        <f>G18*F19</f>
        <v>729.3</v>
      </c>
    </row>
    <row r="20">
      <c r="A20" s="10"/>
      <c r="B20" s="15"/>
      <c r="C20" s="15"/>
      <c r="D20" s="23" t="s">
        <v>25</v>
      </c>
      <c r="G20" s="24">
        <f>G18+G19</f>
        <v>1944.8</v>
      </c>
    </row>
    <row r="21">
      <c r="A21" s="10"/>
      <c r="B21" s="10"/>
      <c r="C21" s="10"/>
      <c r="D21" s="10"/>
      <c r="E21" s="10"/>
      <c r="F21" s="25" t="s">
        <v>26</v>
      </c>
      <c r="G21" s="7">
        <f>G20*0.16</f>
        <v>311.168</v>
      </c>
    </row>
    <row r="22">
      <c r="A22" s="10"/>
      <c r="B22" s="10"/>
      <c r="C22" s="10"/>
      <c r="D22" s="10"/>
      <c r="E22" s="10"/>
      <c r="F22" s="26" t="s">
        <v>6</v>
      </c>
      <c r="G22" s="27">
        <f>G20+G21</f>
        <v>2255.968</v>
      </c>
    </row>
  </sheetData>
  <mergeCells count="7">
    <mergeCell ref="D14:E14"/>
    <mergeCell ref="D15:E15"/>
    <mergeCell ref="D16:F16"/>
    <mergeCell ref="D17:E17"/>
    <mergeCell ref="D18:F18"/>
    <mergeCell ref="D19:E19"/>
    <mergeCell ref="D20:F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19.25"/>
    <col customWidth="1" hidden="1" min="3" max="3" width="18.0"/>
    <col customWidth="1" min="4" max="4" width="18.0"/>
    <col customWidth="1" min="5" max="5" width="37.63"/>
    <col customWidth="1" min="6" max="6" width="25.5"/>
    <col customWidth="1" min="7" max="7" width="18.75"/>
    <col hidden="1" min="8" max="8" width="12.63"/>
  </cols>
  <sheetData>
    <row r="1" ht="22.5" customHeight="1">
      <c r="A1" s="28" t="s">
        <v>27</v>
      </c>
      <c r="B1" s="28" t="s">
        <v>28</v>
      </c>
      <c r="C1" s="28" t="s">
        <v>29</v>
      </c>
      <c r="D1" s="28" t="s">
        <v>30</v>
      </c>
      <c r="E1" s="28" t="s">
        <v>31</v>
      </c>
      <c r="F1" s="28" t="s">
        <v>32</v>
      </c>
      <c r="G1" s="28" t="s">
        <v>33</v>
      </c>
      <c r="H1" s="28" t="s">
        <v>34</v>
      </c>
      <c r="I1" s="28" t="s">
        <v>35</v>
      </c>
    </row>
    <row r="2" ht="22.5" customHeight="1">
      <c r="A2" s="29" t="s">
        <v>36</v>
      </c>
      <c r="B2" s="29" t="s">
        <v>37</v>
      </c>
      <c r="C2" s="29" t="str">
        <f t="array" ref="C2">IF(EXACT(B2, ""), "", XLOOKUP(B2, Equipo[email], Equipo[user]))</f>
        <v>dperez</v>
      </c>
      <c r="D2" s="29" t="s">
        <v>38</v>
      </c>
      <c r="E2" s="29" t="s">
        <v>39</v>
      </c>
      <c r="F2" s="29" t="s">
        <v>40</v>
      </c>
      <c r="G2" s="29" t="s">
        <v>41</v>
      </c>
      <c r="H2" s="30" t="str">
        <f t="array" ref="H2">IF(EXACT(G2, ""), "", XLOOKUP(G2, Equipo[email], Equipo[user]))</f>
        <v>fgonzalez</v>
      </c>
      <c r="I2" s="30">
        <v>100.0</v>
      </c>
    </row>
    <row r="3" ht="22.5" customHeight="1">
      <c r="A3" s="29" t="s">
        <v>42</v>
      </c>
      <c r="B3" s="29" t="s">
        <v>43</v>
      </c>
      <c r="C3" s="29" t="str">
        <f t="array" ref="C3">IF(EXACT(B3, ""), "", XLOOKUP(B3, Equipo[email], Equipo[user]))</f>
        <v>gmartinez</v>
      </c>
      <c r="D3" s="29" t="s">
        <v>44</v>
      </c>
      <c r="E3" s="29" t="s">
        <v>45</v>
      </c>
      <c r="F3" s="29" t="s">
        <v>40</v>
      </c>
      <c r="G3" s="29" t="s">
        <v>41</v>
      </c>
      <c r="H3" s="30" t="str">
        <f t="array" ref="H3">IF(EXACT(G3, ""), "", XLOOKUP(G3, Equipo[email], Equipo[user]))</f>
        <v>fgonzalez</v>
      </c>
      <c r="I3" s="30">
        <v>100.0</v>
      </c>
    </row>
    <row r="4" ht="22.5" customHeight="1">
      <c r="A4" s="29" t="s">
        <v>46</v>
      </c>
      <c r="B4" s="29" t="s">
        <v>47</v>
      </c>
      <c r="C4" s="29" t="str">
        <f t="array" ref="C4">IF(EXACT(B4, ""), "", XLOOKUP(B4, Equipo[email], Equipo[user]))</f>
        <v>aaguilar</v>
      </c>
      <c r="D4" s="29" t="s">
        <v>48</v>
      </c>
      <c r="E4" s="29" t="s">
        <v>49</v>
      </c>
      <c r="F4" s="29" t="s">
        <v>40</v>
      </c>
      <c r="G4" s="29" t="s">
        <v>41</v>
      </c>
      <c r="H4" s="31" t="str">
        <f t="array" ref="H4">IF(EXACT(G4, ""), "", XLOOKUP(G4, Equipo[email], Equipo[user]))</f>
        <v>fgonzalez</v>
      </c>
      <c r="I4" s="31">
        <v>90.0</v>
      </c>
    </row>
    <row r="5" ht="22.5" customHeight="1">
      <c r="A5" s="32" t="s">
        <v>50</v>
      </c>
      <c r="B5" s="32" t="s">
        <v>51</v>
      </c>
      <c r="C5" s="32" t="str">
        <f t="array" ref="C5">IF(EXACT(B5, ""), "", XLOOKUP(B5, Equipo[email], Equipo[user]))</f>
        <v>hloredo</v>
      </c>
      <c r="D5" s="32" t="s">
        <v>48</v>
      </c>
      <c r="E5" s="32" t="s">
        <v>52</v>
      </c>
      <c r="F5" s="32" t="s">
        <v>53</v>
      </c>
      <c r="G5" s="32" t="s">
        <v>54</v>
      </c>
      <c r="H5" s="33" t="str">
        <f t="array" ref="H5">IF(EXACT(G5, ""), "", XLOOKUP(G5, Equipo[email], Equipo[user]))</f>
        <v>fgonzalezr</v>
      </c>
      <c r="I5" s="33">
        <v>50.0</v>
      </c>
    </row>
    <row r="6" ht="22.5" customHeight="1">
      <c r="A6" s="34" t="s">
        <v>55</v>
      </c>
      <c r="B6" s="34" t="s">
        <v>56</v>
      </c>
      <c r="C6" s="34" t="str">
        <f t="array" ref="C6">IF(EXACT(B6, ""), "", XLOOKUP(B6, Equipo[email], Equipo[user]))</f>
        <v>dgonzalez</v>
      </c>
      <c r="D6" s="34" t="s">
        <v>48</v>
      </c>
      <c r="E6" s="34" t="s">
        <v>49</v>
      </c>
      <c r="F6" s="34" t="s">
        <v>57</v>
      </c>
      <c r="G6" s="34" t="s">
        <v>58</v>
      </c>
      <c r="H6" s="35" t="str">
        <f t="array" ref="H6">IF(EXACT(G6, ""), "", XLOOKUP(G6, Equipo[email], Equipo[user]))</f>
        <v>rcuevas</v>
      </c>
      <c r="I6" s="35">
        <v>100.0</v>
      </c>
    </row>
    <row r="7" ht="22.5" customHeight="1">
      <c r="A7" s="29" t="s">
        <v>59</v>
      </c>
      <c r="B7" s="29" t="s">
        <v>60</v>
      </c>
      <c r="C7" s="29" t="str">
        <f t="array" ref="C7">IF(EXACT(B7, ""), "", XLOOKUP(B7, Equipo[email], Equipo[user]))</f>
        <v>egonzalez</v>
      </c>
      <c r="D7" s="29" t="s">
        <v>61</v>
      </c>
      <c r="E7" s="29" t="s">
        <v>62</v>
      </c>
      <c r="F7" s="29" t="s">
        <v>40</v>
      </c>
      <c r="G7" s="29" t="s">
        <v>41</v>
      </c>
      <c r="H7" s="30" t="str">
        <f t="array" ref="H7">IF(EXACT(G7, ""), "", XLOOKUP(G7, Equipo[email], Equipo[user]))</f>
        <v>fgonzalez</v>
      </c>
      <c r="I7" s="30">
        <v>70.0</v>
      </c>
    </row>
    <row r="8" ht="22.5" customHeight="1">
      <c r="A8" s="32" t="s">
        <v>63</v>
      </c>
      <c r="B8" s="32" t="s">
        <v>64</v>
      </c>
      <c r="C8" s="32" t="str">
        <f t="array" ref="C8">IF(EXACT(B8, ""), "", XLOOKUP(B8, Equipo[email], Equipo[user]))</f>
        <v>emontano</v>
      </c>
      <c r="D8" s="32" t="s">
        <v>61</v>
      </c>
      <c r="E8" s="32" t="s">
        <v>65</v>
      </c>
      <c r="F8" s="32" t="s">
        <v>53</v>
      </c>
      <c r="G8" s="32" t="s">
        <v>54</v>
      </c>
      <c r="H8" s="33" t="str">
        <f t="array" ref="H8">IF(EXACT(G8, ""), "", XLOOKUP(G8, Equipo[email], Equipo[user]))</f>
        <v>fgonzalezr</v>
      </c>
      <c r="I8" s="33">
        <v>80.0</v>
      </c>
    </row>
    <row r="9" ht="22.5" customHeight="1">
      <c r="A9" s="34" t="s">
        <v>66</v>
      </c>
      <c r="B9" s="34" t="s">
        <v>67</v>
      </c>
      <c r="C9" s="34" t="str">
        <f t="array" ref="C9">IF(EXACT(B9, ""), "", XLOOKUP(B9, Equipo[email], Equipo[user]))</f>
        <v>rbernal</v>
      </c>
      <c r="D9" s="34" t="s">
        <v>61</v>
      </c>
      <c r="E9" s="34" t="s">
        <v>68</v>
      </c>
      <c r="F9" s="34" t="s">
        <v>69</v>
      </c>
      <c r="G9" s="34" t="s">
        <v>70</v>
      </c>
      <c r="H9" s="35" t="str">
        <f t="array" ref="H9">IF(EXACT(G9, ""), "", XLOOKUP(G9, Equipo[email], Equipo[user]))</f>
        <v>jenriquez</v>
      </c>
      <c r="I9" s="35">
        <v>45.0</v>
      </c>
    </row>
    <row r="10" ht="22.5" customHeight="1">
      <c r="A10" s="34" t="s">
        <v>71</v>
      </c>
      <c r="B10" s="34" t="s">
        <v>72</v>
      </c>
      <c r="C10" s="34" t="str">
        <f t="array" ref="C10">IF(EXACT(B10, ""), "", XLOOKUP(B10, Equipo[email], Equipo[user]))</f>
        <v>aserrano</v>
      </c>
      <c r="D10" s="34" t="s">
        <v>61</v>
      </c>
      <c r="E10" s="34" t="s">
        <v>73</v>
      </c>
      <c r="F10" s="34" t="s">
        <v>69</v>
      </c>
      <c r="G10" s="34" t="s">
        <v>70</v>
      </c>
      <c r="H10" s="36" t="str">
        <f t="array" ref="H10">IF(EXACT(G10, ""), "", XLOOKUP(G10, Equipo[email], Equipo[user]))</f>
        <v>jenriquez</v>
      </c>
      <c r="I10" s="36">
        <v>90.0</v>
      </c>
    </row>
    <row r="11" ht="22.5" customHeight="1">
      <c r="A11" s="34" t="s">
        <v>74</v>
      </c>
      <c r="B11" s="34" t="s">
        <v>75</v>
      </c>
      <c r="C11" s="34" t="str">
        <f t="array" ref="C11">IF(EXACT(B11, ""), "", XLOOKUP(B11, Equipo[email], Equipo[user]))</f>
        <v>lolvera</v>
      </c>
      <c r="D11" s="34" t="s">
        <v>61</v>
      </c>
      <c r="E11" s="34" t="s">
        <v>76</v>
      </c>
      <c r="F11" s="34" t="s">
        <v>69</v>
      </c>
      <c r="G11" s="34" t="s">
        <v>70</v>
      </c>
      <c r="H11" s="35" t="str">
        <f t="array" ref="H11">IF(EXACT(G11, ""), "", XLOOKUP(G11, Equipo[email], Equipo[user]))</f>
        <v>jenriquez</v>
      </c>
      <c r="I11" s="35">
        <v>100.0</v>
      </c>
    </row>
    <row r="12" ht="22.5" customHeight="1">
      <c r="A12" s="34" t="s">
        <v>77</v>
      </c>
      <c r="B12" s="34" t="s">
        <v>78</v>
      </c>
      <c r="C12" s="34" t="str">
        <f t="array" ref="C12">IF(EXACT(B12, ""), "", XLOOKUP(B12, Equipo[email], Equipo[user]))</f>
        <v>mramirez</v>
      </c>
      <c r="D12" s="34" t="s">
        <v>61</v>
      </c>
      <c r="E12" s="34" t="s">
        <v>79</v>
      </c>
      <c r="F12" s="34" t="s">
        <v>69</v>
      </c>
      <c r="G12" s="34" t="s">
        <v>70</v>
      </c>
      <c r="H12" s="35" t="str">
        <f t="array" ref="H12">IF(EXACT(G12, ""), "", XLOOKUP(G12, Equipo[email], Equipo[user]))</f>
        <v>jenriquez</v>
      </c>
      <c r="I12" s="35">
        <v>100.0</v>
      </c>
    </row>
    <row r="13" ht="22.5" customHeight="1">
      <c r="A13" s="34" t="s">
        <v>80</v>
      </c>
      <c r="B13" s="34" t="s">
        <v>81</v>
      </c>
      <c r="C13" s="34" t="str">
        <f t="array" ref="C13">IF(EXACT(B13, ""), "", XLOOKUP(B13, Equipo[email], Equipo[user]))</f>
        <v>gguadarrama</v>
      </c>
      <c r="D13" s="34" t="s">
        <v>61</v>
      </c>
      <c r="E13" s="34" t="s">
        <v>82</v>
      </c>
      <c r="F13" s="34" t="s">
        <v>69</v>
      </c>
      <c r="G13" s="34" t="s">
        <v>70</v>
      </c>
      <c r="H13" s="35" t="str">
        <f t="array" ref="H13">IF(EXACT(G13, ""), "", XLOOKUP(G13, Equipo[email], Equipo[user]))</f>
        <v>jenriquez</v>
      </c>
      <c r="I13" s="35">
        <v>100.0</v>
      </c>
    </row>
    <row r="14" ht="22.5" customHeight="1">
      <c r="A14" s="34" t="s">
        <v>83</v>
      </c>
      <c r="B14" s="34" t="s">
        <v>84</v>
      </c>
      <c r="C14" s="34" t="str">
        <f t="array" ref="C14">IF(EXACT(B14, ""), "", XLOOKUP(B14, Equipo[email], Equipo[user]))</f>
        <v>alara</v>
      </c>
      <c r="D14" s="34" t="s">
        <v>61</v>
      </c>
      <c r="E14" s="34" t="s">
        <v>73</v>
      </c>
      <c r="F14" s="34" t="s">
        <v>69</v>
      </c>
      <c r="G14" s="34" t="s">
        <v>70</v>
      </c>
      <c r="H14" s="36" t="str">
        <f t="array" ref="H14">IF(EXACT(G14, ""), "", XLOOKUP(G14, Equipo[email], Equipo[user]))</f>
        <v>jenriquez</v>
      </c>
      <c r="I14" s="36">
        <v>100.0</v>
      </c>
    </row>
    <row r="15" ht="22.5" customHeight="1">
      <c r="A15" s="34" t="s">
        <v>85</v>
      </c>
      <c r="B15" s="34" t="s">
        <v>86</v>
      </c>
      <c r="C15" s="34" t="str">
        <f t="array" ref="C15">IF(EXACT(B15, ""), "", XLOOKUP(B15, Equipo[email], Equipo[user]))</f>
        <v>econtreras</v>
      </c>
      <c r="D15" s="34" t="s">
        <v>61</v>
      </c>
      <c r="E15" s="34" t="s">
        <v>82</v>
      </c>
      <c r="F15" s="34" t="s">
        <v>69</v>
      </c>
      <c r="G15" s="34" t="s">
        <v>70</v>
      </c>
      <c r="H15" s="35" t="str">
        <f t="array" ref="H15">IF(EXACT(G15, ""), "", XLOOKUP(G15, Equipo[email], Equipo[user]))</f>
        <v>jenriquez</v>
      </c>
      <c r="I15" s="35">
        <v>0.0</v>
      </c>
    </row>
    <row r="16" ht="22.5" customHeight="1">
      <c r="A16" s="34" t="s">
        <v>87</v>
      </c>
      <c r="B16" s="34" t="s">
        <v>88</v>
      </c>
      <c r="C16" s="34" t="str">
        <f t="array" ref="C16">IF(EXACT(B16, ""), "", XLOOKUP(B16, Equipo[email], Equipo[user]))</f>
        <v>henriquez</v>
      </c>
      <c r="D16" s="34" t="s">
        <v>61</v>
      </c>
      <c r="E16" s="34" t="s">
        <v>82</v>
      </c>
      <c r="F16" s="34" t="s">
        <v>69</v>
      </c>
      <c r="G16" s="34" t="s">
        <v>70</v>
      </c>
      <c r="H16" s="36" t="str">
        <f t="array" ref="H16">IF(EXACT(G16, ""), "", XLOOKUP(G16, Equipo[email], Equipo[user]))</f>
        <v>jenriquez</v>
      </c>
      <c r="I16" s="36">
        <v>20.0</v>
      </c>
    </row>
    <row r="17" ht="22.5" customHeight="1">
      <c r="A17" s="37" t="s">
        <v>89</v>
      </c>
      <c r="B17" s="34" t="s">
        <v>90</v>
      </c>
      <c r="C17" s="34" t="str">
        <f t="array" ref="C17">IF(EXACT(B17, ""), "", XLOOKUP(B17, Equipo[email], Equipo[user]))</f>
        <v>ameza</v>
      </c>
      <c r="D17" s="34" t="s">
        <v>61</v>
      </c>
      <c r="E17" s="34" t="s">
        <v>91</v>
      </c>
      <c r="F17" s="34" t="s">
        <v>69</v>
      </c>
      <c r="G17" s="34" t="s">
        <v>70</v>
      </c>
      <c r="H17" s="35" t="str">
        <f t="array" ref="H17">IF(EXACT(G17, ""), "", XLOOKUP(G17, Equipo[email], Equipo[user]))</f>
        <v>jenriquez</v>
      </c>
      <c r="I17" s="35">
        <v>100.0</v>
      </c>
    </row>
    <row r="18" ht="22.5" customHeight="1">
      <c r="A18" s="34" t="s">
        <v>92</v>
      </c>
      <c r="B18" s="34" t="s">
        <v>93</v>
      </c>
      <c r="C18" s="34" t="str">
        <f t="array" ref="C18">IF(EXACT(B18, ""), "", XLOOKUP(B18, Equipo[email], Equipo[user]))</f>
        <v>lbernal</v>
      </c>
      <c r="D18" s="34" t="s">
        <v>61</v>
      </c>
      <c r="E18" s="34" t="s">
        <v>68</v>
      </c>
      <c r="F18" s="34" t="s">
        <v>69</v>
      </c>
      <c r="G18" s="34" t="s">
        <v>70</v>
      </c>
      <c r="H18" s="36" t="str">
        <f t="array" ref="H18">IF(EXACT(G18, ""), "", XLOOKUP(G18, Equipo[email], Equipo[user]))</f>
        <v>jenriquez</v>
      </c>
      <c r="I18" s="36">
        <v>80.0</v>
      </c>
    </row>
    <row r="19" ht="22.5" customHeight="1">
      <c r="A19" s="34" t="s">
        <v>94</v>
      </c>
      <c r="B19" s="34" t="s">
        <v>95</v>
      </c>
      <c r="C19" s="34" t="str">
        <f t="array" ref="C19">IF(EXACT(B19, ""), "", XLOOKUP(B19, Equipo[email], Equipo[user]))</f>
        <v>jlopez</v>
      </c>
      <c r="D19" s="34" t="s">
        <v>61</v>
      </c>
      <c r="E19" s="34" t="s">
        <v>73</v>
      </c>
      <c r="F19" s="34" t="s">
        <v>69</v>
      </c>
      <c r="G19" s="34" t="s">
        <v>70</v>
      </c>
      <c r="H19" s="35" t="str">
        <f t="array" ref="H19">IF(EXACT(G19, ""), "", XLOOKUP(G19, Equipo[email], Equipo[user]))</f>
        <v>jenriquez</v>
      </c>
      <c r="I19" s="35">
        <v>100.0</v>
      </c>
    </row>
    <row r="20" ht="22.5" customHeight="1">
      <c r="A20" s="34" t="s">
        <v>96</v>
      </c>
      <c r="B20" s="34" t="s">
        <v>97</v>
      </c>
      <c r="C20" s="34" t="str">
        <f t="array" ref="C20">IF(EXACT(B20, ""), "", XLOOKUP(B20, Equipo[email], Equipo[user]))</f>
        <v>jrojas</v>
      </c>
      <c r="D20" s="34" t="s">
        <v>61</v>
      </c>
      <c r="E20" s="34" t="s">
        <v>73</v>
      </c>
      <c r="F20" s="34" t="s">
        <v>69</v>
      </c>
      <c r="G20" s="34" t="s">
        <v>70</v>
      </c>
      <c r="H20" s="36" t="str">
        <f t="array" ref="H20">IF(EXACT(G20, ""), "", XLOOKUP(G20, Equipo[email], Equipo[user]))</f>
        <v>jenriquez</v>
      </c>
      <c r="I20" s="36">
        <v>90.0</v>
      </c>
    </row>
    <row r="21" ht="22.5" customHeight="1">
      <c r="A21" s="34" t="s">
        <v>98</v>
      </c>
      <c r="B21" s="34" t="s">
        <v>99</v>
      </c>
      <c r="C21" s="34" t="str">
        <f t="array" ref="C21">IF(EXACT(B21, ""), "", XLOOKUP(B21, Equipo[email], Equipo[user]))</f>
        <v>etorres</v>
      </c>
      <c r="D21" s="34" t="s">
        <v>61</v>
      </c>
      <c r="E21" s="34" t="s">
        <v>91</v>
      </c>
      <c r="F21" s="34" t="s">
        <v>69</v>
      </c>
      <c r="G21" s="34" t="s">
        <v>70</v>
      </c>
      <c r="H21" s="36" t="str">
        <f t="array" ref="H21">IF(EXACT(G21, ""), "", XLOOKUP(G21, Equipo[email], Equipo[user]))</f>
        <v>jenriquez</v>
      </c>
      <c r="I21" s="36">
        <v>100.0</v>
      </c>
    </row>
    <row r="22" ht="22.5" customHeight="1">
      <c r="A22" s="34" t="s">
        <v>100</v>
      </c>
      <c r="B22" s="34" t="s">
        <v>101</v>
      </c>
      <c r="C22" s="34" t="str">
        <f t="array" ref="C22">IF(EXACT(B22, ""), "", XLOOKUP(B22, Equipo[email], Equipo[user]))</f>
        <v>avazquez</v>
      </c>
      <c r="D22" s="34" t="s">
        <v>61</v>
      </c>
      <c r="E22" s="34" t="s">
        <v>73</v>
      </c>
      <c r="F22" s="34" t="s">
        <v>69</v>
      </c>
      <c r="G22" s="34" t="s">
        <v>70</v>
      </c>
      <c r="H22" s="36" t="str">
        <f t="array" ref="H22">IF(EXACT(G22, ""), "", XLOOKUP(G22, Equipo[email], Equipo[user]))</f>
        <v>jenriquez</v>
      </c>
      <c r="I22" s="36">
        <v>100.0</v>
      </c>
    </row>
    <row r="23" ht="22.5" customHeight="1">
      <c r="A23" s="34" t="s">
        <v>102</v>
      </c>
      <c r="B23" s="34" t="s">
        <v>103</v>
      </c>
      <c r="C23" s="34" t="str">
        <f t="array" ref="C23">IF(EXACT(B23, ""), "", XLOOKUP(B23, Equipo[email], Equipo[user]))</f>
        <v>asierra</v>
      </c>
      <c r="D23" s="34" t="s">
        <v>61</v>
      </c>
      <c r="E23" s="34" t="s">
        <v>104</v>
      </c>
      <c r="F23" s="34" t="s">
        <v>69</v>
      </c>
      <c r="G23" s="34" t="s">
        <v>70</v>
      </c>
      <c r="H23" s="35" t="str">
        <f t="array" ref="H23">IF(EXACT(G23, ""), "", XLOOKUP(G23, Equipo[email], Equipo[user]))</f>
        <v>jenriquez</v>
      </c>
      <c r="I23" s="35">
        <v>100.0</v>
      </c>
    </row>
    <row r="24" ht="22.5" customHeight="1">
      <c r="A24" s="34" t="s">
        <v>105</v>
      </c>
      <c r="B24" s="34" t="s">
        <v>106</v>
      </c>
      <c r="C24" s="34" t="str">
        <f t="array" ref="C24">IF(EXACT(B24, ""), "", XLOOKUP(B24, Equipo[email], Equipo[user]))</f>
        <v>jpatino</v>
      </c>
      <c r="D24" s="34" t="s">
        <v>61</v>
      </c>
      <c r="E24" s="34" t="s">
        <v>65</v>
      </c>
      <c r="F24" s="34" t="s">
        <v>69</v>
      </c>
      <c r="G24" s="34" t="s">
        <v>70</v>
      </c>
      <c r="H24" s="35" t="str">
        <f t="array" ref="H24">IF(EXACT(G24, ""), "", XLOOKUP(G24, Equipo[email], Equipo[user]))</f>
        <v>jenriquez</v>
      </c>
      <c r="I24" s="35">
        <v>100.0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29.13"/>
    <col customWidth="1" min="3" max="3" width="17.88"/>
    <col customWidth="1" min="4" max="4" width="19.63"/>
    <col customWidth="1" min="5" max="5" width="12.75"/>
    <col customWidth="1" min="6" max="6" width="12.13"/>
    <col customWidth="1" min="7" max="7" width="19.5"/>
    <col customWidth="1" min="8" max="8" width="20.63"/>
    <col customWidth="1" min="9" max="9" width="15.63"/>
    <col customWidth="1" min="10" max="10" width="25.88"/>
    <col customWidth="1" hidden="1" min="11" max="11" width="25.88"/>
  </cols>
  <sheetData>
    <row r="1" ht="22.5" customHeight="1">
      <c r="A1" s="38" t="s">
        <v>29</v>
      </c>
      <c r="B1" s="39" t="s">
        <v>27</v>
      </c>
      <c r="C1" s="38" t="s">
        <v>28</v>
      </c>
      <c r="D1" s="38" t="s">
        <v>107</v>
      </c>
      <c r="E1" s="40" t="s">
        <v>108</v>
      </c>
      <c r="F1" s="38" t="s">
        <v>109</v>
      </c>
      <c r="G1" s="39" t="s">
        <v>110</v>
      </c>
      <c r="H1" s="38" t="s">
        <v>30</v>
      </c>
      <c r="I1" s="38" t="s">
        <v>31</v>
      </c>
      <c r="J1" s="39" t="s">
        <v>32</v>
      </c>
      <c r="K1" s="39" t="s">
        <v>111</v>
      </c>
    </row>
    <row r="2" ht="22.5" customHeight="1">
      <c r="A2" s="41">
        <v>1.0</v>
      </c>
      <c r="B2" s="42" t="s">
        <v>71</v>
      </c>
      <c r="C2" s="41" t="s">
        <v>72</v>
      </c>
      <c r="D2" s="43" t="s">
        <v>112</v>
      </c>
      <c r="E2" s="42" t="s">
        <v>113</v>
      </c>
      <c r="F2" s="41" t="str">
        <f t="shared" ref="F2:F35" si="1">SUBSTITUTE(C2, "@bit.lat", "")</f>
        <v>aserrano</v>
      </c>
      <c r="G2" s="42" t="s">
        <v>73</v>
      </c>
      <c r="H2" s="44" t="s">
        <v>61</v>
      </c>
      <c r="I2" s="41" t="s">
        <v>114</v>
      </c>
      <c r="J2" s="42" t="s">
        <v>69</v>
      </c>
      <c r="K2" s="42" t="str">
        <f>IFERROR(__xludf.DUMMYFUNCTION("IF(EXACT(J2, """"), """", XLOOKUP(TRIM(SPLIT(J2, "","")), Equipo[nombre], Equipo[user], """"))"),"jenriquez")</f>
        <v>jenriquez</v>
      </c>
    </row>
    <row r="3" ht="22.5" customHeight="1">
      <c r="A3" s="41">
        <v>2.0</v>
      </c>
      <c r="B3" s="42" t="s">
        <v>83</v>
      </c>
      <c r="C3" s="41" t="s">
        <v>84</v>
      </c>
      <c r="D3" s="43" t="s">
        <v>115</v>
      </c>
      <c r="E3" s="42" t="s">
        <v>116</v>
      </c>
      <c r="F3" s="41" t="str">
        <f t="shared" si="1"/>
        <v>alara</v>
      </c>
      <c r="G3" s="42" t="s">
        <v>73</v>
      </c>
      <c r="H3" s="44" t="s">
        <v>61</v>
      </c>
      <c r="I3" s="41" t="s">
        <v>114</v>
      </c>
      <c r="J3" s="42" t="s">
        <v>69</v>
      </c>
      <c r="K3" s="42" t="str">
        <f>IFERROR(__xludf.DUMMYFUNCTION("IF(EXACT(J3, """"), """", XLOOKUP(TRIM(SPLIT(J3, "","")), Equipo[nombre], Equipo[user], """"))"),"jenriquez")</f>
        <v>jenriquez</v>
      </c>
    </row>
    <row r="4" ht="22.5" customHeight="1">
      <c r="A4" s="41">
        <v>3.0</v>
      </c>
      <c r="B4" s="42" t="s">
        <v>46</v>
      </c>
      <c r="C4" s="41" t="s">
        <v>47</v>
      </c>
      <c r="D4" s="43" t="s">
        <v>117</v>
      </c>
      <c r="E4" s="42" t="s">
        <v>118</v>
      </c>
      <c r="F4" s="41" t="str">
        <f t="shared" si="1"/>
        <v>aaguilar</v>
      </c>
      <c r="G4" s="42" t="s">
        <v>49</v>
      </c>
      <c r="H4" s="44" t="s">
        <v>48</v>
      </c>
      <c r="I4" s="41" t="s">
        <v>119</v>
      </c>
      <c r="J4" s="42" t="s">
        <v>40</v>
      </c>
      <c r="K4" s="42" t="str">
        <f>IFERROR(__xludf.DUMMYFUNCTION("IF(EXACT(J4, """"), """", XLOOKUP(TRIM(SPLIT(J4, "","")), Equipo[nombre], Equipo[user], """"))"),"fgonzalez")</f>
        <v>fgonzalez</v>
      </c>
    </row>
    <row r="5" ht="22.5" customHeight="1">
      <c r="A5" s="41">
        <v>4.0</v>
      </c>
      <c r="B5" s="42" t="s">
        <v>36</v>
      </c>
      <c r="C5" s="41" t="s">
        <v>37</v>
      </c>
      <c r="D5" s="43" t="s">
        <v>120</v>
      </c>
      <c r="E5" s="42" t="str">
        <f t="shared" ref="E5:E7" si="2">LEFT(B5,FIND(" ",B5) - 1)</f>
        <v>Dulce</v>
      </c>
      <c r="F5" s="41" t="str">
        <f t="shared" si="1"/>
        <v>dperez</v>
      </c>
      <c r="G5" s="42" t="s">
        <v>39</v>
      </c>
      <c r="H5" s="44" t="s">
        <v>38</v>
      </c>
      <c r="I5" s="41" t="s">
        <v>121</v>
      </c>
      <c r="J5" s="42" t="s">
        <v>40</v>
      </c>
      <c r="K5" s="42" t="str">
        <f>IFERROR(__xludf.DUMMYFUNCTION("IF(EXACT(J5, """"), """", XLOOKUP(TRIM(SPLIT(J5, "","")), Equipo[nombre], Equipo[user], """"))"),"fgonzalez")</f>
        <v>fgonzalez</v>
      </c>
    </row>
    <row r="6" ht="22.5" customHeight="1">
      <c r="A6" s="41">
        <v>5.0</v>
      </c>
      <c r="B6" s="42" t="s">
        <v>98</v>
      </c>
      <c r="C6" s="41" t="s">
        <v>99</v>
      </c>
      <c r="D6" s="43" t="s">
        <v>122</v>
      </c>
      <c r="E6" s="42" t="str">
        <f t="shared" si="2"/>
        <v>Edgar</v>
      </c>
      <c r="F6" s="41" t="str">
        <f t="shared" si="1"/>
        <v>etorres</v>
      </c>
      <c r="G6" s="42" t="s">
        <v>91</v>
      </c>
      <c r="H6" s="44" t="s">
        <v>61</v>
      </c>
      <c r="I6" s="41" t="s">
        <v>114</v>
      </c>
      <c r="J6" s="42" t="s">
        <v>69</v>
      </c>
      <c r="K6" s="42" t="str">
        <f>IFERROR(__xludf.DUMMYFUNCTION("IF(EXACT(J6, """"), """", XLOOKUP(TRIM(SPLIT(J6, "","")), Equipo[nombre], Equipo[user], """"))"),"jenriquez")</f>
        <v>jenriquez</v>
      </c>
    </row>
    <row r="7" ht="22.5" customHeight="1">
      <c r="A7" s="41">
        <v>6.0</v>
      </c>
      <c r="B7" s="42" t="s">
        <v>85</v>
      </c>
      <c r="C7" s="41" t="s">
        <v>86</v>
      </c>
      <c r="D7" s="43" t="s">
        <v>123</v>
      </c>
      <c r="E7" s="42" t="str">
        <f t="shared" si="2"/>
        <v>Emilio</v>
      </c>
      <c r="F7" s="41" t="str">
        <f t="shared" si="1"/>
        <v>econtreras</v>
      </c>
      <c r="G7" s="42" t="s">
        <v>82</v>
      </c>
      <c r="H7" s="44" t="s">
        <v>61</v>
      </c>
      <c r="I7" s="41" t="s">
        <v>124</v>
      </c>
      <c r="J7" s="42" t="s">
        <v>69</v>
      </c>
      <c r="K7" s="42" t="str">
        <f>IFERROR(__xludf.DUMMYFUNCTION("IF(EXACT(J7, """"), """", XLOOKUP(TRIM(SPLIT(J7, "","")), Equipo[nombre], Equipo[user], """"))"),"jenriquez")</f>
        <v>jenriquez</v>
      </c>
    </row>
    <row r="8" ht="22.5" customHeight="1">
      <c r="A8" s="41">
        <v>7.0</v>
      </c>
      <c r="B8" s="42" t="s">
        <v>42</v>
      </c>
      <c r="C8" s="41" t="s">
        <v>43</v>
      </c>
      <c r="D8" s="43" t="s">
        <v>125</v>
      </c>
      <c r="E8" s="42" t="s">
        <v>126</v>
      </c>
      <c r="F8" s="41" t="str">
        <f t="shared" si="1"/>
        <v>gmartinez</v>
      </c>
      <c r="G8" s="42" t="s">
        <v>45</v>
      </c>
      <c r="H8" s="44" t="s">
        <v>44</v>
      </c>
      <c r="I8" s="41" t="s">
        <v>127</v>
      </c>
      <c r="J8" s="42" t="s">
        <v>40</v>
      </c>
      <c r="K8" s="42" t="str">
        <f>IFERROR(__xludf.DUMMYFUNCTION("IF(EXACT(J8, """"), """", XLOOKUP(TRIM(SPLIT(J8, "","")), Equipo[nombre], Equipo[user], """"))"),"fgonzalez")</f>
        <v>fgonzalez</v>
      </c>
    </row>
    <row r="9" ht="22.5" customHeight="1">
      <c r="A9" s="41">
        <v>8.0</v>
      </c>
      <c r="B9" s="42" t="s">
        <v>80</v>
      </c>
      <c r="C9" s="41" t="s">
        <v>81</v>
      </c>
      <c r="D9" s="43" t="s">
        <v>128</v>
      </c>
      <c r="E9" s="42" t="str">
        <f>LEFT(B9,FIND(" ",B9) - 1)</f>
        <v>Gregorio</v>
      </c>
      <c r="F9" s="41" t="str">
        <f t="shared" si="1"/>
        <v>gguadarrama</v>
      </c>
      <c r="G9" s="42" t="s">
        <v>82</v>
      </c>
      <c r="H9" s="44" t="s">
        <v>61</v>
      </c>
      <c r="I9" s="41" t="s">
        <v>124</v>
      </c>
      <c r="J9" s="42" t="s">
        <v>69</v>
      </c>
      <c r="K9" s="42" t="str">
        <f>IFERROR(__xludf.DUMMYFUNCTION("IF(EXACT(J9, """"), """", XLOOKUP(TRIM(SPLIT(J9, "","")), Equipo[nombre], Equipo[user], """"))"),"jenriquez")</f>
        <v>jenriquez</v>
      </c>
    </row>
    <row r="10" ht="22.5" customHeight="1">
      <c r="A10" s="41">
        <v>9.0</v>
      </c>
      <c r="B10" s="42" t="s">
        <v>87</v>
      </c>
      <c r="C10" s="41" t="s">
        <v>88</v>
      </c>
      <c r="D10" s="43" t="s">
        <v>129</v>
      </c>
      <c r="E10" s="42" t="s">
        <v>130</v>
      </c>
      <c r="F10" s="41" t="str">
        <f t="shared" si="1"/>
        <v>henriquez</v>
      </c>
      <c r="G10" s="42" t="s">
        <v>82</v>
      </c>
      <c r="H10" s="44" t="s">
        <v>61</v>
      </c>
      <c r="I10" s="41" t="s">
        <v>124</v>
      </c>
      <c r="J10" s="42" t="s">
        <v>69</v>
      </c>
      <c r="K10" s="42" t="str">
        <f>IFERROR(__xludf.DUMMYFUNCTION("IF(EXACT(J10, """"), """", XLOOKUP(TRIM(SPLIT(J10, "","")), Equipo[nombre], Equipo[user], """"))"),"jenriquez")</f>
        <v>jenriquez</v>
      </c>
    </row>
    <row r="11" ht="22.5" customHeight="1">
      <c r="A11" s="41">
        <v>10.0</v>
      </c>
      <c r="B11" s="42" t="s">
        <v>94</v>
      </c>
      <c r="C11" s="41" t="s">
        <v>95</v>
      </c>
      <c r="D11" s="43" t="s">
        <v>131</v>
      </c>
      <c r="E11" s="42" t="str">
        <f>LEFT(B11,FIND(" ",B11) - 1)</f>
        <v>Jasiel</v>
      </c>
      <c r="F11" s="41" t="str">
        <f t="shared" si="1"/>
        <v>jlopez</v>
      </c>
      <c r="G11" s="42" t="s">
        <v>73</v>
      </c>
      <c r="H11" s="44" t="s">
        <v>61</v>
      </c>
      <c r="I11" s="41" t="s">
        <v>114</v>
      </c>
      <c r="J11" s="42" t="s">
        <v>69</v>
      </c>
      <c r="K11" s="42" t="str">
        <f>IFERROR(__xludf.DUMMYFUNCTION("IF(EXACT(J11, """"), """", XLOOKUP(TRIM(SPLIT(J11, "","")), Equipo[nombre], Equipo[user], """"))"),"jenriquez")</f>
        <v>jenriquez</v>
      </c>
    </row>
    <row r="12" ht="22.5" customHeight="1">
      <c r="A12" s="41">
        <v>11.0</v>
      </c>
      <c r="B12" s="42" t="s">
        <v>102</v>
      </c>
      <c r="C12" s="41" t="s">
        <v>103</v>
      </c>
      <c r="D12" s="43" t="s">
        <v>132</v>
      </c>
      <c r="E12" s="42" t="s">
        <v>133</v>
      </c>
      <c r="F12" s="41" t="str">
        <f t="shared" si="1"/>
        <v>asierra</v>
      </c>
      <c r="G12" s="42" t="s">
        <v>104</v>
      </c>
      <c r="H12" s="44" t="s">
        <v>61</v>
      </c>
      <c r="I12" s="41" t="s">
        <v>127</v>
      </c>
      <c r="J12" s="42" t="s">
        <v>69</v>
      </c>
      <c r="K12" s="42" t="str">
        <f>IFERROR(__xludf.DUMMYFUNCTION("IF(EXACT(J12, """"), """", XLOOKUP(TRIM(SPLIT(J12, "","")), Equipo[nombre], Equipo[user], """"))"),"jenriquez")</f>
        <v>jenriquez</v>
      </c>
    </row>
    <row r="13" ht="22.5" customHeight="1">
      <c r="A13" s="41">
        <v>12.0</v>
      </c>
      <c r="B13" s="42" t="s">
        <v>89</v>
      </c>
      <c r="C13" s="41" t="s">
        <v>90</v>
      </c>
      <c r="D13" s="43" t="s">
        <v>134</v>
      </c>
      <c r="E13" s="42" t="s">
        <v>135</v>
      </c>
      <c r="F13" s="41" t="str">
        <f t="shared" si="1"/>
        <v>ameza</v>
      </c>
      <c r="G13" s="42" t="s">
        <v>91</v>
      </c>
      <c r="H13" s="44" t="s">
        <v>61</v>
      </c>
      <c r="I13" s="41" t="s">
        <v>114</v>
      </c>
      <c r="J13" s="42" t="s">
        <v>69</v>
      </c>
      <c r="K13" s="42" t="str">
        <f>IFERROR(__xludf.DUMMYFUNCTION("IF(EXACT(J13, """"), """", XLOOKUP(TRIM(SPLIT(J13, "","")), Equipo[nombre], Equipo[user], """"))"),"jenriquez")</f>
        <v>jenriquez</v>
      </c>
    </row>
    <row r="14" ht="22.5" customHeight="1">
      <c r="A14" s="41">
        <v>13.0</v>
      </c>
      <c r="B14" s="42" t="s">
        <v>105</v>
      </c>
      <c r="C14" s="41" t="s">
        <v>106</v>
      </c>
      <c r="D14" s="43" t="s">
        <v>136</v>
      </c>
      <c r="E14" s="42" t="str">
        <f>LEFT(B14,FIND(" ",B14) - 1)</f>
        <v>Josue</v>
      </c>
      <c r="F14" s="41" t="str">
        <f t="shared" si="1"/>
        <v>jpatino</v>
      </c>
      <c r="G14" s="42" t="s">
        <v>65</v>
      </c>
      <c r="H14" s="44" t="s">
        <v>61</v>
      </c>
      <c r="I14" s="41" t="s">
        <v>137</v>
      </c>
      <c r="J14" s="42" t="s">
        <v>69</v>
      </c>
      <c r="K14" s="42" t="str">
        <f>IFERROR(__xludf.DUMMYFUNCTION("IF(EXACT(J14, """"), """", XLOOKUP(TRIM(SPLIT(J14, "","")), Equipo[nombre], Equipo[user], """"))"),"jenriquez")</f>
        <v>jenriquez</v>
      </c>
    </row>
    <row r="15" ht="22.5" customHeight="1">
      <c r="A15" s="41">
        <v>14.0</v>
      </c>
      <c r="B15" s="42" t="s">
        <v>96</v>
      </c>
      <c r="C15" s="41" t="s">
        <v>97</v>
      </c>
      <c r="D15" s="43" t="s">
        <v>138</v>
      </c>
      <c r="E15" s="42" t="s">
        <v>139</v>
      </c>
      <c r="F15" s="41" t="str">
        <f t="shared" si="1"/>
        <v>jrojas</v>
      </c>
      <c r="G15" s="42" t="s">
        <v>73</v>
      </c>
      <c r="H15" s="44" t="s">
        <v>61</v>
      </c>
      <c r="I15" s="41" t="s">
        <v>114</v>
      </c>
      <c r="J15" s="42" t="s">
        <v>69</v>
      </c>
      <c r="K15" s="42" t="str">
        <f>IFERROR(__xludf.DUMMYFUNCTION("IF(EXACT(J15, """"), """", XLOOKUP(TRIM(SPLIT(J15, "","")), Equipo[nombre], Equipo[user], """"))"),"jenriquez")</f>
        <v>jenriquez</v>
      </c>
    </row>
    <row r="16" ht="22.5" customHeight="1">
      <c r="A16" s="41">
        <v>15.0</v>
      </c>
      <c r="B16" s="42" t="s">
        <v>92</v>
      </c>
      <c r="C16" s="41" t="s">
        <v>93</v>
      </c>
      <c r="D16" s="43" t="s">
        <v>140</v>
      </c>
      <c r="E16" s="42" t="str">
        <f t="shared" ref="E16:E21" si="3">LEFT(B16,FIND(" ",B16) - 1)</f>
        <v>Luis</v>
      </c>
      <c r="F16" s="41" t="str">
        <f t="shared" si="1"/>
        <v>lbernal</v>
      </c>
      <c r="G16" s="42" t="s">
        <v>68</v>
      </c>
      <c r="H16" s="44" t="s">
        <v>61</v>
      </c>
      <c r="I16" s="41" t="s">
        <v>137</v>
      </c>
      <c r="J16" s="42" t="s">
        <v>69</v>
      </c>
      <c r="K16" s="42" t="str">
        <f>IFERROR(__xludf.DUMMYFUNCTION("IF(EXACT(J16, """"), """", XLOOKUP(TRIM(SPLIT(J16, "","")), Equipo[nombre], Equipo[user], """"))"),"jenriquez")</f>
        <v>jenriquez</v>
      </c>
    </row>
    <row r="17" ht="22.5" customHeight="1">
      <c r="A17" s="41">
        <v>16.0</v>
      </c>
      <c r="B17" s="42" t="s">
        <v>77</v>
      </c>
      <c r="C17" s="41" t="s">
        <v>78</v>
      </c>
      <c r="D17" s="43" t="s">
        <v>141</v>
      </c>
      <c r="E17" s="42" t="str">
        <f t="shared" si="3"/>
        <v>Mario</v>
      </c>
      <c r="F17" s="41" t="str">
        <f t="shared" si="1"/>
        <v>mramirez</v>
      </c>
      <c r="G17" s="42" t="s">
        <v>79</v>
      </c>
      <c r="H17" s="44" t="s">
        <v>61</v>
      </c>
      <c r="I17" s="41" t="s">
        <v>127</v>
      </c>
      <c r="J17" s="42" t="s">
        <v>69</v>
      </c>
      <c r="K17" s="42" t="str">
        <f>IFERROR(__xludf.DUMMYFUNCTION("IF(EXACT(J17, """"), """", XLOOKUP(TRIM(SPLIT(J17, "","")), Equipo[nombre], Equipo[user], """"))"),"jenriquez")</f>
        <v>jenriquez</v>
      </c>
    </row>
    <row r="18" ht="22.5" customHeight="1">
      <c r="A18" s="41">
        <v>17.0</v>
      </c>
      <c r="B18" s="42" t="s">
        <v>66</v>
      </c>
      <c r="C18" s="41" t="s">
        <v>67</v>
      </c>
      <c r="D18" s="43" t="s">
        <v>142</v>
      </c>
      <c r="E18" s="42" t="str">
        <f t="shared" si="3"/>
        <v>Raúl</v>
      </c>
      <c r="F18" s="41" t="str">
        <f t="shared" si="1"/>
        <v>rbernal</v>
      </c>
      <c r="G18" s="42" t="s">
        <v>68</v>
      </c>
      <c r="H18" s="44" t="s">
        <v>61</v>
      </c>
      <c r="I18" s="41" t="s">
        <v>137</v>
      </c>
      <c r="J18" s="42" t="s">
        <v>69</v>
      </c>
      <c r="K18" s="42" t="str">
        <f>IFERROR(__xludf.DUMMYFUNCTION("IF(EXACT(J18, """"), """", XLOOKUP(TRIM(SPLIT(J18, "","")), Equipo[nombre], Equipo[user], """"))"),"jenriquez")</f>
        <v>jenriquez</v>
      </c>
    </row>
    <row r="19" ht="22.5" customHeight="1">
      <c r="A19" s="41">
        <v>18.0</v>
      </c>
      <c r="B19" s="42" t="s">
        <v>100</v>
      </c>
      <c r="C19" s="41" t="s">
        <v>101</v>
      </c>
      <c r="D19" s="43" t="s">
        <v>143</v>
      </c>
      <c r="E19" s="42" t="str">
        <f t="shared" si="3"/>
        <v>Alejandro</v>
      </c>
      <c r="F19" s="41" t="str">
        <f t="shared" si="1"/>
        <v>avazquez</v>
      </c>
      <c r="G19" s="42" t="s">
        <v>73</v>
      </c>
      <c r="H19" s="44" t="s">
        <v>61</v>
      </c>
      <c r="I19" s="41" t="s">
        <v>127</v>
      </c>
      <c r="J19" s="42" t="s">
        <v>69</v>
      </c>
      <c r="K19" s="42" t="str">
        <f>IFERROR(__xludf.DUMMYFUNCTION("IF(EXACT(J19, """"), """", XLOOKUP(TRIM(SPLIT(J19, "","")), Equipo[nombre], Equipo[user], """"))"),"jenriquez")</f>
        <v>jenriquez</v>
      </c>
    </row>
    <row r="20" ht="22.5" customHeight="1">
      <c r="A20" s="41">
        <v>19.0</v>
      </c>
      <c r="B20" s="42" t="s">
        <v>144</v>
      </c>
      <c r="C20" s="41" t="s">
        <v>145</v>
      </c>
      <c r="D20" s="43" t="s">
        <v>144</v>
      </c>
      <c r="E20" s="42" t="str">
        <f t="shared" si="3"/>
        <v>Angel</v>
      </c>
      <c r="F20" s="41" t="str">
        <f t="shared" si="1"/>
        <v>amorales</v>
      </c>
      <c r="G20" s="42" t="s">
        <v>73</v>
      </c>
      <c r="H20" s="44" t="s">
        <v>61</v>
      </c>
      <c r="I20" s="41" t="s">
        <v>114</v>
      </c>
      <c r="J20" s="42" t="s">
        <v>53</v>
      </c>
      <c r="K20" s="42" t="str">
        <f>IFERROR(__xludf.DUMMYFUNCTION("IF(EXACT(J20, """"), """", XLOOKUP(TRIM(SPLIT(J20, "","")), Equipo[nombre], Equipo[user], """"))"),"fgonzalezr")</f>
        <v>fgonzalezr</v>
      </c>
    </row>
    <row r="21" ht="22.5" customHeight="1">
      <c r="A21" s="41">
        <v>20.0</v>
      </c>
      <c r="B21" s="42" t="s">
        <v>146</v>
      </c>
      <c r="C21" s="41" t="s">
        <v>147</v>
      </c>
      <c r="D21" s="43" t="s">
        <v>146</v>
      </c>
      <c r="E21" s="42" t="str">
        <f t="shared" si="3"/>
        <v>Carlos</v>
      </c>
      <c r="F21" s="41" t="str">
        <f t="shared" si="1"/>
        <v>czamudio</v>
      </c>
      <c r="G21" s="42" t="s">
        <v>49</v>
      </c>
      <c r="H21" s="44" t="s">
        <v>48</v>
      </c>
      <c r="I21" s="41" t="s">
        <v>119</v>
      </c>
      <c r="J21" s="42" t="s">
        <v>50</v>
      </c>
      <c r="K21" s="42" t="str">
        <f>IFERROR(__xludf.DUMMYFUNCTION("IF(EXACT(J21, """"), """", XLOOKUP(TRIM(SPLIT(J21, "","")), Equipo[nombre], Equipo[user], """"))"),"hloredo")</f>
        <v>hloredo</v>
      </c>
    </row>
    <row r="22" ht="22.5" customHeight="1">
      <c r="A22" s="41">
        <v>21.0</v>
      </c>
      <c r="B22" s="42" t="s">
        <v>55</v>
      </c>
      <c r="C22" s="41" t="s">
        <v>56</v>
      </c>
      <c r="D22" s="43" t="s">
        <v>148</v>
      </c>
      <c r="E22" s="42" t="s">
        <v>149</v>
      </c>
      <c r="F22" s="41" t="str">
        <f t="shared" si="1"/>
        <v>dgonzalez</v>
      </c>
      <c r="G22" s="42" t="s">
        <v>49</v>
      </c>
      <c r="H22" s="44" t="s">
        <v>48</v>
      </c>
      <c r="I22" s="41" t="s">
        <v>119</v>
      </c>
      <c r="J22" s="42" t="s">
        <v>57</v>
      </c>
      <c r="K22" s="42" t="str">
        <f>IFERROR(__xludf.DUMMYFUNCTION("IF(EXACT(J22, """"), """", XLOOKUP(TRIM(SPLIT(J22, "","")), Equipo[nombre], Equipo[user], """"))"),"rcuevas")</f>
        <v>rcuevas</v>
      </c>
    </row>
    <row r="23" ht="22.5" customHeight="1">
      <c r="A23" s="41">
        <v>22.0</v>
      </c>
      <c r="B23" s="42" t="s">
        <v>50</v>
      </c>
      <c r="C23" s="41" t="s">
        <v>51</v>
      </c>
      <c r="D23" s="43" t="s">
        <v>150</v>
      </c>
      <c r="E23" s="42" t="s">
        <v>151</v>
      </c>
      <c r="F23" s="41" t="str">
        <f t="shared" si="1"/>
        <v>hloredo</v>
      </c>
      <c r="G23" s="42" t="s">
        <v>52</v>
      </c>
      <c r="H23" s="44" t="s">
        <v>48</v>
      </c>
      <c r="I23" s="41" t="s">
        <v>152</v>
      </c>
      <c r="J23" s="42" t="s">
        <v>53</v>
      </c>
      <c r="K23" s="42" t="str">
        <f>IFERROR(__xludf.DUMMYFUNCTION("IF(EXACT(J23, """"), """", XLOOKUP(TRIM(SPLIT(J23, "","")), Equipo[nombre], Equipo[user], """"))"),"fgonzalezr")</f>
        <v>fgonzalezr</v>
      </c>
    </row>
    <row r="24" ht="22.5" customHeight="1">
      <c r="A24" s="41">
        <v>23.0</v>
      </c>
      <c r="B24" s="42" t="s">
        <v>153</v>
      </c>
      <c r="C24" s="41" t="s">
        <v>154</v>
      </c>
      <c r="D24" s="43" t="s">
        <v>153</v>
      </c>
      <c r="E24" s="42" t="str">
        <f>LEFT(B24,FIND(" ",B24) - 1)</f>
        <v>Edin</v>
      </c>
      <c r="F24" s="41" t="str">
        <f t="shared" si="1"/>
        <v>eramirez</v>
      </c>
      <c r="G24" s="42" t="s">
        <v>155</v>
      </c>
      <c r="H24" s="44" t="s">
        <v>48</v>
      </c>
      <c r="I24" s="41" t="s">
        <v>156</v>
      </c>
      <c r="J24" s="42" t="s">
        <v>53</v>
      </c>
      <c r="K24" s="42" t="str">
        <f>IFERROR(__xludf.DUMMYFUNCTION("IF(EXACT(J24, """"), """", XLOOKUP(TRIM(SPLIT(J24, "","")), Equipo[nombre], Equipo[user], """"))"),"fgonzalezr")</f>
        <v>fgonzalezr</v>
      </c>
    </row>
    <row r="25" ht="22.5" customHeight="1">
      <c r="A25" s="41">
        <v>24.0</v>
      </c>
      <c r="B25" s="42" t="s">
        <v>63</v>
      </c>
      <c r="C25" s="41" t="s">
        <v>64</v>
      </c>
      <c r="D25" s="43" t="s">
        <v>157</v>
      </c>
      <c r="E25" s="42" t="s">
        <v>158</v>
      </c>
      <c r="F25" s="41" t="str">
        <f t="shared" si="1"/>
        <v>emontano</v>
      </c>
      <c r="G25" s="42" t="s">
        <v>65</v>
      </c>
      <c r="H25" s="44" t="s">
        <v>61</v>
      </c>
      <c r="I25" s="41" t="s">
        <v>137</v>
      </c>
      <c r="J25" s="42" t="s">
        <v>53</v>
      </c>
      <c r="K25" s="42" t="str">
        <f>IFERROR(__xludf.DUMMYFUNCTION("IF(EXACT(J25, """"), """", XLOOKUP(TRIM(SPLIT(J25, "","")), Equipo[nombre], Equipo[user], """"))"),"fgonzalezr")</f>
        <v>fgonzalezr</v>
      </c>
    </row>
    <row r="26" ht="22.5" customHeight="1">
      <c r="A26" s="41">
        <v>25.0</v>
      </c>
      <c r="B26" s="42" t="s">
        <v>59</v>
      </c>
      <c r="C26" s="41" t="s">
        <v>60</v>
      </c>
      <c r="D26" s="43" t="s">
        <v>159</v>
      </c>
      <c r="E26" s="42" t="str">
        <f>LEFT(B26,FIND(" ",B26) - 1)</f>
        <v>Erithan</v>
      </c>
      <c r="F26" s="41" t="str">
        <f t="shared" si="1"/>
        <v>egonzalez</v>
      </c>
      <c r="G26" s="42" t="s">
        <v>62</v>
      </c>
      <c r="H26" s="44" t="s">
        <v>61</v>
      </c>
      <c r="I26" s="41" t="s">
        <v>160</v>
      </c>
      <c r="J26" s="42" t="s">
        <v>40</v>
      </c>
      <c r="K26" s="42" t="str">
        <f>IFERROR(__xludf.DUMMYFUNCTION("IF(EXACT(J26, """"), """", XLOOKUP(TRIM(SPLIT(J26, "","")), Equipo[nombre], Equipo[user], """"))"),"fgonzalez")</f>
        <v>fgonzalez</v>
      </c>
    </row>
    <row r="27" ht="22.5" customHeight="1">
      <c r="A27" s="41">
        <v>26.0</v>
      </c>
      <c r="B27" s="42" t="s">
        <v>74</v>
      </c>
      <c r="C27" s="41" t="s">
        <v>75</v>
      </c>
      <c r="D27" s="43" t="s">
        <v>161</v>
      </c>
      <c r="E27" s="42" t="s">
        <v>162</v>
      </c>
      <c r="F27" s="41" t="str">
        <f t="shared" si="1"/>
        <v>lolvera</v>
      </c>
      <c r="G27" s="42" t="s">
        <v>76</v>
      </c>
      <c r="H27" s="44" t="s">
        <v>61</v>
      </c>
      <c r="I27" s="41" t="s">
        <v>114</v>
      </c>
      <c r="J27" s="42" t="s">
        <v>69</v>
      </c>
      <c r="K27" s="42" t="str">
        <f>IFERROR(__xludf.DUMMYFUNCTION("IF(EXACT(J27, """"), """", XLOOKUP(TRIM(SPLIT(J27, "","")), Equipo[nombre], Equipo[user], """"))"),"jenriquez")</f>
        <v>jenriquez</v>
      </c>
    </row>
    <row r="28" ht="22.5" customHeight="1">
      <c r="A28" s="41">
        <v>27.0</v>
      </c>
      <c r="B28" s="42" t="s">
        <v>163</v>
      </c>
      <c r="C28" s="41" t="s">
        <v>164</v>
      </c>
      <c r="D28" s="43" t="s">
        <v>165</v>
      </c>
      <c r="E28" s="42" t="s">
        <v>166</v>
      </c>
      <c r="F28" s="41" t="str">
        <f t="shared" si="1"/>
        <v>nmejia</v>
      </c>
      <c r="G28" s="42" t="s">
        <v>49</v>
      </c>
      <c r="H28" s="44" t="s">
        <v>48</v>
      </c>
      <c r="I28" s="41" t="s">
        <v>119</v>
      </c>
      <c r="J28" s="42" t="s">
        <v>57</v>
      </c>
      <c r="K28" s="42" t="str">
        <f>IFERROR(__xludf.DUMMYFUNCTION("IF(EXACT(J28, """"), """", XLOOKUP(TRIM(SPLIT(J28, "","")), Equipo[nombre], Equipo[user], """"))"),"rcuevas")</f>
        <v>rcuevas</v>
      </c>
    </row>
    <row r="29" ht="22.5" customHeight="1">
      <c r="A29" s="41">
        <v>28.0</v>
      </c>
      <c r="B29" s="42" t="s">
        <v>167</v>
      </c>
      <c r="C29" s="41" t="s">
        <v>168</v>
      </c>
      <c r="D29" s="43" t="s">
        <v>167</v>
      </c>
      <c r="E29" s="42" t="s">
        <v>169</v>
      </c>
      <c r="F29" s="41" t="str">
        <f t="shared" si="1"/>
        <v>rescobar</v>
      </c>
      <c r="G29" s="42" t="s">
        <v>91</v>
      </c>
      <c r="H29" s="44" t="s">
        <v>61</v>
      </c>
      <c r="I29" s="41" t="s">
        <v>170</v>
      </c>
      <c r="J29" s="42" t="s">
        <v>69</v>
      </c>
      <c r="K29" s="42" t="str">
        <f>IFERROR(__xludf.DUMMYFUNCTION("IF(EXACT(J29, """"), """", XLOOKUP(TRIM(SPLIT(J29, "","")), Equipo[nombre], Equipo[user], """"))"),"jenriquez")</f>
        <v>jenriquez</v>
      </c>
    </row>
    <row r="30" ht="22.5" customHeight="1">
      <c r="A30" s="41">
        <v>29.0</v>
      </c>
      <c r="B30" s="42" t="s">
        <v>57</v>
      </c>
      <c r="C30" s="41" t="s">
        <v>58</v>
      </c>
      <c r="D30" s="43" t="s">
        <v>171</v>
      </c>
      <c r="E30" s="42" t="s">
        <v>172</v>
      </c>
      <c r="F30" s="41" t="str">
        <f t="shared" si="1"/>
        <v>rcuevas</v>
      </c>
      <c r="G30" s="42" t="s">
        <v>65</v>
      </c>
      <c r="H30" s="44" t="s">
        <v>61</v>
      </c>
      <c r="I30" s="41" t="s">
        <v>137</v>
      </c>
      <c r="J30" s="42" t="s">
        <v>53</v>
      </c>
      <c r="K30" s="42" t="str">
        <f>IFERROR(__xludf.DUMMYFUNCTION("IF(EXACT(J30, """"), """", XLOOKUP(TRIM(SPLIT(J30, "","")), Equipo[nombre], Equipo[user], """"))"),"fgonzalezr")</f>
        <v>fgonzalezr</v>
      </c>
    </row>
    <row r="31" ht="22.5" customHeight="1">
      <c r="A31" s="41">
        <v>30.0</v>
      </c>
      <c r="B31" s="42" t="s">
        <v>69</v>
      </c>
      <c r="C31" s="41" t="s">
        <v>70</v>
      </c>
      <c r="D31" s="43" t="s">
        <v>173</v>
      </c>
      <c r="E31" s="42" t="s">
        <v>174</v>
      </c>
      <c r="F31" s="41" t="str">
        <f t="shared" si="1"/>
        <v>jenriquez</v>
      </c>
      <c r="G31" s="42" t="s">
        <v>65</v>
      </c>
      <c r="H31" s="44" t="s">
        <v>61</v>
      </c>
      <c r="I31" s="41" t="s">
        <v>137</v>
      </c>
      <c r="J31" s="42" t="s">
        <v>53</v>
      </c>
      <c r="K31" s="42" t="str">
        <f>IFERROR(__xludf.DUMMYFUNCTION("IF(EXACT(J31, """"), """", XLOOKUP(TRIM(SPLIT(J31, "","")), Equipo[nombre], Equipo[user], """"))"),"fgonzalezr")</f>
        <v>fgonzalezr</v>
      </c>
    </row>
    <row r="32" ht="22.5" customHeight="1">
      <c r="A32" s="41">
        <v>31.0</v>
      </c>
      <c r="B32" s="42" t="s">
        <v>40</v>
      </c>
      <c r="C32" s="41" t="s">
        <v>41</v>
      </c>
      <c r="D32" s="43" t="s">
        <v>175</v>
      </c>
      <c r="E32" s="42" t="str">
        <f t="shared" ref="E32:E34" si="4">LEFT(B32,FIND(" ",B32) - 1)</f>
        <v>Favio</v>
      </c>
      <c r="F32" s="41" t="str">
        <f t="shared" si="1"/>
        <v>fgonzalez</v>
      </c>
      <c r="G32" s="42" t="s">
        <v>176</v>
      </c>
      <c r="H32" s="44" t="s">
        <v>48</v>
      </c>
      <c r="I32" s="41" t="s">
        <v>177</v>
      </c>
      <c r="J32" s="42" t="s">
        <v>178</v>
      </c>
      <c r="K32" s="42" t="str">
        <f>IFERROR(__xludf.DUMMYFUNCTION("IF(EXACT(J32, """"), """", XLOOKUP(TRIM(SPLIT(J32, "","")), Equipo[nombre], Equipo[user], """"))"),"earzate")</f>
        <v>earzate</v>
      </c>
    </row>
    <row r="33" ht="22.5" customHeight="1">
      <c r="A33" s="41">
        <v>32.0</v>
      </c>
      <c r="B33" s="42" t="s">
        <v>53</v>
      </c>
      <c r="C33" s="41" t="s">
        <v>54</v>
      </c>
      <c r="D33" s="43" t="s">
        <v>179</v>
      </c>
      <c r="E33" s="42" t="str">
        <f t="shared" si="4"/>
        <v>Fabian</v>
      </c>
      <c r="F33" s="41" t="str">
        <f t="shared" si="1"/>
        <v>fgonzalezr</v>
      </c>
      <c r="G33" s="42" t="s">
        <v>180</v>
      </c>
      <c r="H33" s="44" t="s">
        <v>48</v>
      </c>
      <c r="I33" s="41" t="s">
        <v>181</v>
      </c>
      <c r="J33" s="42" t="s">
        <v>178</v>
      </c>
      <c r="K33" s="42" t="str">
        <f>IFERROR(__xludf.DUMMYFUNCTION("IF(EXACT(J33, """"), """", XLOOKUP(TRIM(SPLIT(J33, "","")), Equipo[nombre], Equipo[user], """"))"),"earzate")</f>
        <v>earzate</v>
      </c>
    </row>
    <row r="34" ht="22.5" customHeight="1">
      <c r="A34" s="41">
        <v>33.0</v>
      </c>
      <c r="B34" s="42" t="s">
        <v>182</v>
      </c>
      <c r="C34" s="41" t="s">
        <v>183</v>
      </c>
      <c r="D34" s="45" t="s">
        <v>182</v>
      </c>
      <c r="E34" s="42" t="str">
        <f t="shared" si="4"/>
        <v>Maricruz</v>
      </c>
      <c r="F34" s="41" t="str">
        <f t="shared" si="1"/>
        <v>mhernandez</v>
      </c>
      <c r="G34" s="42"/>
      <c r="H34" s="44"/>
      <c r="I34" s="41"/>
      <c r="J34" s="42"/>
      <c r="K34" s="42" t="str">
        <f>IFERROR(__xludf.DUMMYFUNCTION("IF(EXACT(J34, """"), """", XLOOKUP(TRIM(SPLIT(J34, "","")), Equipo[nombre], Equipo[user], """"))"),"")</f>
        <v/>
      </c>
    </row>
    <row r="35" ht="22.5" customHeight="1">
      <c r="A35" s="41">
        <v>34.0</v>
      </c>
      <c r="B35" s="42" t="s">
        <v>184</v>
      </c>
      <c r="C35" s="41" t="s">
        <v>185</v>
      </c>
      <c r="D35" s="45" t="s">
        <v>186</v>
      </c>
      <c r="E35" s="42" t="s">
        <v>187</v>
      </c>
      <c r="F35" s="41" t="str">
        <f t="shared" si="1"/>
        <v>earzate</v>
      </c>
      <c r="G35" s="42"/>
      <c r="H35" s="44"/>
      <c r="I35" s="41" t="s">
        <v>188</v>
      </c>
      <c r="J35" s="42"/>
      <c r="K35" s="42" t="str">
        <f>IFERROR(__xludf.DUMMYFUNCTION("IF(EXACT(J35, """"), """", XLOOKUP(TRIM(SPLIT(J35, "","")), Equipo[nombre], Equipo[user], """"))"),"")</f>
        <v/>
      </c>
    </row>
  </sheetData>
  <dataValidations>
    <dataValidation type="list" allowBlank="1" sqref="H2:H35">
      <formula1>"Tech Ambition,Growth Experiences,Allies Networking,Analytics Solutions"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</hyperlinks>
  <drawing r:id="rId35"/>
  <tableParts count="1"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88"/>
    <col customWidth="1" min="2" max="2" width="7.38"/>
    <col customWidth="1" min="3" max="3" width="14.0"/>
    <col customWidth="1" min="4" max="4" width="24.38"/>
    <col customWidth="1" min="5" max="5" width="8.88"/>
    <col customWidth="1" min="6" max="7" width="15.88"/>
    <col customWidth="1" min="9" max="9" width="18.5"/>
    <col customWidth="1" min="10" max="10" width="19.25"/>
    <col customWidth="1" min="11" max="11" width="12.88"/>
    <col customWidth="1" min="12" max="12" width="15.63"/>
    <col customWidth="1" min="15" max="15" width="15.88"/>
    <col customWidth="1" min="17" max="19" width="15.0"/>
    <col customWidth="1" min="20" max="20" width="18.38"/>
    <col customWidth="1" min="25" max="27" width="16.63"/>
    <col customWidth="1" min="28" max="28" width="28.88"/>
    <col customWidth="1" min="29" max="29" width="13.63"/>
    <col customWidth="1" min="30" max="30" width="12.0"/>
    <col customWidth="1" min="31" max="31" width="11.13"/>
    <col customWidth="1" min="32" max="32" width="31.25"/>
    <col customWidth="1" min="33" max="34" width="27.38"/>
    <col customWidth="1" min="35" max="35" width="17.63"/>
  </cols>
  <sheetData>
    <row r="1" ht="22.5" customHeight="1">
      <c r="A1" s="46" t="s">
        <v>29</v>
      </c>
      <c r="B1" s="47" t="s">
        <v>189</v>
      </c>
      <c r="C1" s="41" t="s">
        <v>190</v>
      </c>
      <c r="D1" s="47" t="s">
        <v>27</v>
      </c>
      <c r="E1" s="47" t="s">
        <v>191</v>
      </c>
      <c r="F1" s="48" t="s">
        <v>192</v>
      </c>
      <c r="G1" s="48" t="s">
        <v>193</v>
      </c>
      <c r="H1" s="41" t="s">
        <v>194</v>
      </c>
      <c r="I1" s="41" t="s">
        <v>195</v>
      </c>
      <c r="J1" s="48" t="s">
        <v>196</v>
      </c>
      <c r="K1" s="48" t="s">
        <v>197</v>
      </c>
      <c r="L1" s="41" t="s">
        <v>198</v>
      </c>
      <c r="M1" s="41" t="s">
        <v>199</v>
      </c>
      <c r="N1" s="41" t="s">
        <v>200</v>
      </c>
      <c r="O1" s="49" t="s">
        <v>201</v>
      </c>
      <c r="P1" s="41" t="s">
        <v>202</v>
      </c>
      <c r="Q1" s="41" t="s">
        <v>203</v>
      </c>
      <c r="R1" s="48" t="s">
        <v>204</v>
      </c>
      <c r="S1" s="48" t="s">
        <v>205</v>
      </c>
      <c r="T1" s="41" t="s">
        <v>206</v>
      </c>
      <c r="U1" s="41" t="s">
        <v>207</v>
      </c>
      <c r="V1" s="48" t="s">
        <v>208</v>
      </c>
      <c r="W1" s="48" t="s">
        <v>209</v>
      </c>
      <c r="X1" s="41" t="s">
        <v>210</v>
      </c>
      <c r="Y1" s="48" t="s">
        <v>211</v>
      </c>
      <c r="Z1" s="41" t="s">
        <v>212</v>
      </c>
      <c r="AA1" s="48" t="s">
        <v>213</v>
      </c>
      <c r="AB1" s="48" t="s">
        <v>214</v>
      </c>
      <c r="AC1" s="48" t="s">
        <v>215</v>
      </c>
      <c r="AD1" s="48" t="s">
        <v>216</v>
      </c>
      <c r="AE1" s="48" t="s">
        <v>217</v>
      </c>
      <c r="AF1" s="48" t="s">
        <v>218</v>
      </c>
      <c r="AG1" s="49" t="s">
        <v>219</v>
      </c>
      <c r="AH1" s="49" t="s">
        <v>220</v>
      </c>
      <c r="AI1" s="48" t="s">
        <v>221</v>
      </c>
    </row>
    <row r="2" ht="22.5" customHeight="1">
      <c r="A2" s="41">
        <v>1002.0</v>
      </c>
      <c r="B2" s="50" t="s">
        <v>222</v>
      </c>
      <c r="C2" s="51" t="s">
        <v>223</v>
      </c>
      <c r="D2" s="52" t="s">
        <v>224</v>
      </c>
      <c r="E2" s="42" t="s">
        <v>225</v>
      </c>
      <c r="F2" s="41" t="s">
        <v>226</v>
      </c>
      <c r="G2" s="42" t="s">
        <v>227</v>
      </c>
      <c r="H2" s="41" t="s">
        <v>228</v>
      </c>
      <c r="I2" s="44" t="s">
        <v>229</v>
      </c>
      <c r="J2" s="44" t="s">
        <v>230</v>
      </c>
      <c r="K2" s="53">
        <v>0.9</v>
      </c>
      <c r="L2" s="44" t="s">
        <v>231</v>
      </c>
      <c r="M2" s="41" t="s">
        <v>226</v>
      </c>
      <c r="N2" s="44" t="s">
        <v>232</v>
      </c>
      <c r="O2" s="54" t="s">
        <v>233</v>
      </c>
      <c r="P2" s="41">
        <v>80.0</v>
      </c>
      <c r="Q2" s="55">
        <v>46082.0</v>
      </c>
      <c r="R2" s="55">
        <v>46113.0</v>
      </c>
      <c r="S2" s="55">
        <v>46113.0</v>
      </c>
      <c r="T2" s="55">
        <v>46142.0</v>
      </c>
      <c r="U2" s="41" t="s">
        <v>234</v>
      </c>
      <c r="V2" s="44" t="s">
        <v>151</v>
      </c>
      <c r="W2" s="56" t="str">
        <f t="array" ref="W2">IF(EXACT(V2, ""), "", XLOOKUP(V2, Equipo[nickname], Equipo[user]))</f>
        <v>hloredo</v>
      </c>
      <c r="X2" s="44" t="s">
        <v>149</v>
      </c>
      <c r="Y2" s="56" t="str">
        <f t="array" ref="Y2">IF(EXACT(X2, ""), "", XLOOKUP(X2, Equipo[nickname], Equipo[user]))</f>
        <v>dgonzalez</v>
      </c>
      <c r="Z2" s="56" t="s">
        <v>235</v>
      </c>
      <c r="AA2" s="56" t="str">
        <f>IFERROR(__xludf.DUMMYFUNCTION("IF(EXACT(Z2, """"), """", TEXTJOIN("", "", TRUE, ARRAYFORMULA(XLOOKUP(TRIM(SPLIT(Z2, "","")), Equipo[nickname], Equipo[user], """"))))"),"lbernal")</f>
        <v>lbernal</v>
      </c>
      <c r="AB2" s="56" t="s">
        <v>236</v>
      </c>
      <c r="AC2" s="41" t="str">
        <f>IFERROR(__xludf.DUMMYFUNCTION("IF(EXACT(AB2, """"), """", TEXTJOIN("", "", TRUE, ARRAYFORMULA(XLOOKUP(TRIM(SPLIT(AB2, "","")), Equipo[nickname], Equipo[user]))))"),"gguadarrama")</f>
        <v>gguadarrama</v>
      </c>
      <c r="AD2" s="44" t="s">
        <v>237</v>
      </c>
      <c r="AE2" s="41" t="str">
        <f>IFERROR(__xludf.DUMMYFUNCTION("IF(EXACT(AD2, """"), """", TEXTJOIN("", "", TRUE, ARRAYFORMULA(XLOOKUP(TRIM(SPLIT(AD2, "","")), Equipo[nickname], Equipo[user], """"))))"),"egonzalez")</f>
        <v>egonzalez</v>
      </c>
      <c r="AF2" s="56" t="s">
        <v>236</v>
      </c>
      <c r="AG2" s="57" t="str">
        <f>IFERROR(__xludf.DUMMYFUNCTION("IF(EXACT(AF2, """"), """", TEXTJOIN("", "", TRUE, ARRAYFORMULA(XLOOKUP(TRIM(SPLIT(AF2, "","")), Equipo[nickname], Equipo[user], """"))))"),"gguadarrama")</f>
        <v>gguadarrama</v>
      </c>
      <c r="AH2" s="57" t="s">
        <v>238</v>
      </c>
      <c r="AI2" s="58">
        <v>46162.0</v>
      </c>
    </row>
    <row r="3" ht="22.5" customHeight="1">
      <c r="A3" s="41">
        <v>1003.0</v>
      </c>
      <c r="B3" s="50" t="s">
        <v>239</v>
      </c>
      <c r="C3" s="41" t="s">
        <v>240</v>
      </c>
      <c r="D3" s="42" t="s">
        <v>241</v>
      </c>
      <c r="E3" s="42" t="s">
        <v>225</v>
      </c>
      <c r="F3" s="41" t="s">
        <v>226</v>
      </c>
      <c r="G3" s="42" t="s">
        <v>227</v>
      </c>
      <c r="H3" s="41" t="s">
        <v>228</v>
      </c>
      <c r="I3" s="44" t="s">
        <v>242</v>
      </c>
      <c r="J3" s="44" t="s">
        <v>243</v>
      </c>
      <c r="K3" s="53">
        <v>0.7</v>
      </c>
      <c r="L3" s="44" t="s">
        <v>244</v>
      </c>
      <c r="M3" s="41" t="s">
        <v>226</v>
      </c>
      <c r="N3" s="44" t="s">
        <v>245</v>
      </c>
      <c r="O3" s="59" t="s">
        <v>246</v>
      </c>
      <c r="P3" s="41">
        <v>1.0</v>
      </c>
      <c r="Q3" s="55">
        <v>46029.0</v>
      </c>
      <c r="R3" s="55">
        <v>46029.0</v>
      </c>
      <c r="S3" s="55">
        <v>46029.0</v>
      </c>
      <c r="T3" s="55">
        <v>46203.0</v>
      </c>
      <c r="U3" s="41" t="s">
        <v>234</v>
      </c>
      <c r="V3" s="44" t="s">
        <v>151</v>
      </c>
      <c r="W3" s="56" t="str">
        <f t="array" ref="W3">IF(EXACT(V3, ""), "", XLOOKUP(V3, Equipo[nickname], Equipo[user]))</f>
        <v>hloredo</v>
      </c>
      <c r="X3" s="44" t="s">
        <v>149</v>
      </c>
      <c r="Y3" s="56" t="str">
        <f t="array" ref="Y3">IF(EXACT(X3, ""), "", XLOOKUP(X3, Equipo[nickname], Equipo[user]))</f>
        <v>dgonzalez</v>
      </c>
      <c r="Z3" s="41" t="s">
        <v>235</v>
      </c>
      <c r="AA3" s="41" t="str">
        <f>IFERROR(__xludf.DUMMYFUNCTION("IF(EXACT(Z3, """"), """", TEXTJOIN("", "", TRUE, ARRAYFORMULA(XLOOKUP(TRIM(SPLIT(Z3, "","")), Equipo[nickname], Equipo[user], """"))))"),"lbernal")</f>
        <v>lbernal</v>
      </c>
      <c r="AB3" s="56" t="s">
        <v>133</v>
      </c>
      <c r="AC3" s="41" t="str">
        <f>IFERROR(__xludf.DUMMYFUNCTION("IF(EXACT(AB3, """"), """", TEXTJOIN("", "", TRUE, ARRAYFORMULA(XLOOKUP(TRIM(SPLIT(AB3, "","")), Equipo[nickname], Equipo[user]))))"),"asierra")</f>
        <v>asierra</v>
      </c>
      <c r="AD3" s="44" t="s">
        <v>237</v>
      </c>
      <c r="AE3" s="41" t="str">
        <f>IFERROR(__xludf.DUMMYFUNCTION("IF(EXACT(AD3, """"), """", TEXTJOIN("", "", TRUE, ARRAYFORMULA(XLOOKUP(TRIM(SPLIT(AD3, "","")), Equipo[nickname], Equipo[user], """"))))"),"egonzalez")</f>
        <v>egonzalez</v>
      </c>
      <c r="AF3" s="56" t="s">
        <v>247</v>
      </c>
      <c r="AG3" s="57" t="str">
        <f>IFERROR(__xludf.DUMMYFUNCTION("IF(EXACT(AF3, """"), """", TEXTJOIN("", "", TRUE, ARRAYFORMULA(XLOOKUP(TRIM(SPLIT(AF3, "","")), Equipo[nickname], Equipo[user], """"))))"),"lbernal, jlopez")</f>
        <v>lbernal, jlopez</v>
      </c>
      <c r="AH3" s="57" t="s">
        <v>248</v>
      </c>
      <c r="AI3" s="58">
        <v>46164.0</v>
      </c>
    </row>
    <row r="4" ht="22.5" customHeight="1">
      <c r="A4" s="41">
        <v>1004.0</v>
      </c>
      <c r="B4" s="50" t="s">
        <v>249</v>
      </c>
      <c r="C4" s="41" t="s">
        <v>250</v>
      </c>
      <c r="D4" s="42" t="s">
        <v>251</v>
      </c>
      <c r="E4" s="42" t="s">
        <v>225</v>
      </c>
      <c r="F4" s="41" t="s">
        <v>226</v>
      </c>
      <c r="G4" s="42" t="s">
        <v>227</v>
      </c>
      <c r="H4" s="41" t="s">
        <v>228</v>
      </c>
      <c r="I4" s="44" t="s">
        <v>242</v>
      </c>
      <c r="J4" s="44" t="s">
        <v>230</v>
      </c>
      <c r="K4" s="53">
        <v>0.05</v>
      </c>
      <c r="L4" s="44" t="s">
        <v>252</v>
      </c>
      <c r="M4" s="41" t="s">
        <v>226</v>
      </c>
      <c r="N4" s="44" t="s">
        <v>232</v>
      </c>
      <c r="O4" s="59" t="s">
        <v>253</v>
      </c>
      <c r="P4" s="41">
        <v>40.0</v>
      </c>
      <c r="Q4" s="55">
        <v>46126.0</v>
      </c>
      <c r="R4" s="55">
        <v>46134.0</v>
      </c>
      <c r="S4" s="55">
        <v>46134.0</v>
      </c>
      <c r="T4" s="55">
        <v>46171.0</v>
      </c>
      <c r="U4" s="41" t="s">
        <v>234</v>
      </c>
      <c r="V4" s="44" t="s">
        <v>151</v>
      </c>
      <c r="W4" s="56" t="str">
        <f t="array" ref="W4">IF(EXACT(V4, ""), "", XLOOKUP(V4, Equipo[nickname], Equipo[user]))</f>
        <v>hloredo</v>
      </c>
      <c r="X4" s="44" t="s">
        <v>149</v>
      </c>
      <c r="Y4" s="56" t="str">
        <f t="array" ref="Y4">IF(EXACT(X4, ""), "", XLOOKUP(X4, Equipo[nickname], Equipo[user]))</f>
        <v>dgonzalez</v>
      </c>
      <c r="Z4" s="41" t="s">
        <v>254</v>
      </c>
      <c r="AA4" s="41" t="str">
        <f>IFERROR(__xludf.DUMMYFUNCTION("IF(EXACT(Z4, """"), """", TEXTJOIN("", "", TRUE, ARRAYFORMULA(XLOOKUP(TRIM(SPLIT(Z4, "","")), Equipo[nickname], Equipo[user], """"))))"),"lbernal, jenriquez")</f>
        <v>lbernal, jenriquez</v>
      </c>
      <c r="AB4" s="56" t="s">
        <v>236</v>
      </c>
      <c r="AC4" s="41" t="str">
        <f>IFERROR(__xludf.DUMMYFUNCTION("IF(EXACT(AB4, """"), """", TEXTJOIN("", "", TRUE, ARRAYFORMULA(XLOOKUP(TRIM(SPLIT(AB4, "","")), Equipo[nickname], Equipo[user]))))"),"gguadarrama")</f>
        <v>gguadarrama</v>
      </c>
      <c r="AD4" s="44" t="s">
        <v>237</v>
      </c>
      <c r="AE4" s="41" t="str">
        <f>IFERROR(__xludf.DUMMYFUNCTION("IF(EXACT(AD4, """"), """", TEXTJOIN("", "", TRUE, ARRAYFORMULA(XLOOKUP(TRIM(SPLIT(AD4, "","")), Equipo[nickname], Equipo[user], """"))))"),"egonzalez")</f>
        <v>egonzalez</v>
      </c>
      <c r="AF4" s="56" t="s">
        <v>235</v>
      </c>
      <c r="AG4" s="57" t="str">
        <f>IFERROR(__xludf.DUMMYFUNCTION("IF(EXACT(AF4, """"), """", TEXTJOIN("", "", TRUE, ARRAYFORMULA(XLOOKUP(TRIM(SPLIT(AF4, "","")), Equipo[nickname], Equipo[user], """"))))"),"lbernal")</f>
        <v>lbernal</v>
      </c>
      <c r="AH4" s="57" t="s">
        <v>255</v>
      </c>
      <c r="AI4" s="58">
        <v>46133.0</v>
      </c>
    </row>
    <row r="5" ht="22.5" customHeight="1">
      <c r="A5" s="41">
        <v>1001.0</v>
      </c>
      <c r="B5" s="50" t="s">
        <v>256</v>
      </c>
      <c r="C5" s="41" t="s">
        <v>257</v>
      </c>
      <c r="D5" s="42" t="s">
        <v>258</v>
      </c>
      <c r="E5" s="42" t="s">
        <v>259</v>
      </c>
      <c r="F5" s="41" t="s">
        <v>226</v>
      </c>
      <c r="G5" s="42" t="s">
        <v>227</v>
      </c>
      <c r="H5" s="41" t="s">
        <v>260</v>
      </c>
      <c r="I5" s="44" t="s">
        <v>261</v>
      </c>
      <c r="J5" s="44" t="s">
        <v>243</v>
      </c>
      <c r="K5" s="53">
        <v>0.2</v>
      </c>
      <c r="L5" s="44" t="s">
        <v>252</v>
      </c>
      <c r="M5" s="41" t="s">
        <v>226</v>
      </c>
      <c r="N5" s="44" t="s">
        <v>232</v>
      </c>
      <c r="O5" s="59" t="s">
        <v>262</v>
      </c>
      <c r="P5" s="41">
        <v>40.0</v>
      </c>
      <c r="Q5" s="55">
        <v>46086.0</v>
      </c>
      <c r="R5" s="55">
        <v>46086.0</v>
      </c>
      <c r="S5" s="55">
        <v>46086.0</v>
      </c>
      <c r="T5" s="55">
        <v>46173.0</v>
      </c>
      <c r="U5" s="41" t="s">
        <v>234</v>
      </c>
      <c r="V5" s="44" t="s">
        <v>151</v>
      </c>
      <c r="W5" s="56" t="str">
        <f t="array" ref="W5">IF(EXACT(V5, ""), "", XLOOKUP(V5, Equipo[nickname], Equipo[user]))</f>
        <v>hloredo</v>
      </c>
      <c r="X5" s="44" t="s">
        <v>149</v>
      </c>
      <c r="Y5" s="56" t="str">
        <f t="array" ref="Y5">IF(EXACT(X5, ""), "", XLOOKUP(X5, Equipo[nickname], Equipo[user]))</f>
        <v>dgonzalez</v>
      </c>
      <c r="Z5" s="41" t="s">
        <v>235</v>
      </c>
      <c r="AA5" s="41" t="str">
        <f>IFERROR(__xludf.DUMMYFUNCTION("IF(EXACT(Z5, """"), """", TEXTJOIN("", "", TRUE, ARRAYFORMULA(XLOOKUP(TRIM(SPLIT(Z5, "","")), Equipo[nickname], Equipo[user], """"))))"),"lbernal")</f>
        <v>lbernal</v>
      </c>
      <c r="AB5" s="60" t="s">
        <v>263</v>
      </c>
      <c r="AC5" s="41" t="str">
        <f>IFERROR(__xludf.DUMMYFUNCTION("IF(EXACT(AB5, """"), """", TEXTJOIN("", "", TRUE, ARRAYFORMULA(XLOOKUP(TRIM(SPLIT(AB5, "","")), Equipo[nickname], Equipo[user]))))"),"avazquez")</f>
        <v>avazquez</v>
      </c>
      <c r="AD5" s="44" t="s">
        <v>237</v>
      </c>
      <c r="AE5" s="41" t="str">
        <f>IFERROR(__xludf.DUMMYFUNCTION("IF(EXACT(AD5, """"), """", TEXTJOIN("", "", TRUE, ARRAYFORMULA(XLOOKUP(TRIM(SPLIT(AD5, "","")), Equipo[nickname], Equipo[user], """"))))"),"egonzalez")</f>
        <v>egonzalez</v>
      </c>
      <c r="AF5" s="56" t="s">
        <v>151</v>
      </c>
      <c r="AG5" s="57" t="str">
        <f>IFERROR(__xludf.DUMMYFUNCTION("IF(EXACT(AF5, """"), """", TEXTJOIN("", "", TRUE, ARRAYFORMULA(XLOOKUP(TRIM(SPLIT(AF5, "","")), Equipo[nickname], Equipo[user], """"))))"),"hloredo")</f>
        <v>hloredo</v>
      </c>
      <c r="AH5" s="57" t="s">
        <v>264</v>
      </c>
      <c r="AI5" s="58">
        <v>46164.0</v>
      </c>
    </row>
    <row r="6" ht="22.5" hidden="1" customHeight="1">
      <c r="A6" s="61">
        <v>32.0</v>
      </c>
      <c r="B6" s="62" t="s">
        <v>265</v>
      </c>
      <c r="C6" s="51" t="s">
        <v>266</v>
      </c>
      <c r="D6" s="52" t="s">
        <v>267</v>
      </c>
      <c r="E6" s="52" t="s">
        <v>225</v>
      </c>
      <c r="F6" s="52" t="s">
        <v>268</v>
      </c>
      <c r="G6" s="42" t="s">
        <v>227</v>
      </c>
      <c r="H6" s="41" t="s">
        <v>228</v>
      </c>
      <c r="I6" s="63" t="s">
        <v>242</v>
      </c>
      <c r="J6" s="44" t="s">
        <v>230</v>
      </c>
      <c r="K6" s="53">
        <v>0.1</v>
      </c>
      <c r="L6" s="63" t="s">
        <v>269</v>
      </c>
      <c r="M6" s="52" t="s">
        <v>268</v>
      </c>
      <c r="N6" s="63" t="s">
        <v>245</v>
      </c>
      <c r="O6" s="64" t="s">
        <v>270</v>
      </c>
      <c r="P6" s="65">
        <v>21.0</v>
      </c>
      <c r="Q6" s="66">
        <v>46002.0</v>
      </c>
      <c r="R6" s="66"/>
      <c r="S6" s="67">
        <v>46037.0</v>
      </c>
      <c r="T6" s="67">
        <v>46037.0</v>
      </c>
      <c r="U6" s="67">
        <v>46037.0</v>
      </c>
      <c r="V6" s="44" t="s">
        <v>172</v>
      </c>
      <c r="W6" s="56" t="str">
        <f t="array" ref="W6">IF(EXACT(V6, ""), "", XLOOKUP(V6, Equipo[nickname], Equipo[user]))</f>
        <v>rcuevas</v>
      </c>
      <c r="X6" s="44" t="s">
        <v>166</v>
      </c>
      <c r="Y6" s="56" t="str">
        <f t="array" ref="Y6">IF(EXACT(X6, ""), "", XLOOKUP(X6, Equipo[nickname], Equipo[user]))</f>
        <v>nmejia</v>
      </c>
      <c r="Z6" s="41" t="s">
        <v>174</v>
      </c>
      <c r="AA6" s="41" t="str">
        <f>IFERROR(__xludf.DUMMYFUNCTION("IF(EXACT(Z6, """"), """", TEXTJOIN("", "", TRUE, ARRAYFORMULA(XLOOKUP(TRIM(SPLIT(Z6, "","")), Equipo[nickname], Equipo[user], """"))))"),"jenriquez")</f>
        <v>jenriquez</v>
      </c>
      <c r="AB6" s="56" t="s">
        <v>174</v>
      </c>
      <c r="AC6" s="42" t="str">
        <f>IFERROR(__xludf.DUMMYFUNCTION("IF(EXACT(AB6, """"), """", TEXTJOIN("", "", TRUE, ARRAYFORMULA(XLOOKUP(TRIM(SPLIT(AB6, "","")), Equipo[nickname], Equipo[user]))))"),"jenriquez")</f>
        <v>jenriquez</v>
      </c>
      <c r="AD6" s="68" t="s">
        <v>271</v>
      </c>
      <c r="AE6" s="42" t="str">
        <f>IFERROR(__xludf.DUMMYFUNCTION("IF(EXACT(AD6, """"), """", TEXTJOIN("", "", TRUE, ARRAYFORMULA(XLOOKUP(TRIM(SPLIT(AD6, "","")), Equipo[nickname], Equipo[user], """"))))"),"")</f>
        <v/>
      </c>
      <c r="AF6" s="69"/>
      <c r="AG6" s="57" t="str">
        <f>IFERROR(__xludf.DUMMYFUNCTION("IF(EXACT(AF6, """"), """", TEXTJOIN("", "", TRUE, ARRAYFORMULA(XLOOKUP(TRIM(SPLIT(AF6, "","")), Equipo[nickname], Equipo[user], """"))))"),"")</f>
        <v/>
      </c>
      <c r="AH6" s="41" t="s">
        <v>272</v>
      </c>
      <c r="AI6" s="41" t="s">
        <v>272</v>
      </c>
    </row>
    <row r="7" ht="22.5" customHeight="1">
      <c r="A7" s="41">
        <v>1006.0</v>
      </c>
      <c r="B7" s="50" t="s">
        <v>273</v>
      </c>
      <c r="C7" s="41" t="s">
        <v>274</v>
      </c>
      <c r="D7" s="42" t="s">
        <v>275</v>
      </c>
      <c r="E7" s="42" t="s">
        <v>225</v>
      </c>
      <c r="F7" s="41" t="s">
        <v>226</v>
      </c>
      <c r="G7" s="42" t="s">
        <v>227</v>
      </c>
      <c r="H7" s="41" t="s">
        <v>228</v>
      </c>
      <c r="I7" s="70" t="s">
        <v>276</v>
      </c>
      <c r="J7" s="44" t="s">
        <v>277</v>
      </c>
      <c r="K7" s="53">
        <v>1.0</v>
      </c>
      <c r="L7" s="44" t="s">
        <v>244</v>
      </c>
      <c r="M7" s="42" t="s">
        <v>226</v>
      </c>
      <c r="N7" s="44" t="s">
        <v>245</v>
      </c>
      <c r="O7" s="71" t="s">
        <v>278</v>
      </c>
      <c r="P7" s="41">
        <v>2.0</v>
      </c>
      <c r="Q7" s="55">
        <v>46005.0</v>
      </c>
      <c r="R7" s="55">
        <v>46005.0</v>
      </c>
      <c r="S7" s="55">
        <v>46005.0</v>
      </c>
      <c r="T7" s="55">
        <v>46112.0</v>
      </c>
      <c r="U7" s="58">
        <v>46136.0</v>
      </c>
      <c r="V7" s="44" t="s">
        <v>151</v>
      </c>
      <c r="W7" s="56" t="str">
        <f t="array" ref="W7">IF(EXACT(V7, ""), "", XLOOKUP(V7, Equipo[nickname], Equipo[user]))</f>
        <v>hloredo</v>
      </c>
      <c r="X7" s="44" t="s">
        <v>149</v>
      </c>
      <c r="Y7" s="56" t="str">
        <f t="array" ref="Y7">IF(EXACT(X7, ""), "", XLOOKUP(X7, Equipo[nickname], Equipo[user]))</f>
        <v>dgonzalez</v>
      </c>
      <c r="Z7" s="41" t="s">
        <v>174</v>
      </c>
      <c r="AA7" s="41" t="str">
        <f>IFERROR(__xludf.DUMMYFUNCTION("IF(EXACT(Z7, """"), """", TEXTJOIN("", "", TRUE, ARRAYFORMULA(XLOOKUP(TRIM(SPLIT(Z7, "","")), Equipo[nickname], Equipo[user], """"))))"),"jenriquez")</f>
        <v>jenriquez</v>
      </c>
      <c r="AB7" s="56" t="s">
        <v>158</v>
      </c>
      <c r="AC7" s="41" t="str">
        <f>IFERROR(__xludf.DUMMYFUNCTION("IF(EXACT(AB7, """"), """", TEXTJOIN("", "", TRUE, ARRAYFORMULA(XLOOKUP(TRIM(SPLIT(AB7, "","")), Equipo[nickname], Equipo[user]))))"),"emontano")</f>
        <v>emontano</v>
      </c>
      <c r="AD7" s="44" t="s">
        <v>237</v>
      </c>
      <c r="AE7" s="41" t="str">
        <f>IFERROR(__xludf.DUMMYFUNCTION("IF(EXACT(AD7, """"), """", TEXTJOIN("", "", TRUE, ARRAYFORMULA(XLOOKUP(TRIM(SPLIT(AD7, "","")), Equipo[nickname], Equipo[user], """"))))"),"egonzalez")</f>
        <v>egonzalez</v>
      </c>
      <c r="AF7" s="56"/>
      <c r="AG7" s="57" t="str">
        <f>IFERROR(__xludf.DUMMYFUNCTION("IF(EXACT(AF7, """"), """", TEXTJOIN("", "", TRUE, ARRAYFORMULA(XLOOKUP(TRIM(SPLIT(AF7, "","")), Equipo[nickname], Equipo[user], """"))))"),"")</f>
        <v/>
      </c>
      <c r="AH7" s="41" t="s">
        <v>272</v>
      </c>
      <c r="AI7" s="58"/>
    </row>
    <row r="8" ht="22.5" customHeight="1">
      <c r="A8" s="41">
        <v>1007.0</v>
      </c>
      <c r="B8" s="50" t="s">
        <v>279</v>
      </c>
      <c r="C8" s="41" t="s">
        <v>280</v>
      </c>
      <c r="D8" s="42" t="s">
        <v>281</v>
      </c>
      <c r="E8" s="42" t="s">
        <v>225</v>
      </c>
      <c r="F8" s="41" t="s">
        <v>226</v>
      </c>
      <c r="G8" s="42" t="s">
        <v>282</v>
      </c>
      <c r="H8" s="41" t="s">
        <v>228</v>
      </c>
      <c r="I8" s="70" t="s">
        <v>276</v>
      </c>
      <c r="J8" s="44" t="s">
        <v>277</v>
      </c>
      <c r="K8" s="53">
        <v>1.0</v>
      </c>
      <c r="L8" s="44" t="s">
        <v>244</v>
      </c>
      <c r="M8" s="42" t="s">
        <v>226</v>
      </c>
      <c r="N8" s="44" t="s">
        <v>245</v>
      </c>
      <c r="O8" s="71" t="s">
        <v>278</v>
      </c>
      <c r="P8" s="41">
        <v>120.0</v>
      </c>
      <c r="Q8" s="55">
        <v>46005.0</v>
      </c>
      <c r="R8" s="55">
        <v>46055.0</v>
      </c>
      <c r="S8" s="55">
        <v>46055.0</v>
      </c>
      <c r="T8" s="55">
        <v>46112.0</v>
      </c>
      <c r="U8" s="58">
        <v>46081.0</v>
      </c>
      <c r="V8" s="44" t="s">
        <v>151</v>
      </c>
      <c r="W8" s="56" t="str">
        <f t="array" ref="W8">IF(EXACT(V8, ""), "", XLOOKUP(V8, Equipo[nickname], Equipo[user]))</f>
        <v>hloredo</v>
      </c>
      <c r="X8" s="44" t="s">
        <v>149</v>
      </c>
      <c r="Y8" s="56" t="str">
        <f t="array" ref="Y8">IF(EXACT(X8, ""), "", XLOOKUP(X8, Equipo[nickname], Equipo[user]))</f>
        <v>dgonzalez</v>
      </c>
      <c r="Z8" s="41" t="s">
        <v>235</v>
      </c>
      <c r="AA8" s="41" t="str">
        <f>IFERROR(__xludf.DUMMYFUNCTION("IF(EXACT(Z8, """"), """", TEXTJOIN("", "", TRUE, ARRAYFORMULA(XLOOKUP(TRIM(SPLIT(Z8, "","")), Equipo[nickname], Equipo[user], """"))))"),"lbernal")</f>
        <v>lbernal</v>
      </c>
      <c r="AB8" s="56" t="s">
        <v>283</v>
      </c>
      <c r="AC8" s="41" t="str">
        <f>IFERROR(__xludf.DUMMYFUNCTION("IF(EXACT(AB8, """"), """", TEXTJOIN("", "", TRUE, ARRAYFORMULA(XLOOKUP(TRIM(SPLIT(AB8, "","")), Equipo[nickname], Equipo[user]))))"),"etorres")</f>
        <v>etorres</v>
      </c>
      <c r="AD8" s="44" t="s">
        <v>237</v>
      </c>
      <c r="AE8" s="41" t="str">
        <f>IFERROR(__xludf.DUMMYFUNCTION("IF(EXACT(AD8, """"), """", TEXTJOIN("", "", TRUE, ARRAYFORMULA(XLOOKUP(TRIM(SPLIT(AD8, "","")), Equipo[nickname], Equipo[user], """"))))"),"egonzalez")</f>
        <v>egonzalez</v>
      </c>
      <c r="AF8" s="56"/>
      <c r="AG8" s="57" t="str">
        <f>IFERROR(__xludf.DUMMYFUNCTION("IF(EXACT(AF8, """"), """", TEXTJOIN("", "", TRUE, ARRAYFORMULA(XLOOKUP(TRIM(SPLIT(AF8, "","")), Equipo[nickname], Equipo[user], """"))))"),"")</f>
        <v/>
      </c>
      <c r="AH8" s="41" t="s">
        <v>272</v>
      </c>
      <c r="AI8" s="41"/>
    </row>
    <row r="9" ht="22.5" customHeight="1">
      <c r="A9" s="41">
        <v>1008.0</v>
      </c>
      <c r="B9" s="50" t="s">
        <v>284</v>
      </c>
      <c r="C9" s="41" t="s">
        <v>285</v>
      </c>
      <c r="D9" s="42" t="s">
        <v>286</v>
      </c>
      <c r="E9" s="42" t="s">
        <v>225</v>
      </c>
      <c r="F9" s="41" t="s">
        <v>226</v>
      </c>
      <c r="G9" s="42" t="s">
        <v>282</v>
      </c>
      <c r="H9" s="41" t="s">
        <v>228</v>
      </c>
      <c r="I9" s="70" t="s">
        <v>276</v>
      </c>
      <c r="J9" s="44" t="s">
        <v>277</v>
      </c>
      <c r="K9" s="53">
        <v>1.0</v>
      </c>
      <c r="L9" s="44" t="s">
        <v>252</v>
      </c>
      <c r="M9" s="42" t="s">
        <v>226</v>
      </c>
      <c r="N9" s="44" t="s">
        <v>287</v>
      </c>
      <c r="O9" s="71" t="s">
        <v>233</v>
      </c>
      <c r="P9" s="41">
        <v>40.0</v>
      </c>
      <c r="Q9" s="55">
        <v>46005.0</v>
      </c>
      <c r="R9" s="55">
        <v>46055.0</v>
      </c>
      <c r="S9" s="55">
        <v>46055.0</v>
      </c>
      <c r="T9" s="55">
        <v>46112.0</v>
      </c>
      <c r="U9" s="58">
        <v>46077.0</v>
      </c>
      <c r="V9" s="44" t="s">
        <v>151</v>
      </c>
      <c r="W9" s="56" t="str">
        <f t="array" ref="W9">IF(EXACT(V9, ""), "", XLOOKUP(V9, Equipo[nickname], Equipo[user]))</f>
        <v>hloredo</v>
      </c>
      <c r="X9" s="44" t="s">
        <v>149</v>
      </c>
      <c r="Y9" s="56" t="str">
        <f t="array" ref="Y9">IF(EXACT(X9, ""), "", XLOOKUP(X9, Equipo[nickname], Equipo[user]))</f>
        <v>dgonzalez</v>
      </c>
      <c r="Z9" s="41" t="s">
        <v>235</v>
      </c>
      <c r="AA9" s="41" t="str">
        <f>IFERROR(__xludf.DUMMYFUNCTION("IF(EXACT(Z9, """"), """", TEXTJOIN("", "", TRUE, ARRAYFORMULA(XLOOKUP(TRIM(SPLIT(Z9, "","")), Equipo[nickname], Equipo[user], """"))))"),"lbernal")</f>
        <v>lbernal</v>
      </c>
      <c r="AB9" s="56" t="s">
        <v>283</v>
      </c>
      <c r="AC9" s="41" t="str">
        <f>IFERROR(__xludf.DUMMYFUNCTION("IF(EXACT(AB9, """"), """", TEXTJOIN("", "", TRUE, ARRAYFORMULA(XLOOKUP(TRIM(SPLIT(AB9, "","")), Equipo[nickname], Equipo[user]))))"),"etorres")</f>
        <v>etorres</v>
      </c>
      <c r="AD9" s="44" t="s">
        <v>237</v>
      </c>
      <c r="AE9" s="41" t="str">
        <f>IFERROR(__xludf.DUMMYFUNCTION("IF(EXACT(AD9, """"), """", TEXTJOIN("", "", TRUE, ARRAYFORMULA(XLOOKUP(TRIM(SPLIT(AD9, "","")), Equipo[nickname], Equipo[user], """"))))"),"egonzalez")</f>
        <v>egonzalez</v>
      </c>
      <c r="AF9" s="56"/>
      <c r="AG9" s="57" t="str">
        <f>IFERROR(__xludf.DUMMYFUNCTION("IF(EXACT(AF9, """"), """", TEXTJOIN("", "", TRUE, ARRAYFORMULA(XLOOKUP(TRIM(SPLIT(AF9, "","")), Equipo[nickname], Equipo[user], """"))))"),"")</f>
        <v/>
      </c>
      <c r="AH9" s="41" t="s">
        <v>272</v>
      </c>
      <c r="AI9" s="41"/>
    </row>
    <row r="10" ht="22.5" customHeight="1">
      <c r="A10" s="41">
        <v>1009.0</v>
      </c>
      <c r="B10" s="50" t="s">
        <v>288</v>
      </c>
      <c r="C10" s="41" t="s">
        <v>289</v>
      </c>
      <c r="D10" s="42" t="s">
        <v>290</v>
      </c>
      <c r="E10" s="42" t="s">
        <v>225</v>
      </c>
      <c r="F10" s="41" t="s">
        <v>226</v>
      </c>
      <c r="G10" s="42" t="s">
        <v>282</v>
      </c>
      <c r="H10" s="41" t="s">
        <v>228</v>
      </c>
      <c r="I10" s="70" t="s">
        <v>276</v>
      </c>
      <c r="J10" s="44" t="s">
        <v>277</v>
      </c>
      <c r="K10" s="53">
        <v>1.0</v>
      </c>
      <c r="L10" s="44" t="s">
        <v>269</v>
      </c>
      <c r="M10" s="42" t="s">
        <v>226</v>
      </c>
      <c r="N10" s="44" t="s">
        <v>245</v>
      </c>
      <c r="O10" s="71" t="s">
        <v>278</v>
      </c>
      <c r="P10" s="41">
        <v>320.0</v>
      </c>
      <c r="Q10" s="55">
        <v>46005.0</v>
      </c>
      <c r="R10" s="55">
        <v>46055.0</v>
      </c>
      <c r="S10" s="55">
        <v>46055.0</v>
      </c>
      <c r="T10" s="55">
        <v>46112.0</v>
      </c>
      <c r="U10" s="58">
        <v>46142.0</v>
      </c>
      <c r="V10" s="44" t="s">
        <v>151</v>
      </c>
      <c r="W10" s="56" t="str">
        <f t="array" ref="W10">IF(EXACT(V10, ""), "", XLOOKUP(V10, Equipo[nickname], Equipo[user]))</f>
        <v>hloredo</v>
      </c>
      <c r="X10" s="44" t="s">
        <v>149</v>
      </c>
      <c r="Y10" s="56" t="str">
        <f t="array" ref="Y10">IF(EXACT(X10, ""), "", XLOOKUP(X10, Equipo[nickname], Equipo[user]))</f>
        <v>dgonzalez</v>
      </c>
      <c r="Z10" s="41" t="s">
        <v>235</v>
      </c>
      <c r="AA10" s="41" t="str">
        <f>IFERROR(__xludf.DUMMYFUNCTION("IF(EXACT(Z10, """"), """", TEXTJOIN("", "", TRUE, ARRAYFORMULA(XLOOKUP(TRIM(SPLIT(Z10, "","")), Equipo[nickname], Equipo[user], """"))))"),"lbernal")</f>
        <v>lbernal</v>
      </c>
      <c r="AB10" s="56" t="s">
        <v>291</v>
      </c>
      <c r="AC10" s="41" t="str">
        <f>IFERROR(__xludf.DUMMYFUNCTION("IF(EXACT(AB10, """"), """", TEXTJOIN("", "", TRUE, ARRAYFORMULA(XLOOKUP(TRIM(SPLIT(AB10, "","")), Equipo[nickname], Equipo[user]))))"),"etorres, ameza, lolvera")</f>
        <v>etorres, ameza, lolvera</v>
      </c>
      <c r="AD10" s="44" t="s">
        <v>237</v>
      </c>
      <c r="AE10" s="41" t="str">
        <f>IFERROR(__xludf.DUMMYFUNCTION("IF(EXACT(AD10, """"), """", TEXTJOIN("", "", TRUE, ARRAYFORMULA(XLOOKUP(TRIM(SPLIT(AD10, "","")), Equipo[nickname], Equipo[user], """"))))"),"egonzalez")</f>
        <v>egonzalez</v>
      </c>
      <c r="AF10" s="56"/>
      <c r="AG10" s="57" t="str">
        <f>IFERROR(__xludf.DUMMYFUNCTION("IF(EXACT(AF10, """"), """", TEXTJOIN("", "", TRUE, ARRAYFORMULA(XLOOKUP(TRIM(SPLIT(AF10, "","")), Equipo[nickname], Equipo[user], """"))))"),"")</f>
        <v/>
      </c>
      <c r="AH10" s="41" t="s">
        <v>272</v>
      </c>
      <c r="AI10" s="41"/>
    </row>
    <row r="11" ht="22.5" customHeight="1">
      <c r="A11" s="41">
        <v>1010.0</v>
      </c>
      <c r="B11" s="50" t="s">
        <v>292</v>
      </c>
      <c r="C11" s="41" t="s">
        <v>293</v>
      </c>
      <c r="D11" s="42" t="s">
        <v>294</v>
      </c>
      <c r="E11" s="42" t="s">
        <v>225</v>
      </c>
      <c r="F11" s="41" t="s">
        <v>226</v>
      </c>
      <c r="G11" s="42" t="s">
        <v>282</v>
      </c>
      <c r="H11" s="41" t="s">
        <v>228</v>
      </c>
      <c r="I11" s="70" t="s">
        <v>276</v>
      </c>
      <c r="J11" s="44" t="s">
        <v>277</v>
      </c>
      <c r="K11" s="53">
        <v>1.0</v>
      </c>
      <c r="L11" s="44" t="s">
        <v>231</v>
      </c>
      <c r="M11" s="42" t="s">
        <v>226</v>
      </c>
      <c r="N11" s="44" t="s">
        <v>245</v>
      </c>
      <c r="O11" s="71" t="s">
        <v>270</v>
      </c>
      <c r="P11" s="41">
        <v>3.0</v>
      </c>
      <c r="Q11" s="55">
        <v>46002.0</v>
      </c>
      <c r="R11" s="55">
        <v>46002.0</v>
      </c>
      <c r="S11" s="55">
        <v>46002.0</v>
      </c>
      <c r="T11" s="55">
        <v>46112.0</v>
      </c>
      <c r="U11" s="58">
        <v>46142.0</v>
      </c>
      <c r="V11" s="44" t="s">
        <v>151</v>
      </c>
      <c r="W11" s="56" t="str">
        <f t="array" ref="W11">IF(EXACT(V11, ""), "", XLOOKUP(V11, Equipo[nickname], Equipo[user]))</f>
        <v>hloredo</v>
      </c>
      <c r="X11" s="44" t="s">
        <v>149</v>
      </c>
      <c r="Y11" s="56" t="str">
        <f t="array" ref="Y11">IF(EXACT(X11, ""), "", XLOOKUP(X11, Equipo[nickname], Equipo[user]))</f>
        <v>dgonzalez</v>
      </c>
      <c r="Z11" s="41" t="s">
        <v>235</v>
      </c>
      <c r="AA11" s="41" t="str">
        <f>IFERROR(__xludf.DUMMYFUNCTION("IF(EXACT(Z11, """"), """", TEXTJOIN("", "", TRUE, ARRAYFORMULA(XLOOKUP(TRIM(SPLIT(Z11, "","")), Equipo[nickname], Equipo[user], """"))))"),"lbernal")</f>
        <v>lbernal</v>
      </c>
      <c r="AB11" s="56" t="s">
        <v>295</v>
      </c>
      <c r="AC11" s="41" t="str">
        <f>IFERROR(__xludf.DUMMYFUNCTION("IF(EXACT(AB11, """"), """", TEXTJOIN("", "", TRUE, ARRAYFORMULA(XLOOKUP(TRIM(SPLIT(AB11, "","")), Equipo[nickname], Equipo[user]))))"),"ameza, etorres, lolvera, rescobar")</f>
        <v>ameza, etorres, lolvera, rescobar</v>
      </c>
      <c r="AD11" s="44" t="s">
        <v>237</v>
      </c>
      <c r="AE11" s="41" t="str">
        <f>IFERROR(__xludf.DUMMYFUNCTION("IF(EXACT(AD11, """"), """", TEXTJOIN("", "", TRUE, ARRAYFORMULA(XLOOKUP(TRIM(SPLIT(AD11, "","")), Equipo[nickname], Equipo[user], """"))))"),"egonzalez")</f>
        <v>egonzalez</v>
      </c>
      <c r="AF11" s="56"/>
      <c r="AG11" s="57" t="str">
        <f>IFERROR(__xludf.DUMMYFUNCTION("IF(EXACT(AF11, """"), """", TEXTJOIN("", "", TRUE, ARRAYFORMULA(XLOOKUP(TRIM(SPLIT(AF11, "","")), Equipo[nickname], Equipo[user], """"))))"),"")</f>
        <v/>
      </c>
      <c r="AH11" s="41" t="s">
        <v>272</v>
      </c>
      <c r="AI11" s="58"/>
    </row>
    <row r="12" ht="22.5" customHeight="1">
      <c r="A12" s="41">
        <v>1011.0</v>
      </c>
      <c r="B12" s="50" t="s">
        <v>296</v>
      </c>
      <c r="C12" s="41" t="s">
        <v>297</v>
      </c>
      <c r="D12" s="42" t="s">
        <v>298</v>
      </c>
      <c r="E12" s="42" t="s">
        <v>225</v>
      </c>
      <c r="F12" s="41" t="s">
        <v>226</v>
      </c>
      <c r="G12" s="42" t="s">
        <v>227</v>
      </c>
      <c r="H12" s="41" t="s">
        <v>228</v>
      </c>
      <c r="I12" s="70" t="s">
        <v>276</v>
      </c>
      <c r="J12" s="44" t="s">
        <v>277</v>
      </c>
      <c r="K12" s="53">
        <v>1.0</v>
      </c>
      <c r="L12" s="44" t="s">
        <v>299</v>
      </c>
      <c r="M12" s="42" t="s">
        <v>226</v>
      </c>
      <c r="N12" s="44" t="s">
        <v>232</v>
      </c>
      <c r="O12" s="71" t="s">
        <v>300</v>
      </c>
      <c r="P12" s="41">
        <v>1.0</v>
      </c>
      <c r="Q12" s="55">
        <v>46058.0</v>
      </c>
      <c r="R12" s="55">
        <v>46023.0</v>
      </c>
      <c r="S12" s="55">
        <v>46023.0</v>
      </c>
      <c r="T12" s="55">
        <v>46094.0</v>
      </c>
      <c r="U12" s="55">
        <v>46094.0</v>
      </c>
      <c r="V12" s="44" t="s">
        <v>151</v>
      </c>
      <c r="W12" s="56" t="str">
        <f t="array" ref="W12">IF(EXACT(V12, ""), "", XLOOKUP(V12, Equipo[nickname], Equipo[user]))</f>
        <v>hloredo</v>
      </c>
      <c r="X12" s="44" t="s">
        <v>149</v>
      </c>
      <c r="Y12" s="56" t="str">
        <f t="array" ref="Y12">IF(EXACT(X12, ""), "", XLOOKUP(X12, Equipo[nickname], Equipo[user]))</f>
        <v>dgonzalez</v>
      </c>
      <c r="Z12" s="41" t="s">
        <v>174</v>
      </c>
      <c r="AA12" s="41" t="str">
        <f>IFERROR(__xludf.DUMMYFUNCTION("IF(EXACT(Z12, """"), """", TEXTJOIN("", "", TRUE, ARRAYFORMULA(XLOOKUP(TRIM(SPLIT(Z12, "","")), Equipo[nickname], Equipo[user], """"))))"),"jenriquez")</f>
        <v>jenriquez</v>
      </c>
      <c r="AB12" s="56" t="s">
        <v>301</v>
      </c>
      <c r="AC12" s="41" t="str">
        <f>IFERROR(__xludf.DUMMYFUNCTION("IF(EXACT(AB12, """"), """", TEXTJOIN("", "", TRUE, ARRAYFORMULA(XLOOKUP(TRIM(SPLIT(AB12, "","")), Equipo[nickname], Equipo[user]))))"),"jpatino")</f>
        <v>jpatino</v>
      </c>
      <c r="AD12" s="44" t="s">
        <v>237</v>
      </c>
      <c r="AE12" s="41" t="str">
        <f>IFERROR(__xludf.DUMMYFUNCTION("IF(EXACT(AD12, """"), """", TEXTJOIN("", "", TRUE, ARRAYFORMULA(XLOOKUP(TRIM(SPLIT(AD12, "","")), Equipo[nickname], Equipo[user], """"))))"),"egonzalez")</f>
        <v>egonzalez</v>
      </c>
      <c r="AF12" s="56" t="s">
        <v>302</v>
      </c>
      <c r="AG12" s="57" t="str">
        <f>IFERROR(__xludf.DUMMYFUNCTION("IF(EXACT(AF12, """"), """", TEXTJOIN("", "", TRUE, ARRAYFORMULA(XLOOKUP(TRIM(SPLIT(AF12, "","")), Equipo[nickname], Equipo[user], """"))))"),"eramirez, jenriquez, hloredo")</f>
        <v>eramirez, jenriquez, hloredo</v>
      </c>
      <c r="AH12" s="57" t="s">
        <v>303</v>
      </c>
      <c r="AI12" s="58">
        <v>46142.0</v>
      </c>
    </row>
    <row r="13" ht="22.5" customHeight="1">
      <c r="A13" s="41">
        <v>1012.0</v>
      </c>
      <c r="B13" s="50" t="s">
        <v>304</v>
      </c>
      <c r="C13" s="41" t="s">
        <v>305</v>
      </c>
      <c r="D13" s="42" t="s">
        <v>306</v>
      </c>
      <c r="E13" s="42" t="s">
        <v>225</v>
      </c>
      <c r="F13" s="41" t="s">
        <v>226</v>
      </c>
      <c r="G13" s="42" t="s">
        <v>227</v>
      </c>
      <c r="H13" s="41" t="s">
        <v>307</v>
      </c>
      <c r="I13" s="70" t="s">
        <v>276</v>
      </c>
      <c r="J13" s="44" t="s">
        <v>277</v>
      </c>
      <c r="K13" s="53">
        <v>1.0</v>
      </c>
      <c r="L13" s="44" t="s">
        <v>269</v>
      </c>
      <c r="M13" s="42" t="s">
        <v>226</v>
      </c>
      <c r="N13" s="44" t="s">
        <v>232</v>
      </c>
      <c r="O13" s="71" t="s">
        <v>300</v>
      </c>
      <c r="P13" s="41">
        <v>55.0</v>
      </c>
      <c r="Q13" s="55">
        <v>46092.0</v>
      </c>
      <c r="R13" s="55">
        <v>46092.0</v>
      </c>
      <c r="S13" s="55">
        <v>46092.0</v>
      </c>
      <c r="T13" s="55">
        <v>46173.0</v>
      </c>
      <c r="U13" s="58">
        <v>46173.0</v>
      </c>
      <c r="V13" s="44" t="s">
        <v>151</v>
      </c>
      <c r="W13" s="56" t="str">
        <f t="array" ref="W13">IF(EXACT(V13, ""), "", XLOOKUP(V13, Equipo[nickname], Equipo[user]))</f>
        <v>hloredo</v>
      </c>
      <c r="X13" s="44" t="s">
        <v>149</v>
      </c>
      <c r="Y13" s="56" t="str">
        <f t="array" ref="Y13">IF(EXACT(X13, ""), "", XLOOKUP(X13, Equipo[nickname], Equipo[user]))</f>
        <v>dgonzalez</v>
      </c>
      <c r="Z13" s="41" t="s">
        <v>235</v>
      </c>
      <c r="AA13" s="41" t="str">
        <f>IFERROR(__xludf.DUMMYFUNCTION("IF(EXACT(Z13, """"), """", TEXTJOIN("", "", TRUE, ARRAYFORMULA(XLOOKUP(TRIM(SPLIT(Z13, "","")), Equipo[nickname], Equipo[user], """"))))"),"lbernal")</f>
        <v>lbernal</v>
      </c>
      <c r="AB13" s="56" t="s">
        <v>151</v>
      </c>
      <c r="AC13" s="41" t="str">
        <f>IFERROR(__xludf.DUMMYFUNCTION("IF(EXACT(AB13, """"), """", TEXTJOIN("", "", TRUE, ARRAYFORMULA(XLOOKUP(TRIM(SPLIT(AB13, "","")), Equipo[nickname], Equipo[user]))))"),"hloredo")</f>
        <v>hloredo</v>
      </c>
      <c r="AD13" s="44" t="s">
        <v>237</v>
      </c>
      <c r="AE13" s="41" t="str">
        <f>IFERROR(__xludf.DUMMYFUNCTION("IF(EXACT(AD13, """"), """", TEXTJOIN("", "", TRUE, ARRAYFORMULA(XLOOKUP(TRIM(SPLIT(AD13, "","")), Equipo[nickname], Equipo[user], """"))))"),"egonzalez")</f>
        <v>egonzalez</v>
      </c>
      <c r="AF13" s="56"/>
      <c r="AG13" s="57" t="str">
        <f>IFERROR(__xludf.DUMMYFUNCTION("IF(EXACT(AF13, """"), """", TEXTJOIN("", "", TRUE, ARRAYFORMULA(XLOOKUP(TRIM(SPLIT(AF13, "","")), Equipo[nickname], Equipo[user], """"))))"),"")</f>
        <v/>
      </c>
      <c r="AH13" s="41" t="s">
        <v>272</v>
      </c>
      <c r="AI13" s="41"/>
    </row>
    <row r="14" ht="22.5" customHeight="1">
      <c r="A14" s="41">
        <v>1013.0</v>
      </c>
      <c r="B14" s="50" t="s">
        <v>292</v>
      </c>
      <c r="C14" s="42" t="s">
        <v>293</v>
      </c>
      <c r="D14" s="42" t="s">
        <v>308</v>
      </c>
      <c r="E14" s="42" t="s">
        <v>225</v>
      </c>
      <c r="F14" s="41" t="s">
        <v>226</v>
      </c>
      <c r="G14" s="42" t="s">
        <v>227</v>
      </c>
      <c r="H14" s="41" t="s">
        <v>228</v>
      </c>
      <c r="I14" s="70" t="s">
        <v>276</v>
      </c>
      <c r="J14" s="44" t="s">
        <v>277</v>
      </c>
      <c r="K14" s="53">
        <v>0.95</v>
      </c>
      <c r="L14" s="44" t="s">
        <v>244</v>
      </c>
      <c r="M14" s="42" t="s">
        <v>226</v>
      </c>
      <c r="N14" s="44" t="s">
        <v>232</v>
      </c>
      <c r="O14" s="71" t="s">
        <v>233</v>
      </c>
      <c r="P14" s="41">
        <v>80.0</v>
      </c>
      <c r="Q14" s="55">
        <v>46082.0</v>
      </c>
      <c r="R14" s="55">
        <v>46113.0</v>
      </c>
      <c r="S14" s="55">
        <v>46113.0</v>
      </c>
      <c r="T14" s="55">
        <v>46142.0</v>
      </c>
      <c r="U14" s="58">
        <v>46142.0</v>
      </c>
      <c r="V14" s="44" t="s">
        <v>151</v>
      </c>
      <c r="W14" s="56" t="str">
        <f t="array" ref="W14">IF(EXACT(V14, ""), "", XLOOKUP(V14, Equipo[nickname], Equipo[user]))</f>
        <v>hloredo</v>
      </c>
      <c r="X14" s="44" t="s">
        <v>149</v>
      </c>
      <c r="Y14" s="56" t="str">
        <f t="array" ref="Y14">IF(EXACT(X14, ""), "", XLOOKUP(X14, Equipo[nickname], Equipo[user]))</f>
        <v>dgonzalez</v>
      </c>
      <c r="Z14" s="56" t="s">
        <v>235</v>
      </c>
      <c r="AA14" s="41" t="str">
        <f>IFERROR(__xludf.DUMMYFUNCTION("IF(EXACT(Z14, """"), """", TEXTJOIN("", "", TRUE, ARRAYFORMULA(XLOOKUP(TRIM(SPLIT(Z14, "","")), Equipo[nickname], Equipo[user], """"))))"),"lbernal")</f>
        <v>lbernal</v>
      </c>
      <c r="AB14" s="56" t="s">
        <v>295</v>
      </c>
      <c r="AC14" s="41" t="str">
        <f>IFERROR(__xludf.DUMMYFUNCTION("IF(EXACT(AB14, """"), """", TEXTJOIN("", "", TRUE, ARRAYFORMULA(XLOOKUP(TRIM(SPLIT(AB14, "","")), Equipo[nickname], Equipo[user]))))"),"ameza, etorres, lolvera, rescobar")</f>
        <v>ameza, etorres, lolvera, rescobar</v>
      </c>
      <c r="AD14" s="44" t="s">
        <v>237</v>
      </c>
      <c r="AE14" s="41" t="str">
        <f>IFERROR(__xludf.DUMMYFUNCTION("IF(EXACT(AD14, """"), """", TEXTJOIN("", "", TRUE, ARRAYFORMULA(XLOOKUP(TRIM(SPLIT(AD14, "","")), Equipo[nickname], Equipo[user], """"))))"),"egonzalez")</f>
        <v>egonzalez</v>
      </c>
      <c r="AF14" s="56" t="s">
        <v>174</v>
      </c>
      <c r="AG14" s="57" t="str">
        <f>IFERROR(__xludf.DUMMYFUNCTION("IF(EXACT(AF14, """"), """", TEXTJOIN("", "", TRUE, ARRAYFORMULA(XLOOKUP(TRIM(SPLIT(AF14, "","")), Equipo[nickname], Equipo[user], """"))))"),"jenriquez")</f>
        <v>jenriquez</v>
      </c>
      <c r="AH14" s="57" t="s">
        <v>309</v>
      </c>
      <c r="AI14" s="58">
        <v>46162.0</v>
      </c>
    </row>
    <row r="15" ht="22.5" hidden="1" customHeight="1">
      <c r="A15" s="61">
        <v>90.0</v>
      </c>
      <c r="B15" s="62" t="s">
        <v>310</v>
      </c>
      <c r="C15" s="51" t="s">
        <v>311</v>
      </c>
      <c r="D15" s="52" t="s">
        <v>312</v>
      </c>
      <c r="E15" s="52" t="s">
        <v>225</v>
      </c>
      <c r="F15" s="51" t="s">
        <v>268</v>
      </c>
      <c r="G15" s="42" t="s">
        <v>227</v>
      </c>
      <c r="H15" s="41" t="s">
        <v>228</v>
      </c>
      <c r="I15" s="63" t="s">
        <v>242</v>
      </c>
      <c r="J15" s="44" t="s">
        <v>243</v>
      </c>
      <c r="K15" s="53">
        <v>0.1</v>
      </c>
      <c r="L15" s="63" t="s">
        <v>252</v>
      </c>
      <c r="M15" s="52" t="s">
        <v>313</v>
      </c>
      <c r="N15" s="63" t="s">
        <v>232</v>
      </c>
      <c r="O15" s="64" t="s">
        <v>233</v>
      </c>
      <c r="P15" s="65">
        <v>34.0</v>
      </c>
      <c r="Q15" s="66">
        <v>46045.0</v>
      </c>
      <c r="R15" s="66"/>
      <c r="S15" s="67">
        <v>46157.0</v>
      </c>
      <c r="T15" s="67">
        <v>46157.0</v>
      </c>
      <c r="U15" s="67">
        <v>46157.0</v>
      </c>
      <c r="V15" s="44" t="s">
        <v>172</v>
      </c>
      <c r="W15" s="56" t="str">
        <f t="array" ref="W15">IF(EXACT(V15, ""), "", XLOOKUP(V15, Equipo[nickname], Equipo[user]))</f>
        <v>rcuevas</v>
      </c>
      <c r="X15" s="44" t="s">
        <v>166</v>
      </c>
      <c r="Y15" s="56" t="str">
        <f t="array" ref="Y15">IF(EXACT(X15, ""), "", XLOOKUP(X15, Equipo[nickname], Equipo[user]))</f>
        <v>nmejia</v>
      </c>
      <c r="Z15" s="41" t="s">
        <v>174</v>
      </c>
      <c r="AA15" s="41" t="str">
        <f>IFERROR(__xludf.DUMMYFUNCTION("IF(EXACT(Z15, """"), """", TEXTJOIN("", "", TRUE, ARRAYFORMULA(XLOOKUP(TRIM(SPLIT(Z15, "","")), Equipo[nickname], Equipo[user], """"))))"),"jenriquez")</f>
        <v>jenriquez</v>
      </c>
      <c r="AB15" s="56"/>
      <c r="AC15" s="42" t="str">
        <f>IFERROR(__xludf.DUMMYFUNCTION("IF(EXACT(AB15, """"), """", TEXTJOIN("", "", TRUE, ARRAYFORMULA(XLOOKUP(TRIM(SPLIT(AB15, "","")), Equipo[nickname], Equipo[user]))))"),"")</f>
        <v/>
      </c>
      <c r="AD15" s="68" t="s">
        <v>271</v>
      </c>
      <c r="AE15" s="42" t="str">
        <f>IFERROR(__xludf.DUMMYFUNCTION("IF(EXACT(AD15, """"), """", TEXTJOIN("", "", TRUE, ARRAYFORMULA(XLOOKUP(TRIM(SPLIT(AD15, "","")), Equipo[nickname], Equipo[user], """"))))"),"")</f>
        <v/>
      </c>
      <c r="AF15" s="69"/>
      <c r="AG15" s="57" t="str">
        <f>IFERROR(__xludf.DUMMYFUNCTION("IF(EXACT(AF15, """"), """", TEXTJOIN("", "", TRUE, ARRAYFORMULA(XLOOKUP(TRIM(SPLIT(AF15, "","")), Equipo[nickname], Equipo[user], """"))))"),"")</f>
        <v/>
      </c>
      <c r="AH15" s="41" t="s">
        <v>272</v>
      </c>
      <c r="AI15" s="41" t="s">
        <v>272</v>
      </c>
    </row>
    <row r="16" ht="22.5" hidden="1" customHeight="1">
      <c r="A16" s="61">
        <v>33.0</v>
      </c>
      <c r="B16" s="62" t="s">
        <v>314</v>
      </c>
      <c r="C16" s="51" t="s">
        <v>315</v>
      </c>
      <c r="D16" s="52" t="s">
        <v>316</v>
      </c>
      <c r="E16" s="52" t="s">
        <v>225</v>
      </c>
      <c r="F16" s="51" t="s">
        <v>317</v>
      </c>
      <c r="G16" s="42" t="s">
        <v>227</v>
      </c>
      <c r="H16" s="41" t="s">
        <v>228</v>
      </c>
      <c r="I16" s="63" t="s">
        <v>242</v>
      </c>
      <c r="J16" s="44" t="s">
        <v>243</v>
      </c>
      <c r="K16" s="53">
        <v>0.1</v>
      </c>
      <c r="L16" s="63" t="s">
        <v>269</v>
      </c>
      <c r="M16" s="52" t="s">
        <v>313</v>
      </c>
      <c r="N16" s="63" t="s">
        <v>245</v>
      </c>
      <c r="O16" s="72"/>
      <c r="P16" s="65">
        <v>5.0</v>
      </c>
      <c r="Q16" s="66">
        <v>46002.0</v>
      </c>
      <c r="R16" s="66"/>
      <c r="S16" s="67">
        <v>46066.0</v>
      </c>
      <c r="T16" s="67">
        <v>46066.0</v>
      </c>
      <c r="U16" s="67">
        <v>46066.0</v>
      </c>
      <c r="V16" s="44" t="s">
        <v>172</v>
      </c>
      <c r="W16" s="56" t="str">
        <f t="array" ref="W16">IF(EXACT(V16, ""), "", XLOOKUP(V16, Equipo[nickname], Equipo[user]))</f>
        <v>rcuevas</v>
      </c>
      <c r="X16" s="44" t="s">
        <v>166</v>
      </c>
      <c r="Y16" s="56" t="str">
        <f t="array" ref="Y16">IF(EXACT(X16, ""), "", XLOOKUP(X16, Equipo[nickname], Equipo[user]))</f>
        <v>nmejia</v>
      </c>
      <c r="Z16" s="41" t="s">
        <v>174</v>
      </c>
      <c r="AA16" s="41" t="str">
        <f>IFERROR(__xludf.DUMMYFUNCTION("IF(EXACT(Z16, """"), """", TEXTJOIN("", "", TRUE, ARRAYFORMULA(XLOOKUP(TRIM(SPLIT(Z16, "","")), Equipo[nickname], Equipo[user], """"))))"),"jenriquez")</f>
        <v>jenriquez</v>
      </c>
      <c r="AB16" s="56"/>
      <c r="AC16" s="42" t="str">
        <f>IFERROR(__xludf.DUMMYFUNCTION("IF(EXACT(AB16, """"), """", TEXTJOIN("", "", TRUE, ARRAYFORMULA(XLOOKUP(TRIM(SPLIT(AB16, "","")), Equipo[nickname], Equipo[user]))))"),"")</f>
        <v/>
      </c>
      <c r="AD16" s="73" t="s">
        <v>271</v>
      </c>
      <c r="AE16" s="42" t="str">
        <f>IFERROR(__xludf.DUMMYFUNCTION("IF(EXACT(AD16, """"), """", TEXTJOIN("", "", TRUE, ARRAYFORMULA(XLOOKUP(TRIM(SPLIT(AD16, "","")), Equipo[nickname], Equipo[user], """"))))"),"")</f>
        <v/>
      </c>
      <c r="AF16" s="69"/>
      <c r="AG16" s="57" t="str">
        <f>IFERROR(__xludf.DUMMYFUNCTION("IF(EXACT(AF16, """"), """", TEXTJOIN("", "", TRUE, ARRAYFORMULA(XLOOKUP(TRIM(SPLIT(AF16, "","")), Equipo[nickname], Equipo[user], """"))))"),"")</f>
        <v/>
      </c>
      <c r="AH16" s="41" t="s">
        <v>272</v>
      </c>
      <c r="AI16" s="41" t="s">
        <v>272</v>
      </c>
    </row>
    <row r="17" ht="22.5" customHeight="1">
      <c r="A17" s="41">
        <v>1005.0</v>
      </c>
      <c r="B17" s="50" t="s">
        <v>318</v>
      </c>
      <c r="C17" s="41" t="s">
        <v>319</v>
      </c>
      <c r="D17" s="42" t="s">
        <v>320</v>
      </c>
      <c r="E17" s="42" t="s">
        <v>225</v>
      </c>
      <c r="F17" s="41" t="s">
        <v>226</v>
      </c>
      <c r="G17" s="42" t="s">
        <v>227</v>
      </c>
      <c r="H17" s="41" t="s">
        <v>228</v>
      </c>
      <c r="I17" s="44" t="s">
        <v>261</v>
      </c>
      <c r="J17" s="44" t="s">
        <v>230</v>
      </c>
      <c r="K17" s="53">
        <v>0.05</v>
      </c>
      <c r="L17" s="44" t="s">
        <v>231</v>
      </c>
      <c r="M17" s="41" t="s">
        <v>226</v>
      </c>
      <c r="N17" s="44" t="s">
        <v>321</v>
      </c>
      <c r="O17" s="59" t="s">
        <v>322</v>
      </c>
      <c r="P17" s="41">
        <v>1.0</v>
      </c>
      <c r="Q17" s="55">
        <v>46058.0</v>
      </c>
      <c r="R17" s="55">
        <v>46125.0</v>
      </c>
      <c r="S17" s="55">
        <v>46125.0</v>
      </c>
      <c r="T17" s="55">
        <v>46356.0</v>
      </c>
      <c r="U17" s="41" t="s">
        <v>234</v>
      </c>
      <c r="V17" s="44" t="s">
        <v>151</v>
      </c>
      <c r="W17" s="56" t="str">
        <f t="array" ref="W17">IF(EXACT(V17, ""), "", XLOOKUP(V17, Equipo[nickname], Equipo[user]))</f>
        <v>hloredo</v>
      </c>
      <c r="X17" s="44" t="s">
        <v>149</v>
      </c>
      <c r="Y17" s="56" t="str">
        <f t="array" ref="Y17">IF(EXACT(X17, ""), "", XLOOKUP(X17, Equipo[nickname], Equipo[user]))</f>
        <v>dgonzalez</v>
      </c>
      <c r="Z17" s="41" t="s">
        <v>174</v>
      </c>
      <c r="AA17" s="41" t="str">
        <f>IFERROR(__xludf.DUMMYFUNCTION("IF(EXACT(Z17, """"), """", TEXTJOIN("", "", TRUE, ARRAYFORMULA(XLOOKUP(TRIM(SPLIT(Z17, "","")), Equipo[nickname], Equipo[user], """"))))"),"jenriquez")</f>
        <v>jenriquez</v>
      </c>
      <c r="AB17" s="56" t="s">
        <v>301</v>
      </c>
      <c r="AC17" s="41" t="str">
        <f>IFERROR(__xludf.DUMMYFUNCTION("IF(EXACT(AB17, """"), """", TEXTJOIN("", "", TRUE, ARRAYFORMULA(XLOOKUP(TRIM(SPLIT(AB17, "","")), Equipo[nickname], Equipo[user]))))"),"jpatino")</f>
        <v>jpatino</v>
      </c>
      <c r="AD17" s="44" t="s">
        <v>237</v>
      </c>
      <c r="AE17" s="41" t="str">
        <f>IFERROR(__xludf.DUMMYFUNCTION("IF(EXACT(AD17, """"), """", TEXTJOIN("", "", TRUE, ARRAYFORMULA(XLOOKUP(TRIM(SPLIT(AD17, "","")), Equipo[nickname], Equipo[user], """"))))"),"egonzalez")</f>
        <v>egonzalez</v>
      </c>
      <c r="AF17" s="56" t="s">
        <v>302</v>
      </c>
      <c r="AG17" s="57" t="str">
        <f>IFERROR(__xludf.DUMMYFUNCTION("IF(EXACT(AF17, """"), """", TEXTJOIN("", "", TRUE, ARRAYFORMULA(XLOOKUP(TRIM(SPLIT(AF17, "","")), Equipo[nickname], Equipo[user], """"))))"),"eramirez, jenriquez, hloredo")</f>
        <v>eramirez, jenriquez, hloredo</v>
      </c>
      <c r="AH17" s="57" t="s">
        <v>323</v>
      </c>
      <c r="AI17" s="58">
        <v>46164.0</v>
      </c>
    </row>
    <row r="18" ht="22.5" hidden="1" customHeight="1">
      <c r="A18" s="41">
        <v>1047.0</v>
      </c>
      <c r="B18" s="50" t="s">
        <v>324</v>
      </c>
      <c r="C18" s="41" t="s">
        <v>325</v>
      </c>
      <c r="D18" s="42" t="s">
        <v>326</v>
      </c>
      <c r="E18" s="42" t="s">
        <v>225</v>
      </c>
      <c r="F18" s="41" t="s">
        <v>327</v>
      </c>
      <c r="G18" s="69"/>
      <c r="H18" s="41" t="s">
        <v>228</v>
      </c>
      <c r="I18" s="70" t="s">
        <v>261</v>
      </c>
      <c r="J18" s="44" t="s">
        <v>230</v>
      </c>
      <c r="K18" s="53">
        <v>0.5</v>
      </c>
      <c r="L18" s="44" t="s">
        <v>244</v>
      </c>
      <c r="M18" s="42" t="s">
        <v>226</v>
      </c>
      <c r="N18" s="70" t="s">
        <v>321</v>
      </c>
      <c r="O18" s="72"/>
      <c r="P18" s="41">
        <v>1.0</v>
      </c>
      <c r="Q18" s="74">
        <v>46006.0</v>
      </c>
      <c r="R18" s="74"/>
      <c r="S18" s="74">
        <v>46006.0</v>
      </c>
      <c r="T18" s="55">
        <v>46112.0</v>
      </c>
      <c r="U18" s="75">
        <v>46295.0</v>
      </c>
      <c r="V18" s="44" t="s">
        <v>151</v>
      </c>
      <c r="W18" s="56" t="str">
        <f t="array" ref="W18">IF(EXACT(V18, ""), "", XLOOKUP(V18, Equipo[nickname], Equipo[user]))</f>
        <v>hloredo</v>
      </c>
      <c r="X18" s="44" t="s">
        <v>172</v>
      </c>
      <c r="Y18" s="56" t="str">
        <f t="array" ref="Y18">IF(EXACT(X18, ""), "", XLOOKUP(X18, Equipo[nickname], Equipo[user]))</f>
        <v>rcuevas</v>
      </c>
      <c r="Z18" s="41" t="s">
        <v>172</v>
      </c>
      <c r="AA18" s="41" t="str">
        <f>IFERROR(__xludf.DUMMYFUNCTION("IF(EXACT(Z18, """"), """", TEXTJOIN("", "", TRUE, ARRAYFORMULA(XLOOKUP(TRIM(SPLIT(Z18, "","")), Equipo[nickname], Equipo[user], """"))))"),"rcuevas")</f>
        <v>rcuevas</v>
      </c>
      <c r="AB18" s="56" t="s">
        <v>172</v>
      </c>
      <c r="AC18" s="41" t="str">
        <f>IFERROR(__xludf.DUMMYFUNCTION("IF(EXACT(AB18, """"), """", TEXTJOIN("", "", TRUE, ARRAYFORMULA(XLOOKUP(TRIM(SPLIT(AB18, "","")), Equipo[nickname], Equipo[user]))))"),"rcuevas")</f>
        <v>rcuevas</v>
      </c>
      <c r="AD18" s="70" t="s">
        <v>237</v>
      </c>
      <c r="AE18" s="41" t="str">
        <f>IFERROR(__xludf.DUMMYFUNCTION("IF(EXACT(AD18, """"), """", TEXTJOIN("", "", TRUE, ARRAYFORMULA(XLOOKUP(TRIM(SPLIT(AD18, "","")), Equipo[nickname], Equipo[user], """"))))"),"egonzalez")</f>
        <v>egonzalez</v>
      </c>
      <c r="AF18" s="56" t="s">
        <v>328</v>
      </c>
      <c r="AG18" s="57" t="str">
        <f>IFERROR(__xludf.DUMMYFUNCTION("IF(EXACT(AF18, """"), """", TEXTJOIN("", "", TRUE, ARRAYFORMULA(XLOOKUP(TRIM(SPLIT(AF18, "","")), Equipo[nickname], Equipo[user], """"))))"),"mhernandez")</f>
        <v>mhernandez</v>
      </c>
      <c r="AH18" s="57" t="s">
        <v>329</v>
      </c>
      <c r="AI18" s="58">
        <v>46171.0</v>
      </c>
    </row>
    <row r="19" ht="22.5" customHeight="1">
      <c r="A19" s="41">
        <v>1014.0</v>
      </c>
      <c r="B19" s="50" t="s">
        <v>330</v>
      </c>
      <c r="C19" s="41" t="s">
        <v>331</v>
      </c>
      <c r="D19" s="42" t="s">
        <v>332</v>
      </c>
      <c r="E19" s="42" t="s">
        <v>225</v>
      </c>
      <c r="F19" s="41" t="s">
        <v>226</v>
      </c>
      <c r="G19" s="42" t="s">
        <v>227</v>
      </c>
      <c r="H19" s="41" t="s">
        <v>228</v>
      </c>
      <c r="I19" s="44" t="s">
        <v>229</v>
      </c>
      <c r="J19" s="44" t="s">
        <v>243</v>
      </c>
      <c r="K19" s="53">
        <v>0.9</v>
      </c>
      <c r="L19" s="44" t="s">
        <v>269</v>
      </c>
      <c r="M19" s="41" t="s">
        <v>226</v>
      </c>
      <c r="N19" s="44" t="s">
        <v>232</v>
      </c>
      <c r="O19" s="71" t="s">
        <v>270</v>
      </c>
      <c r="P19" s="41">
        <v>120.0</v>
      </c>
      <c r="Q19" s="55">
        <v>46005.0</v>
      </c>
      <c r="R19" s="55">
        <v>46005.0</v>
      </c>
      <c r="S19" s="55">
        <v>46005.0</v>
      </c>
      <c r="T19" s="55">
        <v>46022.0</v>
      </c>
      <c r="U19" s="58">
        <v>46173.0</v>
      </c>
      <c r="V19" s="44" t="s">
        <v>151</v>
      </c>
      <c r="W19" s="56" t="str">
        <f t="array" ref="W19">IF(EXACT(V19, ""), "", XLOOKUP(V19, Equipo[nickname], Equipo[user]))</f>
        <v>hloredo</v>
      </c>
      <c r="X19" s="44" t="s">
        <v>149</v>
      </c>
      <c r="Y19" s="56" t="str">
        <f t="array" ref="Y19">IF(EXACT(X19, ""), "", XLOOKUP(X19, Equipo[nickname], Equipo[user]))</f>
        <v>dgonzalez</v>
      </c>
      <c r="Z19" s="41" t="s">
        <v>158</v>
      </c>
      <c r="AA19" s="41" t="str">
        <f>IFERROR(__xludf.DUMMYFUNCTION("IF(EXACT(Z19, """"), """", TEXTJOIN("", "", TRUE, ARRAYFORMULA(XLOOKUP(TRIM(SPLIT(Z19, "","")), Equipo[nickname], Equipo[user], """"))))"),"emontano")</f>
        <v>emontano</v>
      </c>
      <c r="AB19" s="56" t="s">
        <v>235</v>
      </c>
      <c r="AC19" s="41" t="str">
        <f>IFERROR(__xludf.DUMMYFUNCTION("IF(EXACT(AB19, """"), """", TEXTJOIN("", "", TRUE, ARRAYFORMULA(XLOOKUP(TRIM(SPLIT(AB19, "","")), Equipo[nickname], Equipo[user]))))"),"lbernal")</f>
        <v>lbernal</v>
      </c>
      <c r="AD19" s="44" t="s">
        <v>237</v>
      </c>
      <c r="AE19" s="41" t="str">
        <f>IFERROR(__xludf.DUMMYFUNCTION("IF(EXACT(AD19, """"), """", TEXTJOIN("", "", TRUE, ARRAYFORMULA(XLOOKUP(TRIM(SPLIT(AD19, "","")), Equipo[nickname], Equipo[user], """"))))"),"egonzalez")</f>
        <v>egonzalez</v>
      </c>
      <c r="AF19" s="56" t="s">
        <v>333</v>
      </c>
      <c r="AG19" s="57" t="str">
        <f>IFERROR(__xludf.DUMMYFUNCTION("IF(EXACT(AF19, """"), """", TEXTJOIN("", "", TRUE, ARRAYFORMULA(XLOOKUP(TRIM(SPLIT(AF19, "","")), Equipo[nickname], Equipo[user], """"))))"),"egonzalez, emontano, lbernal")</f>
        <v>egonzalez, emontano, lbernal</v>
      </c>
      <c r="AH19" s="57" t="s">
        <v>334</v>
      </c>
      <c r="AI19" s="58">
        <v>46171.0</v>
      </c>
    </row>
    <row r="20" ht="22.5" customHeight="1">
      <c r="A20" s="41">
        <v>1015.0</v>
      </c>
      <c r="B20" s="50" t="s">
        <v>335</v>
      </c>
      <c r="C20" s="41" t="s">
        <v>336</v>
      </c>
      <c r="D20" s="42" t="s">
        <v>337</v>
      </c>
      <c r="E20" s="42" t="s">
        <v>225</v>
      </c>
      <c r="F20" s="41" t="s">
        <v>226</v>
      </c>
      <c r="G20" s="42" t="s">
        <v>227</v>
      </c>
      <c r="H20" s="41" t="s">
        <v>338</v>
      </c>
      <c r="I20" s="44" t="s">
        <v>229</v>
      </c>
      <c r="J20" s="44" t="s">
        <v>243</v>
      </c>
      <c r="K20" s="53">
        <v>0.9</v>
      </c>
      <c r="L20" s="44" t="s">
        <v>269</v>
      </c>
      <c r="M20" s="41" t="s">
        <v>226</v>
      </c>
      <c r="N20" s="44" t="s">
        <v>232</v>
      </c>
      <c r="O20" s="71" t="s">
        <v>233</v>
      </c>
      <c r="P20" s="41">
        <v>100.0</v>
      </c>
      <c r="Q20" s="55">
        <v>46005.0</v>
      </c>
      <c r="R20" s="55">
        <v>46005.0</v>
      </c>
      <c r="S20" s="55">
        <v>46005.0</v>
      </c>
      <c r="T20" s="55">
        <v>46112.0</v>
      </c>
      <c r="U20" s="41" t="s">
        <v>234</v>
      </c>
      <c r="V20" s="44" t="s">
        <v>151</v>
      </c>
      <c r="W20" s="56" t="str">
        <f t="array" ref="W20">IF(EXACT(V20, ""), "", XLOOKUP(V20, Equipo[nickname], Equipo[user]))</f>
        <v>hloredo</v>
      </c>
      <c r="X20" s="44" t="s">
        <v>149</v>
      </c>
      <c r="Y20" s="56" t="str">
        <f t="array" ref="Y20">IF(EXACT(X20, ""), "", XLOOKUP(X20, Equipo[nickname], Equipo[user]))</f>
        <v>dgonzalez</v>
      </c>
      <c r="Z20" s="41" t="s">
        <v>130</v>
      </c>
      <c r="AA20" s="41" t="str">
        <f>IFERROR(__xludf.DUMMYFUNCTION("IF(EXACT(Z20, """"), """", TEXTJOIN("", "", TRUE, ARRAYFORMULA(XLOOKUP(TRIM(SPLIT(Z20, "","")), Equipo[nickname], Equipo[user], """"))))"),"henriquez")</f>
        <v>henriquez</v>
      </c>
      <c r="AB20" s="56" t="s">
        <v>339</v>
      </c>
      <c r="AC20" s="41" t="str">
        <f>IFERROR(__xludf.DUMMYFUNCTION("IF(EXACT(AB20, """"), """", TEXTJOIN("", "", TRUE, ARRAYFORMULA(XLOOKUP(TRIM(SPLIT(AB20, "","")), Equipo[nickname], Equipo[user]))))"),"henriquez, amorales, czamudio, aserrano")</f>
        <v>henriquez, amorales, czamudio, aserrano</v>
      </c>
      <c r="AD20" s="44" t="s">
        <v>237</v>
      </c>
      <c r="AE20" s="41" t="str">
        <f>IFERROR(__xludf.DUMMYFUNCTION("IF(EXACT(AD20, """"), """", TEXTJOIN("", "", TRUE, ARRAYFORMULA(XLOOKUP(TRIM(SPLIT(AD20, "","")), Equipo[nickname], Equipo[user], """"))))"),"egonzalez")</f>
        <v>egonzalez</v>
      </c>
      <c r="AF20" s="56" t="s">
        <v>340</v>
      </c>
      <c r="AG20" s="57" t="str">
        <f>IFERROR(__xludf.DUMMYFUNCTION("IF(EXACT(AF20, """"), """", TEXTJOIN("", "", TRUE, ARRAYFORMULA(XLOOKUP(TRIM(SPLIT(AF20, "","")), Equipo[nickname], Equipo[user], """"))))"),"fgonzalezr, hloredo, eramirez")</f>
        <v>fgonzalezr, hloredo, eramirez</v>
      </c>
      <c r="AH20" s="57" t="s">
        <v>341</v>
      </c>
      <c r="AI20" s="58">
        <v>46171.0</v>
      </c>
    </row>
    <row r="21" ht="22.5" customHeight="1">
      <c r="A21" s="41">
        <v>1016.0</v>
      </c>
      <c r="B21" s="50" t="s">
        <v>342</v>
      </c>
      <c r="C21" s="41" t="s">
        <v>343</v>
      </c>
      <c r="D21" s="42" t="s">
        <v>344</v>
      </c>
      <c r="E21" s="42" t="s">
        <v>225</v>
      </c>
      <c r="F21" s="41" t="s">
        <v>226</v>
      </c>
      <c r="G21" s="42" t="s">
        <v>227</v>
      </c>
      <c r="H21" s="41" t="s">
        <v>345</v>
      </c>
      <c r="I21" s="44" t="s">
        <v>276</v>
      </c>
      <c r="J21" s="44" t="s">
        <v>277</v>
      </c>
      <c r="K21" s="53">
        <v>1.0</v>
      </c>
      <c r="L21" s="44" t="s">
        <v>269</v>
      </c>
      <c r="M21" s="41" t="s">
        <v>226</v>
      </c>
      <c r="N21" s="44" t="s">
        <v>321</v>
      </c>
      <c r="O21" s="71" t="s">
        <v>278</v>
      </c>
      <c r="P21" s="41">
        <v>13.0</v>
      </c>
      <c r="Q21" s="55">
        <v>46007.0</v>
      </c>
      <c r="R21" s="55">
        <v>46007.0</v>
      </c>
      <c r="S21" s="55">
        <v>46007.0</v>
      </c>
      <c r="T21" s="55">
        <v>46112.0</v>
      </c>
      <c r="U21" s="58">
        <v>46142.0</v>
      </c>
      <c r="V21" s="44" t="s">
        <v>151</v>
      </c>
      <c r="W21" s="56" t="str">
        <f t="array" ref="W21">IF(EXACT(V21, ""), "", XLOOKUP(V21, Equipo[nickname], Equipo[user]))</f>
        <v>hloredo</v>
      </c>
      <c r="X21" s="44" t="s">
        <v>149</v>
      </c>
      <c r="Y21" s="56" t="str">
        <f t="array" ref="Y21">IF(EXACT(X21, ""), "", XLOOKUP(X21, Equipo[nickname], Equipo[user]))</f>
        <v>dgonzalez</v>
      </c>
      <c r="Z21" s="41" t="s">
        <v>235</v>
      </c>
      <c r="AA21" s="41" t="str">
        <f>IFERROR(__xludf.DUMMYFUNCTION("IF(EXACT(Z21, """"), """", TEXTJOIN("", "", TRUE, ARRAYFORMULA(XLOOKUP(TRIM(SPLIT(Z21, "","")), Equipo[nickname], Equipo[user], """"))))"),"lbernal")</f>
        <v>lbernal</v>
      </c>
      <c r="AB21" s="56" t="s">
        <v>263</v>
      </c>
      <c r="AC21" s="41" t="str">
        <f>IFERROR(__xludf.DUMMYFUNCTION("IF(EXACT(AB21, """"), """", TEXTJOIN("", "", TRUE, ARRAYFORMULA(XLOOKUP(TRIM(SPLIT(AB21, "","")), Equipo[nickname], Equipo[user]))))"),"avazquez")</f>
        <v>avazquez</v>
      </c>
      <c r="AD21" s="44" t="s">
        <v>237</v>
      </c>
      <c r="AE21" s="41" t="str">
        <f>IFERROR(__xludf.DUMMYFUNCTION("IF(EXACT(AD21, """"), """", TEXTJOIN("", "", TRUE, ARRAYFORMULA(XLOOKUP(TRIM(SPLIT(AD21, "","")), Equipo[nickname], Equipo[user], """"))))"),"egonzalez")</f>
        <v>egonzalez</v>
      </c>
      <c r="AF21" s="56"/>
      <c r="AG21" s="57" t="str">
        <f>IFERROR(__xludf.DUMMYFUNCTION("IF(EXACT(AF21, """"), """", TEXTJOIN("", "", TRUE, ARRAYFORMULA(XLOOKUP(TRIM(SPLIT(AF21, "","")), Equipo[nickname], Equipo[user], """"))))"),"")</f>
        <v/>
      </c>
      <c r="AH21" s="41" t="s">
        <v>272</v>
      </c>
      <c r="AI21" s="41" t="s">
        <v>272</v>
      </c>
    </row>
    <row r="22" ht="22.5" customHeight="1">
      <c r="A22" s="41">
        <v>1017.0</v>
      </c>
      <c r="B22" s="50" t="s">
        <v>346</v>
      </c>
      <c r="C22" s="41" t="s">
        <v>347</v>
      </c>
      <c r="D22" s="42" t="s">
        <v>348</v>
      </c>
      <c r="E22" s="42" t="s">
        <v>225</v>
      </c>
      <c r="F22" s="41" t="s">
        <v>226</v>
      </c>
      <c r="G22" s="42" t="s">
        <v>227</v>
      </c>
      <c r="H22" s="41" t="s">
        <v>228</v>
      </c>
      <c r="I22" s="44" t="s">
        <v>229</v>
      </c>
      <c r="J22" s="44" t="s">
        <v>277</v>
      </c>
      <c r="K22" s="53">
        <v>0.99</v>
      </c>
      <c r="L22" s="44" t="s">
        <v>252</v>
      </c>
      <c r="M22" s="41" t="s">
        <v>226</v>
      </c>
      <c r="N22" s="44" t="s">
        <v>232</v>
      </c>
      <c r="O22" s="71" t="s">
        <v>233</v>
      </c>
      <c r="P22" s="41">
        <v>40.0</v>
      </c>
      <c r="Q22" s="55">
        <v>46009.0</v>
      </c>
      <c r="R22" s="55">
        <v>46009.0</v>
      </c>
      <c r="S22" s="55">
        <v>46009.0</v>
      </c>
      <c r="T22" s="55">
        <v>46112.0</v>
      </c>
      <c r="U22" s="58">
        <v>46142.0</v>
      </c>
      <c r="V22" s="44" t="s">
        <v>151</v>
      </c>
      <c r="W22" s="56" t="str">
        <f t="array" ref="W22">IF(EXACT(V22, ""), "", XLOOKUP(V22, Equipo[nickname], Equipo[user]))</f>
        <v>hloredo</v>
      </c>
      <c r="X22" s="44" t="s">
        <v>149</v>
      </c>
      <c r="Y22" s="56" t="str">
        <f t="array" ref="Y22">IF(EXACT(X22, ""), "", XLOOKUP(X22, Equipo[nickname], Equipo[user]))</f>
        <v>dgonzalez</v>
      </c>
      <c r="Z22" s="41" t="s">
        <v>235</v>
      </c>
      <c r="AA22" s="41" t="str">
        <f>IFERROR(__xludf.DUMMYFUNCTION("IF(EXACT(Z22, """"), """", TEXTJOIN("", "", TRUE, ARRAYFORMULA(XLOOKUP(TRIM(SPLIT(Z22, "","")), Equipo[nickname], Equipo[user], """"))))"),"lbernal")</f>
        <v>lbernal</v>
      </c>
      <c r="AB22" s="56" t="s">
        <v>130</v>
      </c>
      <c r="AC22" s="41" t="str">
        <f>IFERROR(__xludf.DUMMYFUNCTION("IF(EXACT(AB22, """"), """", TEXTJOIN("", "", TRUE, ARRAYFORMULA(XLOOKUP(TRIM(SPLIT(AB22, "","")), Equipo[nickname], Equipo[user]))))"),"henriquez")</f>
        <v>henriquez</v>
      </c>
      <c r="AD22" s="44" t="s">
        <v>237</v>
      </c>
      <c r="AE22" s="41" t="str">
        <f>IFERROR(__xludf.DUMMYFUNCTION("IF(EXACT(AD22, """"), """", TEXTJOIN("", "", TRUE, ARRAYFORMULA(XLOOKUP(TRIM(SPLIT(AD22, "","")), Equipo[nickname], Equipo[user], """"))))"),"egonzalez")</f>
        <v>egonzalez</v>
      </c>
      <c r="AF22" s="56" t="s">
        <v>349</v>
      </c>
      <c r="AG22" s="57" t="str">
        <f>IFERROR(__xludf.DUMMYFUNCTION("IF(EXACT(AF22, """"), """", TEXTJOIN("", "", TRUE, ARRAYFORMULA(XLOOKUP(TRIM(SPLIT(AF22, "","")), Equipo[nickname], Equipo[user], """"))))"),"rcuevas, jenriquez")</f>
        <v>rcuevas, jenriquez</v>
      </c>
      <c r="AH22" s="57" t="s">
        <v>350</v>
      </c>
      <c r="AI22" s="58">
        <v>46171.0</v>
      </c>
    </row>
    <row r="23" ht="22.5" customHeight="1">
      <c r="A23" s="41">
        <v>1018.0</v>
      </c>
      <c r="B23" s="50" t="s">
        <v>351</v>
      </c>
      <c r="C23" s="41" t="s">
        <v>352</v>
      </c>
      <c r="D23" s="42" t="s">
        <v>353</v>
      </c>
      <c r="E23" s="42" t="s">
        <v>225</v>
      </c>
      <c r="F23" s="41" t="s">
        <v>226</v>
      </c>
      <c r="G23" s="42" t="s">
        <v>227</v>
      </c>
      <c r="H23" s="41" t="s">
        <v>354</v>
      </c>
      <c r="I23" s="44" t="s">
        <v>229</v>
      </c>
      <c r="J23" s="44" t="s">
        <v>277</v>
      </c>
      <c r="K23" s="53">
        <v>0.97</v>
      </c>
      <c r="L23" s="44" t="s">
        <v>269</v>
      </c>
      <c r="M23" s="41" t="s">
        <v>226</v>
      </c>
      <c r="N23" s="44" t="s">
        <v>232</v>
      </c>
      <c r="O23" s="71" t="s">
        <v>233</v>
      </c>
      <c r="P23" s="41">
        <v>13.0</v>
      </c>
      <c r="Q23" s="55">
        <v>46057.0</v>
      </c>
      <c r="R23" s="55">
        <v>46057.0</v>
      </c>
      <c r="S23" s="55">
        <v>46057.0</v>
      </c>
      <c r="T23" s="55">
        <v>46112.0</v>
      </c>
      <c r="U23" s="58">
        <v>46142.0</v>
      </c>
      <c r="V23" s="44" t="s">
        <v>151</v>
      </c>
      <c r="W23" s="56" t="str">
        <f t="array" ref="W23">IF(EXACT(V23, ""), "", XLOOKUP(V23, Equipo[nickname], Equipo[user]))</f>
        <v>hloredo</v>
      </c>
      <c r="X23" s="44" t="s">
        <v>149</v>
      </c>
      <c r="Y23" s="56" t="str">
        <f t="array" ref="Y23">IF(EXACT(X23, ""), "", XLOOKUP(X23, Equipo[nickname], Equipo[user]))</f>
        <v>dgonzalez</v>
      </c>
      <c r="Z23" s="41" t="s">
        <v>235</v>
      </c>
      <c r="AA23" s="41" t="str">
        <f>IFERROR(__xludf.DUMMYFUNCTION("IF(EXACT(Z23, """"), """", TEXTJOIN("", "", TRUE, ARRAYFORMULA(XLOOKUP(TRIM(SPLIT(Z23, "","")), Equipo[nickname], Equipo[user], """"))))"),"lbernal")</f>
        <v>lbernal</v>
      </c>
      <c r="AB23" s="56" t="s">
        <v>355</v>
      </c>
      <c r="AC23" s="41" t="str">
        <f>IFERROR(__xludf.DUMMYFUNCTION("IF(EXACT(AB23, """"), """", TEXTJOIN("", "", TRUE, ARRAYFORMULA(XLOOKUP(TRIM(SPLIT(AB23, "","")), Equipo[nickname], Equipo[user]))))"),"econtreras")</f>
        <v>econtreras</v>
      </c>
      <c r="AD23" s="44" t="s">
        <v>237</v>
      </c>
      <c r="AE23" s="41" t="str">
        <f>IFERROR(__xludf.DUMMYFUNCTION("IF(EXACT(AD23, """"), """", TEXTJOIN("", "", TRUE, ARRAYFORMULA(XLOOKUP(TRIM(SPLIT(AD23, "","")), Equipo[nickname], Equipo[user], """"))))"),"egonzalez")</f>
        <v>egonzalez</v>
      </c>
      <c r="AF23" s="56" t="s">
        <v>356</v>
      </c>
      <c r="AG23" s="57" t="str">
        <f>IFERROR(__xludf.DUMMYFUNCTION("IF(EXACT(AF23, """"), """", TEXTJOIN("", "", TRUE, ARRAYFORMULA(XLOOKUP(TRIM(SPLIT(AF23, "","")), Equipo[nickname], Equipo[user], """"))))"),"rcuevas")</f>
        <v>rcuevas</v>
      </c>
      <c r="AH23" s="57" t="s">
        <v>357</v>
      </c>
      <c r="AI23" s="58">
        <v>46171.0</v>
      </c>
    </row>
    <row r="24" ht="22.5" customHeight="1">
      <c r="A24" s="41">
        <v>1019.0</v>
      </c>
      <c r="B24" s="50" t="s">
        <v>358</v>
      </c>
      <c r="C24" s="41" t="s">
        <v>359</v>
      </c>
      <c r="D24" s="42" t="s">
        <v>360</v>
      </c>
      <c r="E24" s="42" t="s">
        <v>225</v>
      </c>
      <c r="F24" s="41" t="s">
        <v>226</v>
      </c>
      <c r="G24" s="42" t="s">
        <v>227</v>
      </c>
      <c r="H24" s="41" t="s">
        <v>228</v>
      </c>
      <c r="I24" s="44" t="s">
        <v>229</v>
      </c>
      <c r="J24" s="44" t="s">
        <v>277</v>
      </c>
      <c r="K24" s="53">
        <v>0.9</v>
      </c>
      <c r="L24" s="44" t="s">
        <v>231</v>
      </c>
      <c r="M24" s="41" t="s">
        <v>226</v>
      </c>
      <c r="N24" s="44" t="s">
        <v>245</v>
      </c>
      <c r="O24" s="71" t="s">
        <v>361</v>
      </c>
      <c r="P24" s="41">
        <v>100.0</v>
      </c>
      <c r="Q24" s="55">
        <v>46092.0</v>
      </c>
      <c r="R24" s="55">
        <v>46092.0</v>
      </c>
      <c r="S24" s="55">
        <v>46092.0</v>
      </c>
      <c r="T24" s="55">
        <v>46112.0</v>
      </c>
      <c r="U24" s="58">
        <v>46142.0</v>
      </c>
      <c r="V24" s="44" t="s">
        <v>151</v>
      </c>
      <c r="W24" s="56" t="str">
        <f t="array" ref="W24">IF(EXACT(V24, ""), "", XLOOKUP(V24, Equipo[nickname], Equipo[user]))</f>
        <v>hloredo</v>
      </c>
      <c r="X24" s="44" t="s">
        <v>149</v>
      </c>
      <c r="Y24" s="56" t="str">
        <f t="array" ref="Y24">IF(EXACT(X24, ""), "", XLOOKUP(X24, Equipo[nickname], Equipo[user]))</f>
        <v>dgonzalez</v>
      </c>
      <c r="Z24" s="41" t="s">
        <v>174</v>
      </c>
      <c r="AA24" s="41" t="str">
        <f>IFERROR(__xludf.DUMMYFUNCTION("IF(EXACT(Z24, """"), """", TEXTJOIN("", "", TRUE, ARRAYFORMULA(XLOOKUP(TRIM(SPLIT(Z24, "","")), Equipo[nickname], Equipo[user], """"))))"),"jenriquez")</f>
        <v>jenriquez</v>
      </c>
      <c r="AB24" s="56" t="s">
        <v>158</v>
      </c>
      <c r="AC24" s="41" t="str">
        <f>IFERROR(__xludf.DUMMYFUNCTION("IF(EXACT(AB24, """"), """", TEXTJOIN("", "", TRUE, ARRAYFORMULA(XLOOKUP(TRIM(SPLIT(AB24, "","")), Equipo[nickname], Equipo[user]))))"),"emontano")</f>
        <v>emontano</v>
      </c>
      <c r="AD24" s="44" t="s">
        <v>237</v>
      </c>
      <c r="AE24" s="41" t="str">
        <f>IFERROR(__xludf.DUMMYFUNCTION("IF(EXACT(AD24, """"), """", TEXTJOIN("", "", TRUE, ARRAYFORMULA(XLOOKUP(TRIM(SPLIT(AD24, "","")), Equipo[nickname], Equipo[user], """"))))"),"egonzalez")</f>
        <v>egonzalez</v>
      </c>
      <c r="AF24" s="56" t="s">
        <v>362</v>
      </c>
      <c r="AG24" s="57" t="str">
        <f>IFERROR(__xludf.DUMMYFUNCTION("IF(EXACT(AF24, """"), """", TEXTJOIN("", "", TRUE, ARRAYFORMULA(XLOOKUP(TRIM(SPLIT(AF24, "","")), Equipo[nickname], Equipo[user], """"))))"),"jenriquez, hloredo")</f>
        <v>jenriquez, hloredo</v>
      </c>
      <c r="AH24" s="57" t="s">
        <v>363</v>
      </c>
      <c r="AI24" s="58">
        <v>46164.0</v>
      </c>
    </row>
    <row r="25" ht="22.5" customHeight="1">
      <c r="A25" s="41">
        <v>1020.0</v>
      </c>
      <c r="B25" s="50" t="s">
        <v>364</v>
      </c>
      <c r="C25" s="41" t="s">
        <v>365</v>
      </c>
      <c r="D25" s="42" t="s">
        <v>366</v>
      </c>
      <c r="E25" s="42" t="s">
        <v>225</v>
      </c>
      <c r="F25" s="41" t="s">
        <v>226</v>
      </c>
      <c r="G25" s="42" t="s">
        <v>227</v>
      </c>
      <c r="H25" s="41" t="s">
        <v>228</v>
      </c>
      <c r="I25" s="44" t="s">
        <v>229</v>
      </c>
      <c r="J25" s="44" t="s">
        <v>243</v>
      </c>
      <c r="K25" s="53">
        <v>0.9</v>
      </c>
      <c r="L25" s="44" t="s">
        <v>252</v>
      </c>
      <c r="M25" s="41" t="s">
        <v>226</v>
      </c>
      <c r="N25" s="44" t="s">
        <v>232</v>
      </c>
      <c r="O25" s="71" t="s">
        <v>300</v>
      </c>
      <c r="P25" s="41">
        <v>40.0</v>
      </c>
      <c r="Q25" s="55">
        <v>46118.0</v>
      </c>
      <c r="R25" s="55">
        <v>46132.0</v>
      </c>
      <c r="S25" s="55">
        <v>46132.0</v>
      </c>
      <c r="T25" s="55">
        <v>46142.0</v>
      </c>
      <c r="U25" s="55">
        <v>46173.0</v>
      </c>
      <c r="V25" s="44" t="s">
        <v>151</v>
      </c>
      <c r="W25" s="56" t="str">
        <f t="array" ref="W25">IF(EXACT(V25, ""), "", XLOOKUP(V25, Equipo[nickname], Equipo[user]))</f>
        <v>hloredo</v>
      </c>
      <c r="X25" s="44" t="s">
        <v>149</v>
      </c>
      <c r="Y25" s="56" t="str">
        <f t="array" ref="Y25">IF(EXACT(X25, ""), "", XLOOKUP(X25, Equipo[nickname], Equipo[user]))</f>
        <v>dgonzalez</v>
      </c>
      <c r="Z25" s="41" t="s">
        <v>235</v>
      </c>
      <c r="AA25" s="41" t="str">
        <f>IFERROR(__xludf.DUMMYFUNCTION("IF(EXACT(Z25, """"), """", TEXTJOIN("", "", TRUE, ARRAYFORMULA(XLOOKUP(TRIM(SPLIT(Z25, "","")), Equipo[nickname], Equipo[user], """"))))"),"lbernal")</f>
        <v>lbernal</v>
      </c>
      <c r="AB25" s="56" t="s">
        <v>367</v>
      </c>
      <c r="AC25" s="41" t="str">
        <f>IFERROR(__xludf.DUMMYFUNCTION("IF(EXACT(AB25, """"), """", TEXTJOIN("", "", TRUE, ARRAYFORMULA(XLOOKUP(TRIM(SPLIT(AB25, "","")), Equipo[nickname], Equipo[user]))))"),"henriquez, jlopez, alara")</f>
        <v>henriquez, jlopez, alara</v>
      </c>
      <c r="AD25" s="44" t="s">
        <v>237</v>
      </c>
      <c r="AE25" s="41" t="str">
        <f>IFERROR(__xludf.DUMMYFUNCTION("IF(EXACT(AD25, """"), """", TEXTJOIN("", "", TRUE, ARRAYFORMULA(XLOOKUP(TRIM(SPLIT(AD25, "","")), Equipo[nickname], Equipo[user], """"))))"),"egonzalez")</f>
        <v>egonzalez</v>
      </c>
      <c r="AF25" s="56" t="s">
        <v>368</v>
      </c>
      <c r="AG25" s="57" t="str">
        <f>IFERROR(__xludf.DUMMYFUNCTION("IF(EXACT(AF25, """"), """", TEXTJOIN("", "", TRUE, ARRAYFORMULA(XLOOKUP(TRIM(SPLIT(AF25, "","")), Equipo[nickname], Equipo[user], """"))))"),"lbernal, hloredo")</f>
        <v>lbernal, hloredo</v>
      </c>
      <c r="AH25" s="57" t="s">
        <v>369</v>
      </c>
      <c r="AI25" s="58">
        <v>46142.0</v>
      </c>
    </row>
    <row r="26" ht="22.5" customHeight="1">
      <c r="A26" s="41">
        <v>1029.0</v>
      </c>
      <c r="B26" s="50" t="s">
        <v>370</v>
      </c>
      <c r="C26" s="41" t="s">
        <v>371</v>
      </c>
      <c r="D26" s="42" t="s">
        <v>372</v>
      </c>
      <c r="E26" s="42" t="s">
        <v>225</v>
      </c>
      <c r="F26" s="41" t="s">
        <v>226</v>
      </c>
      <c r="G26" s="42" t="s">
        <v>227</v>
      </c>
      <c r="H26" s="41" t="s">
        <v>373</v>
      </c>
      <c r="I26" s="44" t="s">
        <v>229</v>
      </c>
      <c r="J26" s="44" t="s">
        <v>277</v>
      </c>
      <c r="K26" s="53">
        <v>0.9</v>
      </c>
      <c r="L26" s="44" t="s">
        <v>231</v>
      </c>
      <c r="M26" s="41" t="s">
        <v>226</v>
      </c>
      <c r="N26" s="44" t="s">
        <v>232</v>
      </c>
      <c r="O26" s="71" t="s">
        <v>233</v>
      </c>
      <c r="P26" s="41">
        <v>100.0</v>
      </c>
      <c r="Q26" s="55">
        <v>46091.0</v>
      </c>
      <c r="R26" s="55">
        <v>46091.0</v>
      </c>
      <c r="S26" s="55">
        <v>46091.0</v>
      </c>
      <c r="T26" s="55">
        <v>46112.0</v>
      </c>
      <c r="U26" s="55">
        <v>46164.0</v>
      </c>
      <c r="V26" s="44" t="s">
        <v>151</v>
      </c>
      <c r="W26" s="56" t="str">
        <f t="array" ref="W26">IF(EXACT(V26, ""), "", XLOOKUP(V26, Equipo[nickname], Equipo[user]))</f>
        <v>hloredo</v>
      </c>
      <c r="X26" s="44" t="s">
        <v>149</v>
      </c>
      <c r="Y26" s="56" t="str">
        <f t="array" ref="Y26">IF(EXACT(X26, ""), "", XLOOKUP(X26, Equipo[nickname], Equipo[user]))</f>
        <v>dgonzalez</v>
      </c>
      <c r="Z26" s="41" t="s">
        <v>235</v>
      </c>
      <c r="AA26" s="41" t="str">
        <f>IFERROR(__xludf.DUMMYFUNCTION("IF(EXACT(Z26, """"), """", TEXTJOIN("", "", TRUE, ARRAYFORMULA(XLOOKUP(TRIM(SPLIT(Z26, "","")), Equipo[nickname], Equipo[user], """"))))"),"lbernal")</f>
        <v>lbernal</v>
      </c>
      <c r="AB26" s="56" t="s">
        <v>263</v>
      </c>
      <c r="AC26" s="41" t="str">
        <f>IFERROR(__xludf.DUMMYFUNCTION("IF(EXACT(AB26, """"), """", TEXTJOIN("", "", TRUE, ARRAYFORMULA(XLOOKUP(TRIM(SPLIT(AB26, "","")), Equipo[nickname], Equipo[user]))))"),"avazquez")</f>
        <v>avazquez</v>
      </c>
      <c r="AD26" s="44" t="s">
        <v>237</v>
      </c>
      <c r="AE26" s="41" t="str">
        <f>IFERROR(__xludf.DUMMYFUNCTION("IF(EXACT(AD26, """"), """", TEXTJOIN("", "", TRUE, ARRAYFORMULA(XLOOKUP(TRIM(SPLIT(AD26, "","")), Equipo[nickname], Equipo[user], """"))))"),"egonzalez")</f>
        <v>egonzalez</v>
      </c>
      <c r="AF26" s="56"/>
      <c r="AG26" s="57" t="str">
        <f>IFERROR(__xludf.DUMMYFUNCTION("IF(EXACT(AF26, """"), """", TEXTJOIN("", "", TRUE, ARRAYFORMULA(XLOOKUP(TRIM(SPLIT(AF26, "","")), Equipo[nickname], Equipo[user], """"))))"),"")</f>
        <v/>
      </c>
      <c r="AH26" s="57"/>
      <c r="AI26" s="58"/>
    </row>
    <row r="27" ht="22.5" customHeight="1">
      <c r="A27" s="41">
        <v>1021.0</v>
      </c>
      <c r="B27" s="50" t="s">
        <v>374</v>
      </c>
      <c r="C27" s="41" t="s">
        <v>375</v>
      </c>
      <c r="D27" s="42" t="s">
        <v>376</v>
      </c>
      <c r="E27" s="42" t="s">
        <v>225</v>
      </c>
      <c r="F27" s="41" t="s">
        <v>226</v>
      </c>
      <c r="G27" s="42" t="s">
        <v>282</v>
      </c>
      <c r="H27" s="41" t="s">
        <v>228</v>
      </c>
      <c r="I27" s="70" t="s">
        <v>377</v>
      </c>
      <c r="J27" s="44" t="s">
        <v>277</v>
      </c>
      <c r="K27" s="53">
        <v>0.5</v>
      </c>
      <c r="L27" s="44" t="s">
        <v>244</v>
      </c>
      <c r="M27" s="42" t="s">
        <v>226</v>
      </c>
      <c r="N27" s="44" t="s">
        <v>378</v>
      </c>
      <c r="O27" s="71" t="s">
        <v>361</v>
      </c>
      <c r="P27" s="41">
        <v>2.0</v>
      </c>
      <c r="Q27" s="55">
        <v>46005.0</v>
      </c>
      <c r="R27" s="55">
        <v>46005.0</v>
      </c>
      <c r="S27" s="55">
        <v>46005.0</v>
      </c>
      <c r="T27" s="55">
        <v>46112.0</v>
      </c>
      <c r="U27" s="41" t="s">
        <v>234</v>
      </c>
      <c r="V27" s="44" t="s">
        <v>151</v>
      </c>
      <c r="W27" s="56" t="str">
        <f t="array" ref="W27">IF(EXACT(V27, ""), "", XLOOKUP(V27, Equipo[nickname], Equipo[user]))</f>
        <v>hloredo</v>
      </c>
      <c r="X27" s="44" t="s">
        <v>149</v>
      </c>
      <c r="Y27" s="56"/>
      <c r="Z27" s="41"/>
      <c r="AA27" s="41" t="str">
        <f>IFERROR(__xludf.DUMMYFUNCTION("IF(EXACT(Z27, """"), """", TEXTJOIN("", "", TRUE, ARRAYFORMULA(XLOOKUP(TRIM(SPLIT(Z27, "","")), Equipo[nickname], Equipo[user], """"))))"),"")</f>
        <v/>
      </c>
      <c r="AB27" s="56"/>
      <c r="AC27" s="41" t="str">
        <f>IFERROR(__xludf.DUMMYFUNCTION("IF(EXACT(AB27, """"), """", TEXTJOIN("", "", TRUE, ARRAYFORMULA(XLOOKUP(TRIM(SPLIT(AB27, "","")), Equipo[nickname], Equipo[user]))))"),"")</f>
        <v/>
      </c>
      <c r="AD27" s="44" t="s">
        <v>237</v>
      </c>
      <c r="AE27" s="41" t="str">
        <f>IFERROR(__xludf.DUMMYFUNCTION("IF(EXACT(AD27, """"), """", TEXTJOIN("", "", TRUE, ARRAYFORMULA(XLOOKUP(TRIM(SPLIT(AD27, "","")), Equipo[nickname], Equipo[user], """"))))"),"egonzalez")</f>
        <v>egonzalez</v>
      </c>
      <c r="AF27" s="56" t="s">
        <v>379</v>
      </c>
      <c r="AG27" s="57" t="str">
        <f>IFERROR(__xludf.DUMMYFUNCTION("IF(EXACT(AF27, """"), """", TEXTJOIN("", "", TRUE, ARRAYFORMULA(XLOOKUP(TRIM(SPLIT(AF27, "","")), Equipo[nickname], Equipo[user], """"))))"),"fgonzalez, fgonzalezr, hloredo")</f>
        <v>fgonzalez, fgonzalezr, hloredo</v>
      </c>
      <c r="AH27" s="57" t="s">
        <v>380</v>
      </c>
      <c r="AI27" s="58">
        <v>46142.0</v>
      </c>
    </row>
    <row r="28" ht="22.5" customHeight="1">
      <c r="A28" s="41">
        <v>1022.0</v>
      </c>
      <c r="B28" s="50" t="s">
        <v>381</v>
      </c>
      <c r="C28" s="41" t="s">
        <v>382</v>
      </c>
      <c r="D28" s="42" t="s">
        <v>383</v>
      </c>
      <c r="E28" s="42" t="s">
        <v>225</v>
      </c>
      <c r="F28" s="41" t="s">
        <v>226</v>
      </c>
      <c r="G28" s="42" t="s">
        <v>227</v>
      </c>
      <c r="H28" s="41" t="s">
        <v>228</v>
      </c>
      <c r="I28" s="70" t="s">
        <v>377</v>
      </c>
      <c r="J28" s="44" t="s">
        <v>243</v>
      </c>
      <c r="K28" s="53">
        <v>0.2</v>
      </c>
      <c r="L28" s="44" t="s">
        <v>231</v>
      </c>
      <c r="M28" s="42" t="s">
        <v>226</v>
      </c>
      <c r="N28" s="44" t="s">
        <v>321</v>
      </c>
      <c r="O28" s="71" t="s">
        <v>262</v>
      </c>
      <c r="P28" s="41">
        <v>1.0</v>
      </c>
      <c r="Q28" s="55">
        <v>46005.0</v>
      </c>
      <c r="R28" s="55">
        <v>46005.0</v>
      </c>
      <c r="S28" s="55">
        <v>46005.0</v>
      </c>
      <c r="T28" s="55">
        <v>46203.0</v>
      </c>
      <c r="U28" s="41" t="s">
        <v>234</v>
      </c>
      <c r="V28" s="44" t="s">
        <v>151</v>
      </c>
      <c r="W28" s="56" t="str">
        <f t="array" ref="W28">IF(EXACT(V28, ""), "", XLOOKUP(V28, Equipo[nickname], Equipo[user]))</f>
        <v>hloredo</v>
      </c>
      <c r="X28" s="44" t="s">
        <v>149</v>
      </c>
      <c r="Y28" s="56"/>
      <c r="Z28" s="41" t="s">
        <v>235</v>
      </c>
      <c r="AA28" s="41" t="str">
        <f>IFERROR(__xludf.DUMMYFUNCTION("IF(EXACT(Z28, """"), """", TEXTJOIN("", "", TRUE, ARRAYFORMULA(XLOOKUP(TRIM(SPLIT(Z28, "","")), Equipo[nickname], Equipo[user], """"))))"),"lbernal")</f>
        <v>lbernal</v>
      </c>
      <c r="AB28" s="56" t="s">
        <v>235</v>
      </c>
      <c r="AC28" s="41" t="str">
        <f>IFERROR(__xludf.DUMMYFUNCTION("IF(EXACT(AB28, """"), """", TEXTJOIN("", "", TRUE, ARRAYFORMULA(XLOOKUP(TRIM(SPLIT(AB28, "","")), Equipo[nickname], Equipo[user]))))"),"lbernal")</f>
        <v>lbernal</v>
      </c>
      <c r="AD28" s="44" t="s">
        <v>237</v>
      </c>
      <c r="AE28" s="41" t="str">
        <f>IFERROR(__xludf.DUMMYFUNCTION("IF(EXACT(AD28, """"), """", TEXTJOIN("", "", TRUE, ARRAYFORMULA(XLOOKUP(TRIM(SPLIT(AD28, "","")), Equipo[nickname], Equipo[user], """"))))"),"egonzalez")</f>
        <v>egonzalez</v>
      </c>
      <c r="AF28" s="56" t="s">
        <v>235</v>
      </c>
      <c r="AG28" s="57" t="str">
        <f>IFERROR(__xludf.DUMMYFUNCTION("IF(EXACT(AF28, """"), """", TEXTJOIN("", "", TRUE, ARRAYFORMULA(XLOOKUP(TRIM(SPLIT(AF28, "","")), Equipo[nickname], Equipo[user], """"))))"),"lbernal")</f>
        <v>lbernal</v>
      </c>
      <c r="AH28" s="57" t="s">
        <v>384</v>
      </c>
      <c r="AI28" s="58">
        <v>46142.0</v>
      </c>
    </row>
    <row r="29" ht="22.5" customHeight="1">
      <c r="A29" s="41">
        <v>1023.0</v>
      </c>
      <c r="B29" s="50" t="s">
        <v>385</v>
      </c>
      <c r="C29" s="41" t="s">
        <v>386</v>
      </c>
      <c r="D29" s="42" t="s">
        <v>387</v>
      </c>
      <c r="E29" s="42" t="s">
        <v>225</v>
      </c>
      <c r="F29" s="41" t="s">
        <v>226</v>
      </c>
      <c r="G29" s="42" t="s">
        <v>282</v>
      </c>
      <c r="H29" s="41" t="s">
        <v>228</v>
      </c>
      <c r="I29" s="70" t="s">
        <v>377</v>
      </c>
      <c r="J29" s="44" t="s">
        <v>277</v>
      </c>
      <c r="K29" s="53">
        <v>0.3</v>
      </c>
      <c r="L29" s="44" t="s">
        <v>269</v>
      </c>
      <c r="M29" s="42" t="s">
        <v>226</v>
      </c>
      <c r="N29" s="44" t="s">
        <v>378</v>
      </c>
      <c r="O29" s="76"/>
      <c r="P29" s="41">
        <v>100.0</v>
      </c>
      <c r="Q29" s="55">
        <v>46005.0</v>
      </c>
      <c r="R29" s="55">
        <v>46005.0</v>
      </c>
      <c r="S29" s="55">
        <v>46005.0</v>
      </c>
      <c r="T29" s="55">
        <v>46387.0</v>
      </c>
      <c r="U29" s="41" t="s">
        <v>234</v>
      </c>
      <c r="V29" s="44" t="s">
        <v>151</v>
      </c>
      <c r="W29" s="56" t="str">
        <f t="array" ref="W29">IF(EXACT(V29, ""), "", XLOOKUP(V29, Equipo[nickname], Equipo[user]))</f>
        <v>hloredo</v>
      </c>
      <c r="X29" s="44" t="s">
        <v>149</v>
      </c>
      <c r="Y29" s="56"/>
      <c r="Z29" s="41"/>
      <c r="AA29" s="41" t="str">
        <f>IFERROR(__xludf.DUMMYFUNCTION("IF(EXACT(Z29, """"), """", TEXTJOIN("", "", TRUE, ARRAYFORMULA(XLOOKUP(TRIM(SPLIT(Z29, "","")), Equipo[nickname], Equipo[user], """"))))"),"")</f>
        <v/>
      </c>
      <c r="AB29" s="56"/>
      <c r="AC29" s="41" t="str">
        <f>IFERROR(__xludf.DUMMYFUNCTION("IF(EXACT(AB29, """"), """", TEXTJOIN("", "", TRUE, ARRAYFORMULA(XLOOKUP(TRIM(SPLIT(AB29, "","")), Equipo[nickname], Equipo[user]))))"),"")</f>
        <v/>
      </c>
      <c r="AD29" s="44" t="s">
        <v>237</v>
      </c>
      <c r="AE29" s="41" t="str">
        <f>IFERROR(__xludf.DUMMYFUNCTION("IF(EXACT(AD29, """"), """", TEXTJOIN("", "", TRUE, ARRAYFORMULA(XLOOKUP(TRIM(SPLIT(AD29, "","")), Equipo[nickname], Equipo[user], """"))))"),"egonzalez")</f>
        <v>egonzalez</v>
      </c>
      <c r="AF29" s="56" t="s">
        <v>388</v>
      </c>
      <c r="AG29" s="57" t="str">
        <f>IFERROR(__xludf.DUMMYFUNCTION("IF(EXACT(AF29, """"), """", TEXTJOIN("", "", TRUE, ARRAYFORMULA(XLOOKUP(TRIM(SPLIT(AF29, "","")), Equipo[nickname], Equipo[user], """"))))"),"")</f>
        <v/>
      </c>
      <c r="AH29" s="57" t="s">
        <v>389</v>
      </c>
      <c r="AI29" s="58">
        <v>46142.0</v>
      </c>
    </row>
    <row r="30" ht="22.5" customHeight="1">
      <c r="A30" s="41">
        <v>1024.0</v>
      </c>
      <c r="B30" s="50" t="s">
        <v>390</v>
      </c>
      <c r="C30" s="41" t="s">
        <v>391</v>
      </c>
      <c r="D30" s="42" t="s">
        <v>392</v>
      </c>
      <c r="E30" s="42" t="s">
        <v>225</v>
      </c>
      <c r="F30" s="41" t="s">
        <v>226</v>
      </c>
      <c r="G30" s="42" t="s">
        <v>282</v>
      </c>
      <c r="H30" s="41" t="s">
        <v>228</v>
      </c>
      <c r="I30" s="70" t="s">
        <v>377</v>
      </c>
      <c r="J30" s="44" t="s">
        <v>277</v>
      </c>
      <c r="K30" s="53">
        <v>0.1</v>
      </c>
      <c r="L30" s="44" t="s">
        <v>231</v>
      </c>
      <c r="M30" s="42" t="s">
        <v>226</v>
      </c>
      <c r="N30" s="44" t="s">
        <v>378</v>
      </c>
      <c r="O30" s="76"/>
      <c r="P30" s="41">
        <v>5.0</v>
      </c>
      <c r="Q30" s="55">
        <v>46005.0</v>
      </c>
      <c r="R30" s="55">
        <v>46005.0</v>
      </c>
      <c r="S30" s="55">
        <v>46005.0</v>
      </c>
      <c r="T30" s="55">
        <v>46387.0</v>
      </c>
      <c r="U30" s="41" t="s">
        <v>234</v>
      </c>
      <c r="V30" s="44" t="s">
        <v>151</v>
      </c>
      <c r="W30" s="56" t="str">
        <f t="array" ref="W30">IF(EXACT(V30, ""), "", XLOOKUP(V30, Equipo[nickname], Equipo[user]))</f>
        <v>hloredo</v>
      </c>
      <c r="X30" s="44" t="s">
        <v>149</v>
      </c>
      <c r="Y30" s="56"/>
      <c r="Z30" s="56"/>
      <c r="AA30" s="41" t="str">
        <f>IFERROR(__xludf.DUMMYFUNCTION("IF(EXACT(Z30, """"), """", TEXTJOIN("", "", TRUE, ARRAYFORMULA(XLOOKUP(TRIM(SPLIT(Z30, "","")), Equipo[nickname], Equipo[user], """"))))"),"")</f>
        <v/>
      </c>
      <c r="AB30" s="56"/>
      <c r="AC30" s="41" t="str">
        <f>IFERROR(__xludf.DUMMYFUNCTION("IF(EXACT(AB30, """"), """", TEXTJOIN("", "", TRUE, ARRAYFORMULA(XLOOKUP(TRIM(SPLIT(AB30, "","")), Equipo[nickname], Equipo[user]))))"),"")</f>
        <v/>
      </c>
      <c r="AD30" s="44" t="s">
        <v>271</v>
      </c>
      <c r="AE30" s="41" t="str">
        <f>IFERROR(__xludf.DUMMYFUNCTION("IF(EXACT(AD30, """"), """", TEXTJOIN("", "", TRUE, ARRAYFORMULA(XLOOKUP(TRIM(SPLIT(AD30, "","")), Equipo[nickname], Equipo[user], """"))))"),"")</f>
        <v/>
      </c>
      <c r="AF30" s="56" t="s">
        <v>388</v>
      </c>
      <c r="AG30" s="57" t="str">
        <f>IFERROR(__xludf.DUMMYFUNCTION("IF(EXACT(AF30, """"), """", TEXTJOIN("", "", TRUE, ARRAYFORMULA(XLOOKUP(TRIM(SPLIT(AF30, "","")), Equipo[nickname], Equipo[user], """"))))"),"")</f>
        <v/>
      </c>
      <c r="AH30" s="57" t="s">
        <v>389</v>
      </c>
      <c r="AI30" s="58">
        <v>46161.0</v>
      </c>
    </row>
    <row r="31" ht="22.5" customHeight="1">
      <c r="A31" s="41">
        <v>1025.0</v>
      </c>
      <c r="B31" s="50" t="s">
        <v>393</v>
      </c>
      <c r="C31" s="41" t="s">
        <v>394</v>
      </c>
      <c r="D31" s="42" t="s">
        <v>395</v>
      </c>
      <c r="E31" s="42" t="s">
        <v>225</v>
      </c>
      <c r="F31" s="41" t="s">
        <v>226</v>
      </c>
      <c r="G31" s="42" t="s">
        <v>227</v>
      </c>
      <c r="H31" s="41" t="s">
        <v>228</v>
      </c>
      <c r="I31" s="70" t="s">
        <v>377</v>
      </c>
      <c r="J31" s="44" t="s">
        <v>277</v>
      </c>
      <c r="K31" s="53">
        <v>0.1</v>
      </c>
      <c r="L31" s="44" t="s">
        <v>269</v>
      </c>
      <c r="M31" s="42" t="s">
        <v>226</v>
      </c>
      <c r="N31" s="44" t="s">
        <v>378</v>
      </c>
      <c r="O31" s="76"/>
      <c r="P31" s="41">
        <v>100.0</v>
      </c>
      <c r="Q31" s="55">
        <v>46009.0</v>
      </c>
      <c r="R31" s="55">
        <v>46009.0</v>
      </c>
      <c r="S31" s="55">
        <v>46009.0</v>
      </c>
      <c r="T31" s="55">
        <v>46387.0</v>
      </c>
      <c r="U31" s="41" t="s">
        <v>234</v>
      </c>
      <c r="V31" s="44" t="s">
        <v>151</v>
      </c>
      <c r="W31" s="56" t="str">
        <f t="array" ref="W31">IF(EXACT(V31, ""), "", XLOOKUP(V31, Equipo[nickname], Equipo[user]))</f>
        <v>hloredo</v>
      </c>
      <c r="X31" s="44" t="s">
        <v>149</v>
      </c>
      <c r="Y31" s="56"/>
      <c r="Z31" s="56"/>
      <c r="AA31" s="41" t="str">
        <f>IFERROR(__xludf.DUMMYFUNCTION("IF(EXACT(Z31, """"), """", TEXTJOIN("", "", TRUE, ARRAYFORMULA(XLOOKUP(TRIM(SPLIT(Z31, "","")), Equipo[nickname], Equipo[user], """"))))"),"")</f>
        <v/>
      </c>
      <c r="AB31" s="56"/>
      <c r="AC31" s="41" t="str">
        <f>IFERROR(__xludf.DUMMYFUNCTION("IF(EXACT(AB31, """"), """", TEXTJOIN("", "", TRUE, ARRAYFORMULA(XLOOKUP(TRIM(SPLIT(AB31, "","")), Equipo[nickname], Equipo[user]))))"),"")</f>
        <v/>
      </c>
      <c r="AD31" s="44" t="s">
        <v>237</v>
      </c>
      <c r="AE31" s="41" t="str">
        <f>IFERROR(__xludf.DUMMYFUNCTION("IF(EXACT(AD31, """"), """", TEXTJOIN("", "", TRUE, ARRAYFORMULA(XLOOKUP(TRIM(SPLIT(AD31, "","")), Equipo[nickname], Equipo[user], """"))))"),"egonzalez")</f>
        <v>egonzalez</v>
      </c>
      <c r="AF31" s="56" t="s">
        <v>388</v>
      </c>
      <c r="AG31" s="57" t="str">
        <f>IFERROR(__xludf.DUMMYFUNCTION("IF(EXACT(AF31, """"), """", TEXTJOIN("", "", TRUE, ARRAYFORMULA(XLOOKUP(TRIM(SPLIT(AF31, "","")), Equipo[nickname], Equipo[user], """"))))"),"")</f>
        <v/>
      </c>
      <c r="AH31" s="57" t="s">
        <v>389</v>
      </c>
      <c r="AI31" s="58">
        <v>46142.0</v>
      </c>
    </row>
    <row r="32" ht="22.5" customHeight="1">
      <c r="A32" s="41">
        <v>1026.0</v>
      </c>
      <c r="B32" s="50" t="s">
        <v>396</v>
      </c>
      <c r="C32" s="41" t="s">
        <v>397</v>
      </c>
      <c r="D32" s="42" t="s">
        <v>398</v>
      </c>
      <c r="E32" s="42" t="s">
        <v>225</v>
      </c>
      <c r="F32" s="41" t="s">
        <v>226</v>
      </c>
      <c r="G32" s="42" t="s">
        <v>227</v>
      </c>
      <c r="H32" s="41" t="s">
        <v>228</v>
      </c>
      <c r="I32" s="70" t="s">
        <v>377</v>
      </c>
      <c r="J32" s="44" t="s">
        <v>230</v>
      </c>
      <c r="K32" s="53">
        <v>0.1</v>
      </c>
      <c r="L32" s="44" t="s">
        <v>231</v>
      </c>
      <c r="M32" s="42" t="s">
        <v>226</v>
      </c>
      <c r="N32" s="44" t="s">
        <v>245</v>
      </c>
      <c r="O32" s="76"/>
      <c r="P32" s="41">
        <v>144.0</v>
      </c>
      <c r="Q32" s="55">
        <v>46064.0</v>
      </c>
      <c r="R32" s="55">
        <v>46064.0</v>
      </c>
      <c r="S32" s="55">
        <v>46064.0</v>
      </c>
      <c r="T32" s="55">
        <v>46142.0</v>
      </c>
      <c r="U32" s="41" t="s">
        <v>234</v>
      </c>
      <c r="V32" s="44" t="s">
        <v>151</v>
      </c>
      <c r="W32" s="56" t="str">
        <f t="array" ref="W32">IF(EXACT(V32, ""), "", XLOOKUP(V32, Equipo[nickname], Equipo[user]))</f>
        <v>hloredo</v>
      </c>
      <c r="X32" s="44" t="s">
        <v>149</v>
      </c>
      <c r="Y32" s="56"/>
      <c r="Z32" s="41" t="s">
        <v>158</v>
      </c>
      <c r="AA32" s="41" t="str">
        <f>IFERROR(__xludf.DUMMYFUNCTION("IF(EXACT(Z32, """"), """", TEXTJOIN("", "", TRUE, ARRAYFORMULA(XLOOKUP(TRIM(SPLIT(Z32, "","")), Equipo[nickname], Equipo[user], """"))))"),"emontano")</f>
        <v>emontano</v>
      </c>
      <c r="AB32" s="56" t="s">
        <v>235</v>
      </c>
      <c r="AC32" s="41" t="str">
        <f>IFERROR(__xludf.DUMMYFUNCTION("IF(EXACT(AB32, """"), """", TEXTJOIN("", "", TRUE, ARRAYFORMULA(XLOOKUP(TRIM(SPLIT(AB32, "","")), Equipo[nickname], Equipo[user]))))"),"lbernal")</f>
        <v>lbernal</v>
      </c>
      <c r="AD32" s="44" t="s">
        <v>237</v>
      </c>
      <c r="AE32" s="41" t="str">
        <f>IFERROR(__xludf.DUMMYFUNCTION("IF(EXACT(AD32, """"), """", TEXTJOIN("", "", TRUE, ARRAYFORMULA(XLOOKUP(TRIM(SPLIT(AD32, "","")), Equipo[nickname], Equipo[user], """"))))"),"egonzalez")</f>
        <v>egonzalez</v>
      </c>
      <c r="AF32" s="56" t="s">
        <v>399</v>
      </c>
      <c r="AG32" s="57" t="str">
        <f>IFERROR(__xludf.DUMMYFUNCTION("IF(EXACT(AF32, """"), """", TEXTJOIN("", "", TRUE, ARRAYFORMULA(XLOOKUP(TRIM(SPLIT(AF32, "","")), Equipo[nickname], Equipo[user], """"))))"),"lbernal, emontano")</f>
        <v>lbernal, emontano</v>
      </c>
      <c r="AH32" s="57" t="s">
        <v>400</v>
      </c>
      <c r="AI32" s="58">
        <v>46142.0</v>
      </c>
    </row>
    <row r="33" ht="22.5" customHeight="1">
      <c r="A33" s="41">
        <v>1030.0</v>
      </c>
      <c r="B33" s="50" t="s">
        <v>401</v>
      </c>
      <c r="C33" s="51" t="s">
        <v>402</v>
      </c>
      <c r="D33" s="52" t="s">
        <v>403</v>
      </c>
      <c r="E33" s="42" t="s">
        <v>225</v>
      </c>
      <c r="F33" s="41" t="s">
        <v>226</v>
      </c>
      <c r="G33" s="42" t="s">
        <v>404</v>
      </c>
      <c r="H33" s="41" t="s">
        <v>228</v>
      </c>
      <c r="I33" s="44" t="s">
        <v>229</v>
      </c>
      <c r="J33" s="44" t="s">
        <v>277</v>
      </c>
      <c r="K33" s="53">
        <v>0.95</v>
      </c>
      <c r="L33" s="44" t="s">
        <v>231</v>
      </c>
      <c r="M33" s="41" t="s">
        <v>226</v>
      </c>
      <c r="N33" s="44" t="s">
        <v>232</v>
      </c>
      <c r="O33" s="71" t="s">
        <v>233</v>
      </c>
      <c r="P33" s="41">
        <v>80.0</v>
      </c>
      <c r="Q33" s="55">
        <v>46082.0</v>
      </c>
      <c r="R33" s="55">
        <v>46113.0</v>
      </c>
      <c r="S33" s="55">
        <v>46113.0</v>
      </c>
      <c r="T33" s="55">
        <v>46164.0</v>
      </c>
      <c r="U33" s="41" t="s">
        <v>234</v>
      </c>
      <c r="V33" s="44" t="s">
        <v>151</v>
      </c>
      <c r="W33" s="56" t="str">
        <f t="array" ref="W33">IF(EXACT(V33, ""), "", XLOOKUP(V33, Equipo[nickname], Equipo[user]))</f>
        <v>hloredo</v>
      </c>
      <c r="X33" s="44" t="s">
        <v>149</v>
      </c>
      <c r="Y33" s="56" t="str">
        <f t="array" ref="Y33">IF(EXACT(X33, ""), "", XLOOKUP(X33, Equipo[nickname], Equipo[user]))</f>
        <v>dgonzalez</v>
      </c>
      <c r="Z33" s="56" t="s">
        <v>235</v>
      </c>
      <c r="AA33" s="56" t="str">
        <f>IFERROR(__xludf.DUMMYFUNCTION("IF(EXACT(Z33, """"), """", TEXTJOIN("", "", TRUE, ARRAYFORMULA(XLOOKUP(TRIM(SPLIT(Z33, "","")), Equipo[nickname], Equipo[user], """"))))"),"lbernal")</f>
        <v>lbernal</v>
      </c>
      <c r="AB33" s="56" t="s">
        <v>405</v>
      </c>
      <c r="AC33" s="41" t="str">
        <f>IFERROR(__xludf.DUMMYFUNCTION("IF(EXACT(AB33, """"), """", TEXTJOIN("", "", TRUE, ARRAYFORMULA(XLOOKUP(TRIM(SPLIT(AB33, "","")), Equipo[nickname], Equipo[user]))))"),"etorres, econtreras, lolvera")</f>
        <v>etorres, econtreras, lolvera</v>
      </c>
      <c r="AD33" s="44" t="s">
        <v>237</v>
      </c>
      <c r="AE33" s="41" t="str">
        <f>IFERROR(__xludf.DUMMYFUNCTION("IF(EXACT(AD33, """"), """", TEXTJOIN("", "", TRUE, ARRAYFORMULA(XLOOKUP(TRIM(SPLIT(AD33, "","")), Equipo[nickname], Equipo[user], """"))))"),"egonzalez")</f>
        <v>egonzalez</v>
      </c>
      <c r="AF33" s="56" t="s">
        <v>355</v>
      </c>
      <c r="AG33" s="57" t="str">
        <f>IFERROR(__xludf.DUMMYFUNCTION("IF(EXACT(AF33, """"), """", TEXTJOIN("", "", TRUE, ARRAYFORMULA(XLOOKUP(TRIM(SPLIT(AF33, "","")), Equipo[nickname], Equipo[user], """"))))"),"econtreras")</f>
        <v>econtreras</v>
      </c>
      <c r="AH33" s="41" t="s">
        <v>406</v>
      </c>
      <c r="AI33" s="58">
        <v>46168.0</v>
      </c>
    </row>
    <row r="34" ht="22.5" customHeight="1">
      <c r="A34" s="41">
        <v>1027.0</v>
      </c>
      <c r="B34" s="50" t="s">
        <v>407</v>
      </c>
      <c r="C34" s="41" t="s">
        <v>408</v>
      </c>
      <c r="D34" s="42" t="s">
        <v>409</v>
      </c>
      <c r="E34" s="42" t="s">
        <v>225</v>
      </c>
      <c r="F34" s="41" t="s">
        <v>226</v>
      </c>
      <c r="G34" s="42" t="s">
        <v>404</v>
      </c>
      <c r="H34" s="41" t="s">
        <v>228</v>
      </c>
      <c r="I34" s="44" t="s">
        <v>377</v>
      </c>
      <c r="J34" s="44" t="s">
        <v>277</v>
      </c>
      <c r="K34" s="53">
        <v>0.8</v>
      </c>
      <c r="L34" s="44" t="s">
        <v>244</v>
      </c>
      <c r="M34" s="41" t="s">
        <v>226</v>
      </c>
      <c r="N34" s="44" t="s">
        <v>245</v>
      </c>
      <c r="O34" s="59" t="s">
        <v>322</v>
      </c>
      <c r="P34" s="41">
        <v>2.0</v>
      </c>
      <c r="Q34" s="55">
        <v>46005.0</v>
      </c>
      <c r="R34" s="55">
        <v>46005.0</v>
      </c>
      <c r="S34" s="55">
        <v>46005.0</v>
      </c>
      <c r="T34" s="55">
        <v>46112.0</v>
      </c>
      <c r="U34" s="41" t="s">
        <v>234</v>
      </c>
      <c r="V34" s="44" t="s">
        <v>151</v>
      </c>
      <c r="W34" s="56" t="str">
        <f t="array" ref="W34">IF(EXACT(V34, ""), "", XLOOKUP(V34, Equipo[nickname], Equipo[user]))</f>
        <v>hloredo</v>
      </c>
      <c r="X34" s="44" t="s">
        <v>149</v>
      </c>
      <c r="Y34" s="56" t="str">
        <f t="array" ref="Y34">IF(EXACT(X34, ""), "", XLOOKUP(X34, Equipo[nickname], Equipo[user]))</f>
        <v>dgonzalez</v>
      </c>
      <c r="Z34" s="41" t="s">
        <v>174</v>
      </c>
      <c r="AA34" s="41" t="str">
        <f>IFERROR(__xludf.DUMMYFUNCTION("IF(EXACT(Z34, """"), """", TEXTJOIN("", "", TRUE, ARRAYFORMULA(XLOOKUP(TRIM(SPLIT(Z34, "","")), Equipo[nickname], Equipo[user], """"))))"),"jenriquez")</f>
        <v>jenriquez</v>
      </c>
      <c r="AB34" s="56" t="s">
        <v>410</v>
      </c>
      <c r="AC34" s="41" t="str">
        <f>IFERROR(__xludf.DUMMYFUNCTION("IF(EXACT(AB34, """"), """", TEXTJOIN("", "", TRUE, ARRAYFORMULA(XLOOKUP(TRIM(SPLIT(AB34, "","")), Equipo[nickname], Equipo[user]))))"),"jlopez, ameza, jpatino")</f>
        <v>jlopez, ameza, jpatino</v>
      </c>
      <c r="AD34" s="44" t="s">
        <v>237</v>
      </c>
      <c r="AE34" s="41" t="str">
        <f>IFERROR(__xludf.DUMMYFUNCTION("IF(EXACT(AD34, """"), """", TEXTJOIN("", "", TRUE, ARRAYFORMULA(XLOOKUP(TRIM(SPLIT(AD34, "","")), Equipo[nickname], Equipo[user], """"))))"),"egonzalez")</f>
        <v>egonzalez</v>
      </c>
      <c r="AF34" s="56" t="s">
        <v>235</v>
      </c>
      <c r="AG34" s="57" t="str">
        <f>IFERROR(__xludf.DUMMYFUNCTION("IF(EXACT(AF34, """"), """", TEXTJOIN("", "", TRUE, ARRAYFORMULA(XLOOKUP(TRIM(SPLIT(AF34, "","")), Equipo[nickname], Equipo[user], """"))))"),"lbernal")</f>
        <v>lbernal</v>
      </c>
      <c r="AH34" s="57" t="s">
        <v>411</v>
      </c>
      <c r="AI34" s="58">
        <v>46136.0</v>
      </c>
    </row>
    <row r="35" ht="22.5" customHeight="1">
      <c r="A35" s="41">
        <v>1028.0</v>
      </c>
      <c r="B35" s="50" t="s">
        <v>412</v>
      </c>
      <c r="C35" s="41" t="s">
        <v>413</v>
      </c>
      <c r="D35" s="42" t="s">
        <v>414</v>
      </c>
      <c r="E35" s="42" t="s">
        <v>225</v>
      </c>
      <c r="F35" s="41" t="s">
        <v>226</v>
      </c>
      <c r="G35" s="42" t="s">
        <v>227</v>
      </c>
      <c r="H35" s="41" t="s">
        <v>228</v>
      </c>
      <c r="I35" s="44" t="s">
        <v>377</v>
      </c>
      <c r="J35" s="44" t="s">
        <v>277</v>
      </c>
      <c r="K35" s="53">
        <v>0.2</v>
      </c>
      <c r="L35" s="44" t="s">
        <v>244</v>
      </c>
      <c r="M35" s="41" t="s">
        <v>226</v>
      </c>
      <c r="N35" s="44" t="s">
        <v>232</v>
      </c>
      <c r="O35" s="59" t="s">
        <v>415</v>
      </c>
      <c r="P35" s="41">
        <v>2.0</v>
      </c>
      <c r="Q35" s="55">
        <v>46005.0</v>
      </c>
      <c r="R35" s="55">
        <v>46005.0</v>
      </c>
      <c r="S35" s="55">
        <v>46005.0</v>
      </c>
      <c r="T35" s="55">
        <v>46173.0</v>
      </c>
      <c r="U35" s="41" t="s">
        <v>234</v>
      </c>
      <c r="V35" s="44" t="s">
        <v>151</v>
      </c>
      <c r="W35" s="56" t="str">
        <f t="array" ref="W35">IF(EXACT(V35, ""), "", XLOOKUP(V35, Equipo[nickname], Equipo[user]))</f>
        <v>hloredo</v>
      </c>
      <c r="X35" s="44" t="s">
        <v>149</v>
      </c>
      <c r="Y35" s="56" t="str">
        <f t="array" ref="Y35">IF(EXACT(X35, ""), "", XLOOKUP(X35, Equipo[nickname], Equipo[user]))</f>
        <v>dgonzalez</v>
      </c>
      <c r="Z35" s="41" t="s">
        <v>174</v>
      </c>
      <c r="AA35" s="41" t="str">
        <f>IFERROR(__xludf.DUMMYFUNCTION("IF(EXACT(Z35, """"), """", TEXTJOIN("", "", TRUE, ARRAYFORMULA(XLOOKUP(TRIM(SPLIT(Z35, "","")), Equipo[nickname], Equipo[user], """"))))"),"jenriquez")</f>
        <v>jenriquez</v>
      </c>
      <c r="AB35" s="56" t="s">
        <v>263</v>
      </c>
      <c r="AC35" s="41" t="str">
        <f>IFERROR(__xludf.DUMMYFUNCTION("IF(EXACT(AB35, """"), """", TEXTJOIN("", "", TRUE, ARRAYFORMULA(XLOOKUP(TRIM(SPLIT(AB35, "","")), Equipo[nickname], Equipo[user]))))"),"avazquez")</f>
        <v>avazquez</v>
      </c>
      <c r="AD35" s="44" t="s">
        <v>237</v>
      </c>
      <c r="AE35" s="41" t="str">
        <f>IFERROR(__xludf.DUMMYFUNCTION("IF(EXACT(AD35, """"), """", TEXTJOIN("", "", TRUE, ARRAYFORMULA(XLOOKUP(TRIM(SPLIT(AD35, "","")), Equipo[nickname], Equipo[user], """"))))"),"egonzalez")</f>
        <v>egonzalez</v>
      </c>
      <c r="AF35" s="56" t="s">
        <v>302</v>
      </c>
      <c r="AG35" s="57" t="str">
        <f>IFERROR(__xludf.DUMMYFUNCTION("IF(EXACT(AF35, """"), """", TEXTJOIN("", "", TRUE, ARRAYFORMULA(XLOOKUP(TRIM(SPLIT(AF35, "","")), Equipo[nickname], Equipo[user], """"))))"),"eramirez, jenriquez, hloredo")</f>
        <v>eramirez, jenriquez, hloredo</v>
      </c>
      <c r="AH35" s="57" t="s">
        <v>416</v>
      </c>
      <c r="AI35" s="58">
        <v>46115.0</v>
      </c>
    </row>
    <row r="36" ht="22.5" customHeight="1">
      <c r="A36" s="41">
        <v>1035.0</v>
      </c>
      <c r="B36" s="50" t="s">
        <v>417</v>
      </c>
      <c r="C36" s="41" t="s">
        <v>418</v>
      </c>
      <c r="D36" s="42" t="s">
        <v>419</v>
      </c>
      <c r="E36" s="42" t="s">
        <v>225</v>
      </c>
      <c r="F36" s="41" t="s">
        <v>226</v>
      </c>
      <c r="G36" s="42" t="s">
        <v>404</v>
      </c>
      <c r="H36" s="41" t="s">
        <v>228</v>
      </c>
      <c r="I36" s="70" t="s">
        <v>276</v>
      </c>
      <c r="J36" s="44" t="s">
        <v>277</v>
      </c>
      <c r="K36" s="53">
        <v>0.95</v>
      </c>
      <c r="L36" s="44" t="s">
        <v>269</v>
      </c>
      <c r="M36" s="42" t="s">
        <v>226</v>
      </c>
      <c r="N36" s="44" t="s">
        <v>232</v>
      </c>
      <c r="O36" s="71" t="s">
        <v>300</v>
      </c>
      <c r="P36" s="41">
        <v>2.0</v>
      </c>
      <c r="Q36" s="55">
        <v>46005.0</v>
      </c>
      <c r="R36" s="55">
        <v>46055.0</v>
      </c>
      <c r="S36" s="55">
        <v>46055.0</v>
      </c>
      <c r="T36" s="55">
        <v>46203.0</v>
      </c>
      <c r="U36" s="58">
        <v>46142.0</v>
      </c>
      <c r="V36" s="44" t="s">
        <v>151</v>
      </c>
      <c r="W36" s="56" t="str">
        <f t="array" ref="W36">IF(EXACT(V36, ""), "", XLOOKUP(V36, Equipo[nickname], Equipo[user]))</f>
        <v>hloredo</v>
      </c>
      <c r="X36" s="44" t="s">
        <v>149</v>
      </c>
      <c r="Y36" s="56" t="str">
        <f t="array" ref="Y36">IF(EXACT(X36, ""), "", XLOOKUP(X36, Equipo[nickname], Equipo[user]))</f>
        <v>dgonzalez</v>
      </c>
      <c r="Z36" s="41" t="s">
        <v>235</v>
      </c>
      <c r="AA36" s="41" t="str">
        <f>IFERROR(__xludf.DUMMYFUNCTION("IF(EXACT(Z36, """"), """", TEXTJOIN("", "", TRUE, ARRAYFORMULA(XLOOKUP(TRIM(SPLIT(Z36, "","")), Equipo[nickname], Equipo[user], """"))))"),"lbernal")</f>
        <v>lbernal</v>
      </c>
      <c r="AB36" s="56" t="s">
        <v>283</v>
      </c>
      <c r="AC36" s="41" t="str">
        <f>IFERROR(__xludf.DUMMYFUNCTION("IF(EXACT(AB36, """"), """", TEXTJOIN("", "", TRUE, ARRAYFORMULA(XLOOKUP(TRIM(SPLIT(AB36, "","")), Equipo[nickname], Equipo[user]))))"),"etorres")</f>
        <v>etorres</v>
      </c>
      <c r="AD36" s="44" t="s">
        <v>237</v>
      </c>
      <c r="AE36" s="41" t="str">
        <f>IFERROR(__xludf.DUMMYFUNCTION("IF(EXACT(AD36, """"), """", TEXTJOIN("", "", TRUE, ARRAYFORMULA(XLOOKUP(TRIM(SPLIT(AD36, "","")), Equipo[nickname], Equipo[user], """"))))"),"egonzalez")</f>
        <v>egonzalez</v>
      </c>
      <c r="AF36" s="56"/>
      <c r="AG36" s="57" t="str">
        <f>IFERROR(__xludf.DUMMYFUNCTION("IF(EXACT(AF36, """"), """", TEXTJOIN("", "", TRUE, ARRAYFORMULA(XLOOKUP(TRIM(SPLIT(AF36, "","")), Equipo[nickname], Equipo[user], """"))))"),"")</f>
        <v/>
      </c>
      <c r="AH36" s="41" t="s">
        <v>272</v>
      </c>
      <c r="AI36" s="41" t="s">
        <v>234</v>
      </c>
    </row>
    <row r="37" ht="22.5" customHeight="1">
      <c r="A37" s="41">
        <v>1031.0</v>
      </c>
      <c r="B37" s="50" t="s">
        <v>420</v>
      </c>
      <c r="C37" s="51" t="s">
        <v>421</v>
      </c>
      <c r="D37" s="51" t="s">
        <v>422</v>
      </c>
      <c r="E37" s="42" t="s">
        <v>225</v>
      </c>
      <c r="F37" s="41" t="s">
        <v>226</v>
      </c>
      <c r="G37" s="42" t="s">
        <v>227</v>
      </c>
      <c r="H37" s="41" t="s">
        <v>423</v>
      </c>
      <c r="I37" s="44" t="s">
        <v>424</v>
      </c>
      <c r="J37" s="44" t="s">
        <v>277</v>
      </c>
      <c r="K37" s="53">
        <v>0.1</v>
      </c>
      <c r="L37" s="44" t="s">
        <v>299</v>
      </c>
      <c r="M37" s="41" t="s">
        <v>226</v>
      </c>
      <c r="N37" s="44" t="s">
        <v>232</v>
      </c>
      <c r="O37" s="59" t="s">
        <v>262</v>
      </c>
      <c r="P37" s="41">
        <v>8.0</v>
      </c>
      <c r="Q37" s="55">
        <v>46082.0</v>
      </c>
      <c r="R37" s="55">
        <v>46113.0</v>
      </c>
      <c r="S37" s="55">
        <v>46113.0</v>
      </c>
      <c r="T37" s="55">
        <v>46164.0</v>
      </c>
      <c r="U37" s="41" t="s">
        <v>234</v>
      </c>
      <c r="V37" s="44" t="s">
        <v>151</v>
      </c>
      <c r="W37" s="56" t="str">
        <f t="array" ref="W37">IF(EXACT(V37, ""), "", XLOOKUP(V37, Equipo[nickname], Equipo[user]))</f>
        <v>hloredo</v>
      </c>
      <c r="X37" s="44" t="s">
        <v>149</v>
      </c>
      <c r="Y37" s="56" t="str">
        <f t="array" ref="Y37">IF(EXACT(X37, ""), "", XLOOKUP(X37, Equipo[nickname], Equipo[user]))</f>
        <v>dgonzalez</v>
      </c>
      <c r="Z37" s="56" t="s">
        <v>235</v>
      </c>
      <c r="AA37" s="56" t="str">
        <f>IFERROR(__xludf.DUMMYFUNCTION("IF(EXACT(Z37, """"), """", TEXTJOIN("", "", TRUE, ARRAYFORMULA(XLOOKUP(TRIM(SPLIT(Z37, "","")), Equipo[nickname], Equipo[user], """"))))"),"lbernal")</f>
        <v>lbernal</v>
      </c>
      <c r="AB37" s="56" t="s">
        <v>235</v>
      </c>
      <c r="AC37" s="41" t="str">
        <f>IFERROR(__xludf.DUMMYFUNCTION("IF(EXACT(AB37, """"), """", TEXTJOIN("", "", TRUE, ARRAYFORMULA(XLOOKUP(TRIM(SPLIT(AB37, "","")), Equipo[nickname], Equipo[user]))))"),"lbernal")</f>
        <v>lbernal</v>
      </c>
      <c r="AD37" s="77"/>
      <c r="AE37" s="41" t="str">
        <f>IFERROR(__xludf.DUMMYFUNCTION("IF(EXACT(AD37, """"), """", TEXTJOIN("", "", TRUE, ARRAYFORMULA(XLOOKUP(TRIM(SPLIT(AD37, "","")), Equipo[nickname], Equipo[user], """"))))"),"")</f>
        <v/>
      </c>
      <c r="AF37" s="56" t="s">
        <v>425</v>
      </c>
      <c r="AG37" s="57" t="str">
        <f>IFERROR(__xludf.DUMMYFUNCTION("IF(EXACT(AF37, """"), """", TEXTJOIN("", "", TRUE, ARRAYFORMULA(XLOOKUP(TRIM(SPLIT(AF37, "","")), Equipo[nickname], Equipo[user], """"))))"),"eramirez")</f>
        <v>eramirez</v>
      </c>
      <c r="AH37" s="57" t="s">
        <v>426</v>
      </c>
      <c r="AI37" s="58">
        <v>46173.0</v>
      </c>
    </row>
    <row r="38" ht="22.5" customHeight="1">
      <c r="A38" s="41">
        <v>1036.0</v>
      </c>
      <c r="B38" s="50" t="s">
        <v>427</v>
      </c>
      <c r="C38" s="51" t="s">
        <v>428</v>
      </c>
      <c r="D38" s="52" t="s">
        <v>429</v>
      </c>
      <c r="E38" s="42" t="s">
        <v>225</v>
      </c>
      <c r="F38" s="41" t="s">
        <v>226</v>
      </c>
      <c r="G38" s="42" t="s">
        <v>282</v>
      </c>
      <c r="H38" s="41" t="s">
        <v>228</v>
      </c>
      <c r="I38" s="44" t="s">
        <v>424</v>
      </c>
      <c r="J38" s="44" t="s">
        <v>243</v>
      </c>
      <c r="K38" s="53">
        <v>0.2</v>
      </c>
      <c r="L38" s="44" t="s">
        <v>252</v>
      </c>
      <c r="M38" s="41" t="s">
        <v>226</v>
      </c>
      <c r="N38" s="44" t="s">
        <v>232</v>
      </c>
      <c r="O38" s="54" t="s">
        <v>262</v>
      </c>
      <c r="P38" s="41">
        <v>40.0</v>
      </c>
      <c r="Q38" s="55">
        <v>46125.0</v>
      </c>
      <c r="R38" s="55">
        <v>46139.0</v>
      </c>
      <c r="S38" s="55">
        <v>46139.0</v>
      </c>
      <c r="T38" s="55">
        <v>46173.0</v>
      </c>
      <c r="U38" s="41" t="s">
        <v>234</v>
      </c>
      <c r="V38" s="44" t="s">
        <v>151</v>
      </c>
      <c r="W38" s="56" t="str">
        <f t="array" ref="W38">IF(EXACT(V38, ""), "", XLOOKUP(V38, Equipo[nickname], Equipo[user]))</f>
        <v>hloredo</v>
      </c>
      <c r="X38" s="44" t="s">
        <v>149</v>
      </c>
      <c r="Y38" s="56" t="str">
        <f t="array" ref="Y38">IF(EXACT(X38, ""), "", XLOOKUP(X38, Equipo[nickname], Equipo[user]))</f>
        <v>dgonzalez</v>
      </c>
      <c r="Z38" s="41" t="s">
        <v>235</v>
      </c>
      <c r="AA38" s="41" t="str">
        <f>IFERROR(__xludf.DUMMYFUNCTION("IF(EXACT(Z38, """"), """", TEXTJOIN("", "", TRUE, ARRAYFORMULA(XLOOKUP(TRIM(SPLIT(Z38, "","")), Equipo[nickname], Equipo[user], """"))))"),"lbernal")</f>
        <v>lbernal</v>
      </c>
      <c r="AB38" s="56" t="s">
        <v>295</v>
      </c>
      <c r="AC38" s="41" t="str">
        <f>IFERROR(__xludf.DUMMYFUNCTION("IF(EXACT(AB38, """"), """", TEXTJOIN("", "", TRUE, ARRAYFORMULA(XLOOKUP(TRIM(SPLIT(AB38, "","")), Equipo[nickname], Equipo[user]))))"),"ameza, etorres, lolvera, rescobar")</f>
        <v>ameza, etorres, lolvera, rescobar</v>
      </c>
      <c r="AD38" s="44" t="s">
        <v>237</v>
      </c>
      <c r="AE38" s="41" t="str">
        <f>IFERROR(__xludf.DUMMYFUNCTION("IF(EXACT(AD38, """"), """", TEXTJOIN("", "", TRUE, ARRAYFORMULA(XLOOKUP(TRIM(SPLIT(AD38, "","")), Equipo[nickname], Equipo[user], """"))))"),"egonzalez")</f>
        <v>egonzalez</v>
      </c>
      <c r="AF38" s="56" t="s">
        <v>151</v>
      </c>
      <c r="AG38" s="57" t="str">
        <f>IFERROR(__xludf.DUMMYFUNCTION("IF(EXACT(AF38, """"), """", TEXTJOIN("", "", TRUE, ARRAYFORMULA(XLOOKUP(TRIM(SPLIT(AF38, "","")), Equipo[nickname], Equipo[user], """"))))"),"hloredo")</f>
        <v>hloredo</v>
      </c>
      <c r="AH38" s="57" t="s">
        <v>430</v>
      </c>
      <c r="AI38" s="58">
        <v>46133.0</v>
      </c>
    </row>
    <row r="39" ht="22.5" hidden="1" customHeight="1">
      <c r="A39" s="61">
        <v>61.0</v>
      </c>
      <c r="C39" s="51" t="s">
        <v>431</v>
      </c>
      <c r="D39" s="52" t="s">
        <v>432</v>
      </c>
      <c r="E39" s="52" t="s">
        <v>433</v>
      </c>
      <c r="F39" s="52" t="s">
        <v>313</v>
      </c>
      <c r="G39" s="42" t="s">
        <v>227</v>
      </c>
      <c r="H39" s="41" t="s">
        <v>228</v>
      </c>
      <c r="I39" s="63" t="s">
        <v>424</v>
      </c>
      <c r="J39" s="44" t="s">
        <v>277</v>
      </c>
      <c r="K39" s="53">
        <v>0.1</v>
      </c>
      <c r="L39" s="63" t="s">
        <v>244</v>
      </c>
      <c r="M39" s="52" t="s">
        <v>313</v>
      </c>
      <c r="N39" s="63" t="s">
        <v>245</v>
      </c>
      <c r="O39" s="72"/>
      <c r="P39" s="65">
        <v>2.0</v>
      </c>
      <c r="Q39" s="66">
        <v>46003.0</v>
      </c>
      <c r="R39" s="66"/>
      <c r="S39" s="67">
        <v>46142.0</v>
      </c>
      <c r="T39" s="67">
        <v>46142.0</v>
      </c>
      <c r="U39" s="67">
        <v>46142.0</v>
      </c>
      <c r="V39" s="44" t="s">
        <v>172</v>
      </c>
      <c r="W39" s="56" t="str">
        <f t="array" ref="W39">IF(EXACT(V39, ""), "", XLOOKUP(V39, Equipo[nickname], Equipo[user]))</f>
        <v>rcuevas</v>
      </c>
      <c r="X39" s="44" t="s">
        <v>166</v>
      </c>
      <c r="Y39" s="56" t="str">
        <f t="array" ref="Y39">IF(EXACT(X39, ""), "", XLOOKUP(X39, Equipo[nickname], Equipo[user]))</f>
        <v>nmejia</v>
      </c>
      <c r="Z39" s="41" t="s">
        <v>174</v>
      </c>
      <c r="AA39" s="41" t="str">
        <f>IFERROR(__xludf.DUMMYFUNCTION("IF(EXACT(Z39, """"), """", TEXTJOIN("", "", TRUE, ARRAYFORMULA(XLOOKUP(TRIM(SPLIT(Z39, "","")), Equipo[nickname], Equipo[user], """"))))"),"jenriquez")</f>
        <v>jenriquez</v>
      </c>
      <c r="AB39" s="56"/>
      <c r="AC39" s="42" t="str">
        <f>IFERROR(__xludf.DUMMYFUNCTION("IF(EXACT(AB39, """"), """", TEXTJOIN("", "", TRUE, ARRAYFORMULA(XLOOKUP(TRIM(SPLIT(AB39, "","")), Equipo[nickname], Equipo[user]))))"),"")</f>
        <v/>
      </c>
      <c r="AD39" s="68" t="s">
        <v>271</v>
      </c>
      <c r="AE39" s="42" t="str">
        <f>IFERROR(__xludf.DUMMYFUNCTION("IF(EXACT(AD39, """"), """", TEXTJOIN("", "", TRUE, ARRAYFORMULA(XLOOKUP(TRIM(SPLIT(AD39, "","")), Equipo[nickname], Equipo[user], """"))))"),"")</f>
        <v/>
      </c>
      <c r="AF39" s="69"/>
      <c r="AG39" s="57" t="str">
        <f>IFERROR(__xludf.DUMMYFUNCTION("IF(EXACT(AF39, """"), """", TEXTJOIN("", "", TRUE, ARRAYFORMULA(XLOOKUP(TRIM(SPLIT(AF39, "","")), Equipo[nickname], Equipo[user], """"))))"),"")</f>
        <v/>
      </c>
      <c r="AH39" s="57"/>
      <c r="AI39" s="58"/>
    </row>
    <row r="40" ht="22.5" hidden="1" customHeight="1">
      <c r="A40" s="61">
        <v>4.0</v>
      </c>
      <c r="B40" s="62" t="s">
        <v>434</v>
      </c>
      <c r="C40" s="51" t="s">
        <v>435</v>
      </c>
      <c r="D40" s="52" t="s">
        <v>436</v>
      </c>
      <c r="E40" s="52" t="s">
        <v>225</v>
      </c>
      <c r="F40" s="51" t="s">
        <v>437</v>
      </c>
      <c r="G40" s="42" t="s">
        <v>227</v>
      </c>
      <c r="H40" s="41" t="s">
        <v>228</v>
      </c>
      <c r="I40" s="78" t="s">
        <v>424</v>
      </c>
      <c r="J40" s="44" t="s">
        <v>277</v>
      </c>
      <c r="K40" s="53">
        <v>0.87</v>
      </c>
      <c r="L40" s="63" t="s">
        <v>244</v>
      </c>
      <c r="M40" s="52" t="s">
        <v>313</v>
      </c>
      <c r="N40" s="78" t="s">
        <v>438</v>
      </c>
      <c r="O40" s="72"/>
      <c r="P40" s="79">
        <v>3.0</v>
      </c>
      <c r="Q40" s="80">
        <v>45810.0</v>
      </c>
      <c r="R40" s="80"/>
      <c r="S40" s="81">
        <v>46171.0</v>
      </c>
      <c r="T40" s="67">
        <v>46203.0</v>
      </c>
      <c r="U40" s="42" t="s">
        <v>234</v>
      </c>
      <c r="V40" s="44" t="s">
        <v>172</v>
      </c>
      <c r="W40" s="56" t="str">
        <f t="array" ref="W40">IF(EXACT(V40, ""), "", XLOOKUP(V40, Equipo[nickname], Equipo[user]))</f>
        <v>rcuevas</v>
      </c>
      <c r="X40" s="44" t="s">
        <v>166</v>
      </c>
      <c r="Y40" s="56" t="str">
        <f t="array" ref="Y40">IF(EXACT(X40, ""), "", XLOOKUP(X40, Equipo[nickname], Equipo[user]))</f>
        <v>nmejia</v>
      </c>
      <c r="Z40" s="41" t="s">
        <v>174</v>
      </c>
      <c r="AA40" s="41" t="str">
        <f>IFERROR(__xludf.DUMMYFUNCTION("IF(EXACT(Z40, """"), """", TEXTJOIN("", "", TRUE, ARRAYFORMULA(XLOOKUP(TRIM(SPLIT(Z40, "","")), Equipo[nickname], Equipo[user], """"))))"),"jenriquez")</f>
        <v>jenriquez</v>
      </c>
      <c r="AB40" s="56" t="s">
        <v>174</v>
      </c>
      <c r="AC40" s="42" t="str">
        <f>IFERROR(__xludf.DUMMYFUNCTION("IF(EXACT(AB40, """"), """", TEXTJOIN("", "", TRUE, ARRAYFORMULA(XLOOKUP(TRIM(SPLIT(AB40, "","")), Equipo[nickname], Equipo[user]))))"),"jenriquez")</f>
        <v>jenriquez</v>
      </c>
      <c r="AD40" s="73" t="s">
        <v>271</v>
      </c>
      <c r="AE40" s="42" t="str">
        <f>IFERROR(__xludf.DUMMYFUNCTION("IF(EXACT(AD40, """"), """", TEXTJOIN("", "", TRUE, ARRAYFORMULA(XLOOKUP(TRIM(SPLIT(AD40, "","")), Equipo[nickname], Equipo[user], """"))))"),"")</f>
        <v/>
      </c>
      <c r="AF40" s="69"/>
      <c r="AG40" s="57" t="str">
        <f>IFERROR(__xludf.DUMMYFUNCTION("IF(EXACT(AF40, """"), """", TEXTJOIN("", "", TRUE, ARRAYFORMULA(XLOOKUP(TRIM(SPLIT(AF40, "","")), Equipo[nickname], Equipo[user], """"))))"),"")</f>
        <v/>
      </c>
      <c r="AH40" s="57"/>
      <c r="AI40" s="58"/>
    </row>
    <row r="41" ht="22.5" hidden="1" customHeight="1">
      <c r="A41" s="61">
        <v>4.0</v>
      </c>
      <c r="B41" s="62" t="s">
        <v>434</v>
      </c>
      <c r="C41" s="51" t="s">
        <v>435</v>
      </c>
      <c r="D41" s="52" t="s">
        <v>436</v>
      </c>
      <c r="E41" s="52" t="s">
        <v>225</v>
      </c>
      <c r="F41" s="51" t="s">
        <v>437</v>
      </c>
      <c r="G41" s="42" t="s">
        <v>227</v>
      </c>
      <c r="H41" s="41" t="s">
        <v>228</v>
      </c>
      <c r="I41" s="78" t="s">
        <v>424</v>
      </c>
      <c r="J41" s="44" t="s">
        <v>277</v>
      </c>
      <c r="K41" s="53">
        <v>0.6</v>
      </c>
      <c r="L41" s="63" t="s">
        <v>244</v>
      </c>
      <c r="M41" s="52" t="s">
        <v>313</v>
      </c>
      <c r="N41" s="78" t="s">
        <v>439</v>
      </c>
      <c r="O41" s="72"/>
      <c r="P41" s="79">
        <v>30.0</v>
      </c>
      <c r="Q41" s="80">
        <v>46146.0</v>
      </c>
      <c r="R41" s="80"/>
      <c r="S41" s="81">
        <v>46174.0</v>
      </c>
      <c r="T41" s="81">
        <v>46234.0</v>
      </c>
      <c r="U41" s="42" t="s">
        <v>234</v>
      </c>
      <c r="V41" s="44" t="s">
        <v>172</v>
      </c>
      <c r="W41" s="56" t="str">
        <f t="array" ref="W41">IF(EXACT(V41, ""), "", XLOOKUP(V41, Equipo[nickname], Equipo[user]))</f>
        <v>rcuevas</v>
      </c>
      <c r="X41" s="44" t="s">
        <v>166</v>
      </c>
      <c r="Y41" s="56" t="str">
        <f t="array" ref="Y41">IF(EXACT(X41, ""), "", XLOOKUP(X41, Equipo[nickname], Equipo[user]))</f>
        <v>nmejia</v>
      </c>
      <c r="Z41" s="41" t="s">
        <v>174</v>
      </c>
      <c r="AA41" s="41" t="str">
        <f>IFERROR(__xludf.DUMMYFUNCTION("IF(EXACT(Z41, """"), """", TEXTJOIN("", "", TRUE, ARRAYFORMULA(XLOOKUP(TRIM(SPLIT(Z41, "","")), Equipo[nickname], Equipo[user], """"))))"),"jenriquez")</f>
        <v>jenriquez</v>
      </c>
      <c r="AB41" s="56" t="s">
        <v>174</v>
      </c>
      <c r="AC41" s="42" t="str">
        <f>IFERROR(__xludf.DUMMYFUNCTION("IF(EXACT(AB41, """"), """", TEXTJOIN("", "", TRUE, ARRAYFORMULA(XLOOKUP(TRIM(SPLIT(AB41, "","")), Equipo[nickname], Equipo[user]))))"),"jenriquez")</f>
        <v>jenriquez</v>
      </c>
      <c r="AD41" s="68" t="s">
        <v>271</v>
      </c>
      <c r="AE41" s="42" t="str">
        <f>IFERROR(__xludf.DUMMYFUNCTION("IF(EXACT(AD41, """"), """", TEXTJOIN("", "", TRUE, ARRAYFORMULA(XLOOKUP(TRIM(SPLIT(AD41, "","")), Equipo[nickname], Equipo[user], """"))))"),"")</f>
        <v/>
      </c>
      <c r="AF41" s="69"/>
      <c r="AG41" s="57" t="str">
        <f>IFERROR(__xludf.DUMMYFUNCTION("IF(EXACT(AF41, """"), """", TEXTJOIN("", "", TRUE, ARRAYFORMULA(XLOOKUP(TRIM(SPLIT(AF41, "","")), Equipo[nickname], Equipo[user], """"))))"),"")</f>
        <v/>
      </c>
      <c r="AH41" s="57"/>
      <c r="AI41" s="58"/>
    </row>
    <row r="42" ht="22.5" hidden="1" customHeight="1">
      <c r="A42" s="61">
        <v>7.0</v>
      </c>
      <c r="B42" s="62" t="s">
        <v>440</v>
      </c>
      <c r="C42" s="51" t="s">
        <v>441</v>
      </c>
      <c r="D42" s="52" t="s">
        <v>442</v>
      </c>
      <c r="E42" s="52" t="s">
        <v>433</v>
      </c>
      <c r="F42" s="51" t="s">
        <v>443</v>
      </c>
      <c r="G42" s="42" t="s">
        <v>227</v>
      </c>
      <c r="H42" s="41" t="s">
        <v>228</v>
      </c>
      <c r="I42" s="78" t="s">
        <v>424</v>
      </c>
      <c r="J42" s="44" t="s">
        <v>277</v>
      </c>
      <c r="K42" s="53">
        <v>1.0</v>
      </c>
      <c r="L42" s="63" t="s">
        <v>252</v>
      </c>
      <c r="M42" s="52" t="s">
        <v>313</v>
      </c>
      <c r="N42" s="78" t="s">
        <v>438</v>
      </c>
      <c r="O42" s="72"/>
      <c r="P42" s="65">
        <v>2.0</v>
      </c>
      <c r="Q42" s="80">
        <v>46118.0</v>
      </c>
      <c r="R42" s="80"/>
      <c r="S42" s="80">
        <v>46118.0</v>
      </c>
      <c r="T42" s="67">
        <v>73415.0</v>
      </c>
      <c r="U42" s="42" t="s">
        <v>234</v>
      </c>
      <c r="V42" s="44" t="s">
        <v>172</v>
      </c>
      <c r="W42" s="56" t="str">
        <f t="array" ref="W42">IF(EXACT(V42, ""), "", XLOOKUP(V42, Equipo[nickname], Equipo[user]))</f>
        <v>rcuevas</v>
      </c>
      <c r="X42" s="44" t="s">
        <v>166</v>
      </c>
      <c r="Y42" s="56" t="str">
        <f t="array" ref="Y42">IF(EXACT(X42, ""), "", XLOOKUP(X42, Equipo[nickname], Equipo[user]))</f>
        <v>nmejia</v>
      </c>
      <c r="Z42" s="41" t="s">
        <v>174</v>
      </c>
      <c r="AA42" s="41" t="str">
        <f>IFERROR(__xludf.DUMMYFUNCTION("IF(EXACT(Z42, """"), """", TEXTJOIN("", "", TRUE, ARRAYFORMULA(XLOOKUP(TRIM(SPLIT(Z42, "","")), Equipo[nickname], Equipo[user], """"))))"),"jenriquez")</f>
        <v>jenriquez</v>
      </c>
      <c r="AB42" s="56" t="s">
        <v>444</v>
      </c>
      <c r="AC42" s="42" t="str">
        <f>IFERROR(__xludf.DUMMYFUNCTION("IF(EXACT(AB42, """"), """", TEXTJOIN("", "", TRUE, ARRAYFORMULA(XLOOKUP(TRIM(SPLIT(AB42, "","")), Equipo[nickname], Equipo[user]))))"),"rbernal, jenriquez")</f>
        <v>rbernal, jenriquez</v>
      </c>
      <c r="AD42" s="73" t="s">
        <v>271</v>
      </c>
      <c r="AE42" s="42" t="str">
        <f>IFERROR(__xludf.DUMMYFUNCTION("IF(EXACT(AD42, """"), """", TEXTJOIN("", "", TRUE, ARRAYFORMULA(XLOOKUP(TRIM(SPLIT(AD42, "","")), Equipo[nickname], Equipo[user], """"))))"),"")</f>
        <v/>
      </c>
      <c r="AF42" s="69"/>
      <c r="AG42" s="57" t="str">
        <f>IFERROR(__xludf.DUMMYFUNCTION("IF(EXACT(AF42, """"), """", TEXTJOIN("", "", TRUE, ARRAYFORMULA(XLOOKUP(TRIM(SPLIT(AF42, "","")), Equipo[nickname], Equipo[user], """"))))"),"")</f>
        <v/>
      </c>
      <c r="AH42" s="57"/>
      <c r="AI42" s="58"/>
    </row>
    <row r="43" ht="22.5" hidden="1" customHeight="1">
      <c r="A43" s="61">
        <v>20.0</v>
      </c>
      <c r="B43" s="62" t="s">
        <v>445</v>
      </c>
      <c r="C43" s="51" t="s">
        <v>446</v>
      </c>
      <c r="D43" s="52" t="s">
        <v>447</v>
      </c>
      <c r="E43" s="52" t="s">
        <v>225</v>
      </c>
      <c r="F43" s="52" t="s">
        <v>448</v>
      </c>
      <c r="G43" s="42" t="s">
        <v>282</v>
      </c>
      <c r="H43" s="41" t="s">
        <v>228</v>
      </c>
      <c r="I43" s="63" t="s">
        <v>424</v>
      </c>
      <c r="J43" s="44" t="s">
        <v>277</v>
      </c>
      <c r="K43" s="53">
        <v>0.1</v>
      </c>
      <c r="L43" s="63" t="s">
        <v>231</v>
      </c>
      <c r="M43" s="52" t="s">
        <v>448</v>
      </c>
      <c r="N43" s="63" t="s">
        <v>245</v>
      </c>
      <c r="O43" s="72"/>
      <c r="P43" s="65">
        <v>144.0</v>
      </c>
      <c r="Q43" s="66">
        <v>46002.0</v>
      </c>
      <c r="R43" s="66"/>
      <c r="S43" s="67">
        <v>46052.0</v>
      </c>
      <c r="T43" s="67">
        <v>46052.0</v>
      </c>
      <c r="U43" s="67">
        <v>46052.0</v>
      </c>
      <c r="V43" s="44" t="s">
        <v>172</v>
      </c>
      <c r="W43" s="56" t="str">
        <f t="array" ref="W43">IF(EXACT(V43, ""), "", XLOOKUP(V43, Equipo[nickname], Equipo[user]))</f>
        <v>rcuevas</v>
      </c>
      <c r="X43" s="44" t="s">
        <v>166</v>
      </c>
      <c r="Y43" s="56" t="str">
        <f t="array" ref="Y43">IF(EXACT(X43, ""), "", XLOOKUP(X43, Equipo[nickname], Equipo[user]))</f>
        <v>nmejia</v>
      </c>
      <c r="Z43" s="41" t="s">
        <v>174</v>
      </c>
      <c r="AA43" s="41" t="str">
        <f>IFERROR(__xludf.DUMMYFUNCTION("IF(EXACT(Z43, """"), """", TEXTJOIN("", "", TRUE, ARRAYFORMULA(XLOOKUP(TRIM(SPLIT(Z43, "","")), Equipo[nickname], Equipo[user], """"))))"),"jenriquez")</f>
        <v>jenriquez</v>
      </c>
      <c r="AB43" s="56"/>
      <c r="AC43" s="42" t="str">
        <f>IFERROR(__xludf.DUMMYFUNCTION("IF(EXACT(AB43, """"), """", TEXTJOIN("", "", TRUE, ARRAYFORMULA(XLOOKUP(TRIM(SPLIT(AB43, "","")), Equipo[nickname], Equipo[user]))))"),"")</f>
        <v/>
      </c>
      <c r="AD43" s="68" t="s">
        <v>271</v>
      </c>
      <c r="AE43" s="42" t="str">
        <f>IFERROR(__xludf.DUMMYFUNCTION("IF(EXACT(AD43, """"), """", TEXTJOIN("", "", TRUE, ARRAYFORMULA(XLOOKUP(TRIM(SPLIT(AD43, "","")), Equipo[nickname], Equipo[user], """"))))"),"")</f>
        <v/>
      </c>
      <c r="AF43" s="69"/>
      <c r="AG43" s="57" t="str">
        <f>IFERROR(__xludf.DUMMYFUNCTION("IF(EXACT(AF43, """"), """", TEXTJOIN("", "", TRUE, ARRAYFORMULA(XLOOKUP(TRIM(SPLIT(AF43, "","")), Equipo[nickname], Equipo[user], """"))))"),"")</f>
        <v/>
      </c>
      <c r="AH43" s="57"/>
      <c r="AI43" s="58"/>
    </row>
    <row r="44" ht="22.5" hidden="1" customHeight="1">
      <c r="A44" s="61">
        <v>21.0</v>
      </c>
      <c r="B44" s="62" t="s">
        <v>449</v>
      </c>
      <c r="C44" s="51" t="s">
        <v>450</v>
      </c>
      <c r="D44" s="52" t="s">
        <v>451</v>
      </c>
      <c r="E44" s="52" t="s">
        <v>225</v>
      </c>
      <c r="F44" s="52" t="s">
        <v>268</v>
      </c>
      <c r="G44" s="42" t="s">
        <v>227</v>
      </c>
      <c r="H44" s="41" t="s">
        <v>228</v>
      </c>
      <c r="I44" s="63" t="s">
        <v>424</v>
      </c>
      <c r="J44" s="44" t="s">
        <v>277</v>
      </c>
      <c r="K44" s="53">
        <v>0.1</v>
      </c>
      <c r="L44" s="63" t="s">
        <v>231</v>
      </c>
      <c r="M44" s="52" t="s">
        <v>268</v>
      </c>
      <c r="N44" s="63" t="s">
        <v>287</v>
      </c>
      <c r="O44" s="72"/>
      <c r="P44" s="65">
        <v>28.0</v>
      </c>
      <c r="Q44" s="66">
        <v>46002.0</v>
      </c>
      <c r="R44" s="66"/>
      <c r="S44" s="67">
        <v>46010.0</v>
      </c>
      <c r="T44" s="67">
        <v>46010.0</v>
      </c>
      <c r="U44" s="67">
        <v>46010.0</v>
      </c>
      <c r="V44" s="44" t="s">
        <v>172</v>
      </c>
      <c r="W44" s="56" t="str">
        <f t="array" ref="W44">IF(EXACT(V44, ""), "", XLOOKUP(V44, Equipo[nickname], Equipo[user]))</f>
        <v>rcuevas</v>
      </c>
      <c r="X44" s="44" t="s">
        <v>166</v>
      </c>
      <c r="Y44" s="56" t="str">
        <f t="array" ref="Y44">IF(EXACT(X44, ""), "", XLOOKUP(X44, Equipo[nickname], Equipo[user]))</f>
        <v>nmejia</v>
      </c>
      <c r="Z44" s="41" t="s">
        <v>174</v>
      </c>
      <c r="AA44" s="41" t="str">
        <f>IFERROR(__xludf.DUMMYFUNCTION("IF(EXACT(Z44, """"), """", TEXTJOIN("", "", TRUE, ARRAYFORMULA(XLOOKUP(TRIM(SPLIT(Z44, "","")), Equipo[nickname], Equipo[user], """"))))"),"jenriquez")</f>
        <v>jenriquez</v>
      </c>
      <c r="AB44" s="56"/>
      <c r="AC44" s="42" t="str">
        <f>IFERROR(__xludf.DUMMYFUNCTION("IF(EXACT(AB44, """"), """", TEXTJOIN("", "", TRUE, ARRAYFORMULA(XLOOKUP(TRIM(SPLIT(AB44, "","")), Equipo[nickname], Equipo[user]))))"),"")</f>
        <v/>
      </c>
      <c r="AD44" s="73" t="s">
        <v>271</v>
      </c>
      <c r="AE44" s="42" t="str">
        <f>IFERROR(__xludf.DUMMYFUNCTION("IF(EXACT(AD44, """"), """", TEXTJOIN("", "", TRUE, ARRAYFORMULA(XLOOKUP(TRIM(SPLIT(AD44, "","")), Equipo[nickname], Equipo[user], """"))))"),"")</f>
        <v/>
      </c>
      <c r="AF44" s="69"/>
      <c r="AG44" s="57" t="str">
        <f>IFERROR(__xludf.DUMMYFUNCTION("IF(EXACT(AF44, """"), """", TEXTJOIN("", "", TRUE, ARRAYFORMULA(XLOOKUP(TRIM(SPLIT(AF44, "","")), Equipo[nickname], Equipo[user], """"))))"),"")</f>
        <v/>
      </c>
      <c r="AH44" s="57"/>
      <c r="AI44" s="58"/>
    </row>
    <row r="45" ht="22.5" hidden="1" customHeight="1">
      <c r="A45" s="61">
        <v>70.0</v>
      </c>
      <c r="B45" s="62" t="s">
        <v>452</v>
      </c>
      <c r="C45" s="51" t="s">
        <v>453</v>
      </c>
      <c r="D45" s="52" t="s">
        <v>454</v>
      </c>
      <c r="E45" s="52" t="s">
        <v>225</v>
      </c>
      <c r="F45" s="52" t="s">
        <v>455</v>
      </c>
      <c r="G45" s="42" t="s">
        <v>227</v>
      </c>
      <c r="H45" s="41" t="s">
        <v>228</v>
      </c>
      <c r="I45" s="63" t="s">
        <v>424</v>
      </c>
      <c r="J45" s="44" t="s">
        <v>277</v>
      </c>
      <c r="K45" s="53">
        <v>0.1</v>
      </c>
      <c r="L45" s="63" t="s">
        <v>244</v>
      </c>
      <c r="M45" s="52" t="s">
        <v>455</v>
      </c>
      <c r="N45" s="63" t="s">
        <v>245</v>
      </c>
      <c r="O45" s="72"/>
      <c r="P45" s="65">
        <v>13.0</v>
      </c>
      <c r="Q45" s="66">
        <v>46007.0</v>
      </c>
      <c r="R45" s="66"/>
      <c r="S45" s="67">
        <v>46112.0</v>
      </c>
      <c r="T45" s="67">
        <v>46112.0</v>
      </c>
      <c r="U45" s="67">
        <v>46112.0</v>
      </c>
      <c r="V45" s="44" t="s">
        <v>172</v>
      </c>
      <c r="W45" s="56" t="str">
        <f t="array" ref="W45">IF(EXACT(V45, ""), "", XLOOKUP(V45, Equipo[nickname], Equipo[user]))</f>
        <v>rcuevas</v>
      </c>
      <c r="X45" s="44" t="s">
        <v>166</v>
      </c>
      <c r="Y45" s="56" t="str">
        <f t="array" ref="Y45">IF(EXACT(X45, ""), "", XLOOKUP(X45, Equipo[nickname], Equipo[user]))</f>
        <v>nmejia</v>
      </c>
      <c r="Z45" s="41" t="s">
        <v>174</v>
      </c>
      <c r="AA45" s="41" t="str">
        <f>IFERROR(__xludf.DUMMYFUNCTION("IF(EXACT(Z45, """"), """", TEXTJOIN("", "", TRUE, ARRAYFORMULA(XLOOKUP(TRIM(SPLIT(Z45, "","")), Equipo[nickname], Equipo[user], """"))))"),"jenriquez")</f>
        <v>jenriquez</v>
      </c>
      <c r="AB45" s="56"/>
      <c r="AC45" s="42" t="str">
        <f>IFERROR(__xludf.DUMMYFUNCTION("IF(EXACT(AB45, """"), """", TEXTJOIN("", "", TRUE, ARRAYFORMULA(XLOOKUP(TRIM(SPLIT(AB45, "","")), Equipo[nickname], Equipo[user]))))"),"")</f>
        <v/>
      </c>
      <c r="AD45" s="73" t="s">
        <v>271</v>
      </c>
      <c r="AE45" s="42" t="str">
        <f>IFERROR(__xludf.DUMMYFUNCTION("IF(EXACT(AD45, """"), """", TEXTJOIN("", "", TRUE, ARRAYFORMULA(XLOOKUP(TRIM(SPLIT(AD45, "","")), Equipo[nickname], Equipo[user], """"))))"),"")</f>
        <v/>
      </c>
      <c r="AF45" s="69"/>
      <c r="AG45" s="57" t="str">
        <f>IFERROR(__xludf.DUMMYFUNCTION("IF(EXACT(AF45, """"), """", TEXTJOIN("", "", TRUE, ARRAYFORMULA(XLOOKUP(TRIM(SPLIT(AF45, "","")), Equipo[nickname], Equipo[user], """"))))"),"")</f>
        <v/>
      </c>
      <c r="AH45" s="57"/>
      <c r="AI45" s="58"/>
    </row>
    <row r="46" ht="22.5" hidden="1" customHeight="1">
      <c r="A46" s="61">
        <v>78.0</v>
      </c>
      <c r="B46" s="62" t="s">
        <v>456</v>
      </c>
      <c r="C46" s="51" t="s">
        <v>457</v>
      </c>
      <c r="D46" s="52" t="s">
        <v>458</v>
      </c>
      <c r="E46" s="52" t="s">
        <v>225</v>
      </c>
      <c r="F46" s="52" t="s">
        <v>448</v>
      </c>
      <c r="G46" s="42" t="s">
        <v>227</v>
      </c>
      <c r="H46" s="41" t="s">
        <v>228</v>
      </c>
      <c r="I46" s="63" t="s">
        <v>424</v>
      </c>
      <c r="J46" s="44" t="s">
        <v>277</v>
      </c>
      <c r="K46" s="53">
        <v>0.1</v>
      </c>
      <c r="L46" s="63" t="s">
        <v>244</v>
      </c>
      <c r="M46" s="52" t="s">
        <v>448</v>
      </c>
      <c r="N46" s="63" t="s">
        <v>232</v>
      </c>
      <c r="O46" s="72"/>
      <c r="P46" s="65">
        <v>1.0</v>
      </c>
      <c r="Q46" s="66">
        <v>46122.0</v>
      </c>
      <c r="R46" s="66"/>
      <c r="S46" s="81">
        <v>46387.0</v>
      </c>
      <c r="T46" s="67">
        <v>73415.0</v>
      </c>
      <c r="U46" s="42" t="s">
        <v>234</v>
      </c>
      <c r="V46" s="44" t="s">
        <v>172</v>
      </c>
      <c r="W46" s="56" t="str">
        <f t="array" ref="W46">IF(EXACT(V46, ""), "", XLOOKUP(V46, Equipo[nickname], Equipo[user]))</f>
        <v>rcuevas</v>
      </c>
      <c r="X46" s="44" t="s">
        <v>166</v>
      </c>
      <c r="Y46" s="56" t="str">
        <f t="array" ref="Y46">IF(EXACT(X46, ""), "", XLOOKUP(X46, Equipo[nickname], Equipo[user]))</f>
        <v>nmejia</v>
      </c>
      <c r="Z46" s="41" t="s">
        <v>174</v>
      </c>
      <c r="AA46" s="41" t="str">
        <f>IFERROR(__xludf.DUMMYFUNCTION("IF(EXACT(Z46, """"), """", TEXTJOIN("", "", TRUE, ARRAYFORMULA(XLOOKUP(TRIM(SPLIT(Z46, "","")), Equipo[nickname], Equipo[user], """"))))"),"jenriquez")</f>
        <v>jenriquez</v>
      </c>
      <c r="AB46" s="56"/>
      <c r="AC46" s="42" t="str">
        <f>IFERROR(__xludf.DUMMYFUNCTION("IF(EXACT(AB46, """"), """", TEXTJOIN("", "", TRUE, ARRAYFORMULA(XLOOKUP(TRIM(SPLIT(AB46, "","")), Equipo[nickname], Equipo[user]))))"),"")</f>
        <v/>
      </c>
      <c r="AD46" s="68" t="s">
        <v>271</v>
      </c>
      <c r="AE46" s="42" t="str">
        <f>IFERROR(__xludf.DUMMYFUNCTION("IF(EXACT(AD46, """"), """", TEXTJOIN("", "", TRUE, ARRAYFORMULA(XLOOKUP(TRIM(SPLIT(AD46, "","")), Equipo[nickname], Equipo[user], """"))))"),"")</f>
        <v/>
      </c>
      <c r="AF46" s="69"/>
      <c r="AG46" s="57" t="str">
        <f>IFERROR(__xludf.DUMMYFUNCTION("IF(EXACT(AF46, """"), """", TEXTJOIN("", "", TRUE, ARRAYFORMULA(XLOOKUP(TRIM(SPLIT(AF46, "","")), Equipo[nickname], Equipo[user], """"))))"),"")</f>
        <v/>
      </c>
      <c r="AH46" s="57"/>
      <c r="AI46" s="58"/>
    </row>
    <row r="47" ht="22.5" customHeight="1">
      <c r="A47" s="41"/>
      <c r="B47" s="50" t="s">
        <v>459</v>
      </c>
      <c r="C47" s="51" t="s">
        <v>460</v>
      </c>
      <c r="D47" s="51" t="s">
        <v>461</v>
      </c>
      <c r="E47" s="42" t="s">
        <v>225</v>
      </c>
      <c r="F47" s="41" t="s">
        <v>226</v>
      </c>
      <c r="G47" s="42" t="s">
        <v>227</v>
      </c>
      <c r="H47" s="41" t="s">
        <v>228</v>
      </c>
      <c r="I47" s="70" t="s">
        <v>276</v>
      </c>
      <c r="J47" s="44" t="s">
        <v>277</v>
      </c>
      <c r="K47" s="53">
        <v>1.0</v>
      </c>
      <c r="L47" s="44" t="s">
        <v>252</v>
      </c>
      <c r="M47" s="42" t="s">
        <v>226</v>
      </c>
      <c r="N47" s="44" t="s">
        <v>232</v>
      </c>
      <c r="O47" s="71" t="s">
        <v>233</v>
      </c>
      <c r="P47" s="41">
        <v>40.0</v>
      </c>
      <c r="Q47" s="82">
        <v>46082.0</v>
      </c>
      <c r="R47" s="82">
        <v>46113.0</v>
      </c>
      <c r="S47" s="82">
        <v>46113.0</v>
      </c>
      <c r="T47" s="82">
        <v>46142.0</v>
      </c>
      <c r="U47" s="82">
        <v>46142.0</v>
      </c>
      <c r="V47" s="44" t="s">
        <v>151</v>
      </c>
      <c r="W47" s="56" t="str">
        <f t="array" ref="W47">IF(EXACT(V47, ""), "", XLOOKUP(V47, Equipo[nickname], Equipo[user]))</f>
        <v>hloredo</v>
      </c>
      <c r="X47" s="44" t="s">
        <v>149</v>
      </c>
      <c r="Y47" s="56" t="str">
        <f t="array" ref="Y47">IF(EXACT(X47, ""), "", XLOOKUP(X47, Equipo[nickname], Equipo[user]))</f>
        <v>dgonzalez</v>
      </c>
      <c r="Z47" s="56" t="s">
        <v>235</v>
      </c>
      <c r="AA47" s="41" t="str">
        <f>IFERROR(__xludf.DUMMYFUNCTION("IF(EXACT(Z47, """"), """", TEXTJOIN("", "", TRUE, ARRAYFORMULA(XLOOKUP(TRIM(SPLIT(Z47, "","")), Equipo[nickname], Equipo[user], """"))))"),"lbernal")</f>
        <v>lbernal</v>
      </c>
      <c r="AB47" s="56" t="s">
        <v>462</v>
      </c>
      <c r="AC47" s="41" t="str">
        <f>IFERROR(__xludf.DUMMYFUNCTION("IF(EXACT(AB47, """"), """", TEXTJOIN("", "", TRUE, ARRAYFORMULA(XLOOKUP(TRIM(SPLIT(AB47, "","")), Equipo[nickname], Equipo[user]))))"),"jlopez")</f>
        <v>jlopez</v>
      </c>
      <c r="AD47" s="44" t="s">
        <v>237</v>
      </c>
      <c r="AE47" s="41" t="str">
        <f>IFERROR(__xludf.DUMMYFUNCTION("IF(EXACT(AD47, """"), """", TEXTJOIN("", "", TRUE, ARRAYFORMULA(XLOOKUP(TRIM(SPLIT(AD47, "","")), Equipo[nickname], Equipo[user], """"))))"),"egonzalez")</f>
        <v>egonzalez</v>
      </c>
      <c r="AF47" s="56"/>
      <c r="AG47" s="57" t="str">
        <f>IFERROR(__xludf.DUMMYFUNCTION("IF(EXACT(AF47, """"), """", TEXTJOIN("", "", TRUE, ARRAYFORMULA(XLOOKUP(TRIM(SPLIT(AF47, "","")), Equipo[nickname], Equipo[user], """"))))"),"")</f>
        <v/>
      </c>
      <c r="AH47" s="41" t="s">
        <v>272</v>
      </c>
      <c r="AI47" s="41" t="s">
        <v>272</v>
      </c>
    </row>
    <row r="48" ht="22.5" customHeight="1">
      <c r="A48" s="41">
        <v>1032.0</v>
      </c>
      <c r="B48" s="50" t="s">
        <v>463</v>
      </c>
      <c r="C48" s="41" t="s">
        <v>464</v>
      </c>
      <c r="D48" s="42" t="s">
        <v>465</v>
      </c>
      <c r="E48" s="42" t="s">
        <v>225</v>
      </c>
      <c r="F48" s="41" t="s">
        <v>226</v>
      </c>
      <c r="G48" s="42" t="s">
        <v>227</v>
      </c>
      <c r="H48" s="41" t="s">
        <v>228</v>
      </c>
      <c r="I48" s="44" t="s">
        <v>466</v>
      </c>
      <c r="J48" s="44" t="s">
        <v>277</v>
      </c>
      <c r="K48" s="53">
        <v>0.05</v>
      </c>
      <c r="L48" s="44" t="s">
        <v>252</v>
      </c>
      <c r="M48" s="41" t="s">
        <v>226</v>
      </c>
      <c r="N48" s="44" t="s">
        <v>378</v>
      </c>
      <c r="O48" s="59" t="s">
        <v>415</v>
      </c>
      <c r="P48" s="41">
        <v>2.0</v>
      </c>
      <c r="Q48" s="55">
        <v>46005.0</v>
      </c>
      <c r="R48" s="55">
        <v>46204.0</v>
      </c>
      <c r="S48" s="55">
        <v>46204.0</v>
      </c>
      <c r="T48" s="55">
        <v>46234.0</v>
      </c>
      <c r="U48" s="41" t="s">
        <v>234</v>
      </c>
      <c r="V48" s="44" t="s">
        <v>151</v>
      </c>
      <c r="W48" s="56" t="str">
        <f t="array" ref="W48">IF(EXACT(V48, ""), "", XLOOKUP(V48, Equipo[nickname], Equipo[user]))</f>
        <v>hloredo</v>
      </c>
      <c r="X48" s="44" t="s">
        <v>149</v>
      </c>
      <c r="Y48" s="56" t="str">
        <f t="array" ref="Y48">IF(EXACT(X48, ""), "", XLOOKUP(X48, Equipo[nickname], Equipo[user]))</f>
        <v>dgonzalez</v>
      </c>
      <c r="Z48" s="41" t="s">
        <v>235</v>
      </c>
      <c r="AA48" s="41" t="str">
        <f>IFERROR(__xludf.DUMMYFUNCTION("IF(EXACT(Z48, """"), """", TEXTJOIN("", "", TRUE, ARRAYFORMULA(XLOOKUP(TRIM(SPLIT(Z48, "","")), Equipo[nickname], Equipo[user], """"))))"),"lbernal")</f>
        <v>lbernal</v>
      </c>
      <c r="AB48" s="56" t="s">
        <v>355</v>
      </c>
      <c r="AC48" s="41" t="str">
        <f>IFERROR(__xludf.DUMMYFUNCTION("IF(EXACT(AB48, """"), """", TEXTJOIN("", "", TRUE, ARRAYFORMULA(XLOOKUP(TRIM(SPLIT(AB48, "","")), Equipo[nickname], Equipo[user]))))"),"econtreras")</f>
        <v>econtreras</v>
      </c>
      <c r="AD48" s="44" t="s">
        <v>237</v>
      </c>
      <c r="AE48" s="41" t="str">
        <f>IFERROR(__xludf.DUMMYFUNCTION("IF(EXACT(AD48, """"), """", TEXTJOIN("", "", TRUE, ARRAYFORMULA(XLOOKUP(TRIM(SPLIT(AD48, "","")), Equipo[nickname], Equipo[user], """"))))"),"egonzalez")</f>
        <v>egonzalez</v>
      </c>
      <c r="AF48" s="56" t="s">
        <v>467</v>
      </c>
      <c r="AG48" s="57" t="str">
        <f>IFERROR(__xludf.DUMMYFUNCTION("IF(EXACT(AF48, """"), """", TEXTJOIN("", "", TRUE, ARRAYFORMULA(XLOOKUP(TRIM(SPLIT(AF48, "","")), Equipo[nickname], Equipo[user], """"))))"),"hloredo, lbernal")</f>
        <v>hloredo, lbernal</v>
      </c>
      <c r="AH48" s="57" t="s">
        <v>468</v>
      </c>
      <c r="AI48" s="58">
        <v>46142.0</v>
      </c>
    </row>
    <row r="49" ht="22.5" customHeight="1">
      <c r="A49" s="41">
        <v>1033.0</v>
      </c>
      <c r="B49" s="50" t="s">
        <v>469</v>
      </c>
      <c r="C49" s="41" t="s">
        <v>470</v>
      </c>
      <c r="D49" s="42" t="s">
        <v>471</v>
      </c>
      <c r="E49" s="42" t="s">
        <v>225</v>
      </c>
      <c r="F49" s="41" t="s">
        <v>226</v>
      </c>
      <c r="G49" s="42" t="s">
        <v>227</v>
      </c>
      <c r="H49" s="41" t="s">
        <v>228</v>
      </c>
      <c r="I49" s="44" t="s">
        <v>466</v>
      </c>
      <c r="J49" s="44" t="s">
        <v>277</v>
      </c>
      <c r="K49" s="53">
        <v>0.15</v>
      </c>
      <c r="L49" s="44" t="s">
        <v>244</v>
      </c>
      <c r="M49" s="41" t="s">
        <v>226</v>
      </c>
      <c r="N49" s="44" t="s">
        <v>378</v>
      </c>
      <c r="O49" s="54" t="s">
        <v>472</v>
      </c>
      <c r="P49" s="41">
        <v>2.0</v>
      </c>
      <c r="Q49" s="55">
        <v>46005.0</v>
      </c>
      <c r="R49" s="55">
        <v>46204.0</v>
      </c>
      <c r="S49" s="55">
        <v>46204.0</v>
      </c>
      <c r="T49" s="55">
        <v>46234.0</v>
      </c>
      <c r="U49" s="41" t="s">
        <v>234</v>
      </c>
      <c r="V49" s="44" t="s">
        <v>151</v>
      </c>
      <c r="W49" s="56" t="str">
        <f t="array" ref="W49">IF(EXACT(V49, ""), "", XLOOKUP(V49, Equipo[nickname], Equipo[user]))</f>
        <v>hloredo</v>
      </c>
      <c r="X49" s="44" t="s">
        <v>149</v>
      </c>
      <c r="Y49" s="56" t="str">
        <f t="array" ref="Y49">IF(EXACT(X49, ""), "", XLOOKUP(X49, Equipo[nickname], Equipo[user]))</f>
        <v>dgonzalez</v>
      </c>
      <c r="Z49" s="41" t="s">
        <v>235</v>
      </c>
      <c r="AA49" s="41" t="str">
        <f>IFERROR(__xludf.DUMMYFUNCTION("IF(EXACT(Z49, """"), """", TEXTJOIN("", "", TRUE, ARRAYFORMULA(XLOOKUP(TRIM(SPLIT(Z49, "","")), Equipo[nickname], Equipo[user], """"))))"),"lbernal")</f>
        <v>lbernal</v>
      </c>
      <c r="AB49" s="56" t="s">
        <v>473</v>
      </c>
      <c r="AC49" s="41" t="str">
        <f>IFERROR(__xludf.DUMMYFUNCTION("IF(EXACT(AB49, """"), """", TEXTJOIN("", "", TRUE, ARRAYFORMULA(XLOOKUP(TRIM(SPLIT(AB49, "","")), Equipo[nickname], Equipo[user]))))"),"asierra, jenriquez, lolvera")</f>
        <v>asierra, jenriquez, lolvera</v>
      </c>
      <c r="AD49" s="44" t="s">
        <v>237</v>
      </c>
      <c r="AE49" s="41" t="str">
        <f>IFERROR(__xludf.DUMMYFUNCTION("IF(EXACT(AD49, """"), """", TEXTJOIN("", "", TRUE, ARRAYFORMULA(XLOOKUP(TRIM(SPLIT(AD49, "","")), Equipo[nickname], Equipo[user], """"))))"),"egonzalez")</f>
        <v>egonzalez</v>
      </c>
      <c r="AF49" s="56" t="s">
        <v>467</v>
      </c>
      <c r="AG49" s="57" t="str">
        <f>IFERROR(__xludf.DUMMYFUNCTION("IF(EXACT(AF49, """"), """", TEXTJOIN("", "", TRUE, ARRAYFORMULA(XLOOKUP(TRIM(SPLIT(AF49, "","")), Equipo[nickname], Equipo[user], """"))))"),"hloredo, lbernal")</f>
        <v>hloredo, lbernal</v>
      </c>
      <c r="AH49" s="57" t="s">
        <v>474</v>
      </c>
      <c r="AI49" s="58">
        <v>46115.0</v>
      </c>
    </row>
    <row r="50" ht="22.5" customHeight="1">
      <c r="A50" s="41">
        <v>1034.0</v>
      </c>
      <c r="B50" s="50" t="s">
        <v>475</v>
      </c>
      <c r="C50" s="41" t="s">
        <v>476</v>
      </c>
      <c r="D50" s="42" t="s">
        <v>477</v>
      </c>
      <c r="E50" s="42" t="s">
        <v>225</v>
      </c>
      <c r="F50" s="41" t="s">
        <v>226</v>
      </c>
      <c r="G50" s="42" t="s">
        <v>227</v>
      </c>
      <c r="H50" s="41" t="s">
        <v>228</v>
      </c>
      <c r="I50" s="44" t="s">
        <v>466</v>
      </c>
      <c r="J50" s="44" t="s">
        <v>277</v>
      </c>
      <c r="K50" s="53">
        <v>0.01</v>
      </c>
      <c r="L50" s="44" t="s">
        <v>252</v>
      </c>
      <c r="M50" s="41" t="s">
        <v>226</v>
      </c>
      <c r="N50" s="44" t="s">
        <v>321</v>
      </c>
      <c r="O50" s="54" t="s">
        <v>415</v>
      </c>
      <c r="P50" s="41">
        <v>2.0</v>
      </c>
      <c r="Q50" s="55">
        <v>46005.0</v>
      </c>
      <c r="R50" s="55">
        <v>46204.0</v>
      </c>
      <c r="S50" s="55">
        <v>46204.0</v>
      </c>
      <c r="T50" s="55">
        <v>46234.0</v>
      </c>
      <c r="U50" s="41" t="s">
        <v>234</v>
      </c>
      <c r="V50" s="44" t="s">
        <v>151</v>
      </c>
      <c r="W50" s="56" t="str">
        <f t="array" ref="W50">IF(EXACT(V50, ""), "", XLOOKUP(V50, Equipo[nickname], Equipo[user]))</f>
        <v>hloredo</v>
      </c>
      <c r="X50" s="44" t="s">
        <v>149</v>
      </c>
      <c r="Y50" s="56" t="str">
        <f t="array" ref="Y50">IF(EXACT(X50, ""), "", XLOOKUP(X50, Equipo[nickname], Equipo[user]))</f>
        <v>dgonzalez</v>
      </c>
      <c r="Z50" s="41" t="s">
        <v>235</v>
      </c>
      <c r="AA50" s="41" t="str">
        <f>IFERROR(__xludf.DUMMYFUNCTION("IF(EXACT(Z50, """"), """", TEXTJOIN("", "", TRUE, ARRAYFORMULA(XLOOKUP(TRIM(SPLIT(Z50, "","")), Equipo[nickname], Equipo[user], """"))))"),"lbernal")</f>
        <v>lbernal</v>
      </c>
      <c r="AB50" s="56" t="s">
        <v>263</v>
      </c>
      <c r="AC50" s="41" t="str">
        <f>IFERROR(__xludf.DUMMYFUNCTION("IF(EXACT(AB50, """"), """", TEXTJOIN("", "", TRUE, ARRAYFORMULA(XLOOKUP(TRIM(SPLIT(AB50, "","")), Equipo[nickname], Equipo[user]))))"),"avazquez")</f>
        <v>avazquez</v>
      </c>
      <c r="AD50" s="44" t="s">
        <v>237</v>
      </c>
      <c r="AE50" s="41" t="str">
        <f>IFERROR(__xludf.DUMMYFUNCTION("IF(EXACT(AD50, """"), """", TEXTJOIN("", "", TRUE, ARRAYFORMULA(XLOOKUP(TRIM(SPLIT(AD50, "","")), Equipo[nickname], Equipo[user], """"))))"),"egonzalez")</f>
        <v>egonzalez</v>
      </c>
      <c r="AF50" s="56" t="s">
        <v>478</v>
      </c>
      <c r="AG50" s="57" t="str">
        <f>IFERROR(__xludf.DUMMYFUNCTION("IF(EXACT(AF50, """"), """", TEXTJOIN("", "", TRUE, ARRAYFORMULA(XLOOKUP(TRIM(SPLIT(AF50, "","")), Equipo[nickname], Equipo[user], """"))))"),"hloredo, lbernal, avazquez")</f>
        <v>hloredo, lbernal, avazquez</v>
      </c>
      <c r="AH50" s="57" t="s">
        <v>479</v>
      </c>
      <c r="AI50" s="58">
        <v>46115.0</v>
      </c>
    </row>
    <row r="51" ht="22.5" customHeight="1">
      <c r="A51" s="41">
        <v>1037.0</v>
      </c>
      <c r="B51" s="42"/>
      <c r="C51" s="51"/>
      <c r="D51" s="51" t="s">
        <v>480</v>
      </c>
      <c r="E51" s="42" t="s">
        <v>225</v>
      </c>
      <c r="F51" s="41" t="s">
        <v>226</v>
      </c>
      <c r="G51" s="42" t="s">
        <v>404</v>
      </c>
      <c r="H51" s="41" t="s">
        <v>228</v>
      </c>
      <c r="I51" s="44" t="s">
        <v>466</v>
      </c>
      <c r="J51" s="44" t="s">
        <v>277</v>
      </c>
      <c r="K51" s="53">
        <v>0.0</v>
      </c>
      <c r="L51" s="44" t="s">
        <v>252</v>
      </c>
      <c r="M51" s="41" t="s">
        <v>226</v>
      </c>
      <c r="N51" s="44" t="s">
        <v>232</v>
      </c>
      <c r="O51" s="54" t="s">
        <v>262</v>
      </c>
      <c r="P51" s="41">
        <v>40.0</v>
      </c>
      <c r="Q51" s="55">
        <v>46161.0</v>
      </c>
      <c r="R51" s="55">
        <v>46181.0</v>
      </c>
      <c r="S51" s="55">
        <v>46181.0</v>
      </c>
      <c r="T51" s="55">
        <v>46185.0</v>
      </c>
      <c r="U51" s="41" t="s">
        <v>234</v>
      </c>
      <c r="V51" s="44" t="s">
        <v>151</v>
      </c>
      <c r="W51" s="56" t="str">
        <f t="array" ref="W51">IF(EXACT(V51, ""), "", XLOOKUP(V51, Equipo[nickname], Equipo[user]))</f>
        <v>hloredo</v>
      </c>
      <c r="X51" s="44" t="s">
        <v>149</v>
      </c>
      <c r="Y51" s="56" t="str">
        <f t="array" ref="Y51">IF(EXACT(X51, ""), "", XLOOKUP(X51, Equipo[nickname], Equipo[user]))</f>
        <v>dgonzalez</v>
      </c>
      <c r="Z51" s="41" t="s">
        <v>235</v>
      </c>
      <c r="AA51" s="41" t="str">
        <f>IFERROR(__xludf.DUMMYFUNCTION("IF(EXACT(Z51, """"), """", TEXTJOIN("", "", TRUE, ARRAYFORMULA(XLOOKUP(TRIM(SPLIT(Z51, "","")), Equipo[nickname], Equipo[user], """"))))"),"lbernal")</f>
        <v>lbernal</v>
      </c>
      <c r="AB51" s="56" t="s">
        <v>236</v>
      </c>
      <c r="AC51" s="41" t="str">
        <f>IFERROR(__xludf.DUMMYFUNCTION("IF(EXACT(AB51, """"), """", TEXTJOIN("", "", TRUE, ARRAYFORMULA(XLOOKUP(TRIM(SPLIT(AB51, "","")), Equipo[nickname], Equipo[user]))))"),"gguadarrama")</f>
        <v>gguadarrama</v>
      </c>
      <c r="AD51" s="44" t="s">
        <v>237</v>
      </c>
      <c r="AE51" s="41" t="str">
        <f>IFERROR(__xludf.DUMMYFUNCTION("IF(EXACT(AD51, """"), """", TEXTJOIN("", "", TRUE, ARRAYFORMULA(XLOOKUP(TRIM(SPLIT(AD51, "","")), Equipo[nickname], Equipo[user], """"))))"),"egonzalez")</f>
        <v>egonzalez</v>
      </c>
      <c r="AF51" s="56" t="s">
        <v>481</v>
      </c>
      <c r="AG51" s="57" t="str">
        <f>IFERROR(__xludf.DUMMYFUNCTION("IF(EXACT(AF51, """"), """", TEXTJOIN("", "", TRUE, ARRAYFORMULA(XLOOKUP(TRIM(SPLIT(AF51, "","")), Equipo[nickname], Equipo[user], """"))))"),"hloredo, lbernal, egonzalez, czamudio")</f>
        <v>hloredo, lbernal, egonzalez, czamudio</v>
      </c>
      <c r="AH51" s="57" t="s">
        <v>482</v>
      </c>
      <c r="AI51" s="58">
        <v>46170.0</v>
      </c>
    </row>
    <row r="52" ht="22.5" customHeight="1">
      <c r="A52" s="41">
        <v>1038.0</v>
      </c>
      <c r="B52" s="42"/>
      <c r="C52" s="51"/>
      <c r="D52" s="51" t="s">
        <v>483</v>
      </c>
      <c r="E52" s="42" t="s">
        <v>225</v>
      </c>
      <c r="F52" s="41" t="s">
        <v>226</v>
      </c>
      <c r="G52" s="42" t="s">
        <v>227</v>
      </c>
      <c r="H52" s="41" t="s">
        <v>228</v>
      </c>
      <c r="I52" s="44" t="s">
        <v>466</v>
      </c>
      <c r="J52" s="44" t="s">
        <v>277</v>
      </c>
      <c r="K52" s="53">
        <v>0.0</v>
      </c>
      <c r="L52" s="44" t="s">
        <v>231</v>
      </c>
      <c r="M52" s="41" t="s">
        <v>226</v>
      </c>
      <c r="N52" s="44" t="s">
        <v>232</v>
      </c>
      <c r="O52" s="54" t="s">
        <v>262</v>
      </c>
      <c r="P52" s="41">
        <v>40.0</v>
      </c>
      <c r="Q52" s="55">
        <v>46161.0</v>
      </c>
      <c r="R52" s="55">
        <v>46204.0</v>
      </c>
      <c r="S52" s="55">
        <v>46204.0</v>
      </c>
      <c r="T52" s="55">
        <v>46234.0</v>
      </c>
      <c r="U52" s="41" t="s">
        <v>234</v>
      </c>
      <c r="V52" s="44" t="s">
        <v>151</v>
      </c>
      <c r="W52" s="56" t="str">
        <f t="array" ref="W52">IF(EXACT(V52, ""), "", XLOOKUP(V52, Equipo[nickname], Equipo[user]))</f>
        <v>hloredo</v>
      </c>
      <c r="X52" s="44" t="s">
        <v>149</v>
      </c>
      <c r="Y52" s="56" t="str">
        <f t="array" ref="Y52">IF(EXACT(X52, ""), "", XLOOKUP(X52, Equipo[nickname], Equipo[user]))</f>
        <v>dgonzalez</v>
      </c>
      <c r="Z52" s="41" t="s">
        <v>235</v>
      </c>
      <c r="AA52" s="41" t="str">
        <f>IFERROR(__xludf.DUMMYFUNCTION("IF(EXACT(Z52, """"), """", TEXTJOIN("", "", TRUE, ARRAYFORMULA(XLOOKUP(TRIM(SPLIT(Z52, "","")), Equipo[nickname], Equipo[user], """"))))"),"lbernal")</f>
        <v>lbernal</v>
      </c>
      <c r="AB52" s="56" t="s">
        <v>236</v>
      </c>
      <c r="AC52" s="41" t="str">
        <f>IFERROR(__xludf.DUMMYFUNCTION("IF(EXACT(AB52, """"), """", TEXTJOIN("", "", TRUE, ARRAYFORMULA(XLOOKUP(TRIM(SPLIT(AB52, "","")), Equipo[nickname], Equipo[user]))))"),"gguadarrama")</f>
        <v>gguadarrama</v>
      </c>
      <c r="AD52" s="44" t="s">
        <v>237</v>
      </c>
      <c r="AE52" s="41" t="str">
        <f>IFERROR(__xludf.DUMMYFUNCTION("IF(EXACT(AD52, """"), """", TEXTJOIN("", "", TRUE, ARRAYFORMULA(XLOOKUP(TRIM(SPLIT(AD52, "","")), Equipo[nickname], Equipo[user], """"))))"),"egonzalez")</f>
        <v>egonzalez</v>
      </c>
      <c r="AF52" s="56" t="s">
        <v>481</v>
      </c>
      <c r="AG52" s="57" t="str">
        <f>IFERROR(__xludf.DUMMYFUNCTION("IF(EXACT(AF52, """"), """", TEXTJOIN("", "", TRUE, ARRAYFORMULA(XLOOKUP(TRIM(SPLIT(AF52, "","")), Equipo[nickname], Equipo[user], """"))))"),"hloredo, lbernal, egonzalez, czamudio")</f>
        <v>hloredo, lbernal, egonzalez, czamudio</v>
      </c>
      <c r="AH52" s="57" t="s">
        <v>482</v>
      </c>
      <c r="AI52" s="58">
        <v>46170.0</v>
      </c>
    </row>
    <row r="53" ht="22.5" customHeight="1">
      <c r="A53" s="41">
        <v>1039.0</v>
      </c>
      <c r="B53" s="42"/>
      <c r="C53" s="51"/>
      <c r="D53" s="51" t="s">
        <v>484</v>
      </c>
      <c r="E53" s="42" t="s">
        <v>225</v>
      </c>
      <c r="F53" s="41" t="s">
        <v>226</v>
      </c>
      <c r="G53" s="42" t="s">
        <v>227</v>
      </c>
      <c r="H53" s="41" t="s">
        <v>228</v>
      </c>
      <c r="I53" s="44" t="s">
        <v>466</v>
      </c>
      <c r="J53" s="44" t="s">
        <v>277</v>
      </c>
      <c r="K53" s="53">
        <v>0.0</v>
      </c>
      <c r="L53" s="44" t="s">
        <v>244</v>
      </c>
      <c r="M53" s="41" t="s">
        <v>226</v>
      </c>
      <c r="N53" s="44" t="s">
        <v>232</v>
      </c>
      <c r="O53" s="54" t="s">
        <v>262</v>
      </c>
      <c r="P53" s="41">
        <v>40.0</v>
      </c>
      <c r="Q53" s="55">
        <v>46161.0</v>
      </c>
      <c r="R53" s="55">
        <v>46174.0</v>
      </c>
      <c r="S53" s="55">
        <v>46174.0</v>
      </c>
      <c r="T53" s="55">
        <v>46203.0</v>
      </c>
      <c r="U53" s="41" t="s">
        <v>234</v>
      </c>
      <c r="V53" s="44" t="s">
        <v>151</v>
      </c>
      <c r="W53" s="56" t="str">
        <f t="array" ref="W53">IF(EXACT(V53, ""), "", XLOOKUP(V53, Equipo[nickname], Equipo[user]))</f>
        <v>hloredo</v>
      </c>
      <c r="X53" s="44" t="s">
        <v>149</v>
      </c>
      <c r="Y53" s="56" t="str">
        <f t="array" ref="Y53">IF(EXACT(X53, ""), "", XLOOKUP(X53, Equipo[nickname], Equipo[user]))</f>
        <v>dgonzalez</v>
      </c>
      <c r="Z53" s="41" t="s">
        <v>235</v>
      </c>
      <c r="AA53" s="41" t="str">
        <f>IFERROR(__xludf.DUMMYFUNCTION("IF(EXACT(Z53, """"), """", TEXTJOIN("", "", TRUE, ARRAYFORMULA(XLOOKUP(TRIM(SPLIT(Z53, "","")), Equipo[nickname], Equipo[user], """"))))"),"lbernal")</f>
        <v>lbernal</v>
      </c>
      <c r="AB53" s="56" t="s">
        <v>355</v>
      </c>
      <c r="AC53" s="41" t="str">
        <f>IFERROR(__xludf.DUMMYFUNCTION("IF(EXACT(AB53, """"), """", TEXTJOIN("", "", TRUE, ARRAYFORMULA(XLOOKUP(TRIM(SPLIT(AB53, "","")), Equipo[nickname], Equipo[user]))))"),"econtreras")</f>
        <v>econtreras</v>
      </c>
      <c r="AD53" s="44" t="s">
        <v>237</v>
      </c>
      <c r="AE53" s="41" t="str">
        <f>IFERROR(__xludf.DUMMYFUNCTION("IF(EXACT(AD53, """"), """", TEXTJOIN("", "", TRUE, ARRAYFORMULA(XLOOKUP(TRIM(SPLIT(AD53, "","")), Equipo[nickname], Equipo[user], """"))))"),"egonzalez")</f>
        <v>egonzalez</v>
      </c>
      <c r="AF53" s="56" t="s">
        <v>481</v>
      </c>
      <c r="AG53" s="57" t="str">
        <f>IFERROR(__xludf.DUMMYFUNCTION("IF(EXACT(AF53, """"), """", TEXTJOIN("", "", TRUE, ARRAYFORMULA(XLOOKUP(TRIM(SPLIT(AF53, "","")), Equipo[nickname], Equipo[user], """"))))"),"hloredo, lbernal, egonzalez, czamudio")</f>
        <v>hloredo, lbernal, egonzalez, czamudio</v>
      </c>
      <c r="AH53" s="57" t="s">
        <v>482</v>
      </c>
      <c r="AI53" s="58">
        <v>46170.0</v>
      </c>
    </row>
    <row r="54" ht="22.5" customHeight="1">
      <c r="A54" s="41">
        <v>1040.0</v>
      </c>
      <c r="B54" s="42"/>
      <c r="C54" s="51"/>
      <c r="D54" s="51" t="s">
        <v>485</v>
      </c>
      <c r="E54" s="42" t="s">
        <v>225</v>
      </c>
      <c r="F54" s="41" t="s">
        <v>226</v>
      </c>
      <c r="G54" s="42" t="s">
        <v>404</v>
      </c>
      <c r="H54" s="41" t="s">
        <v>228</v>
      </c>
      <c r="I54" s="44" t="s">
        <v>466</v>
      </c>
      <c r="J54" s="44" t="s">
        <v>277</v>
      </c>
      <c r="K54" s="53">
        <v>0.0</v>
      </c>
      <c r="L54" s="44" t="s">
        <v>244</v>
      </c>
      <c r="M54" s="41" t="s">
        <v>226</v>
      </c>
      <c r="N54" s="44" t="s">
        <v>321</v>
      </c>
      <c r="O54" s="54" t="s">
        <v>322</v>
      </c>
      <c r="P54" s="41">
        <v>40.0</v>
      </c>
      <c r="Q54" s="55">
        <v>46161.0</v>
      </c>
      <c r="R54" s="55">
        <v>46204.0</v>
      </c>
      <c r="S54" s="55">
        <v>46204.0</v>
      </c>
      <c r="T54" s="55">
        <v>46234.0</v>
      </c>
      <c r="U54" s="41" t="s">
        <v>234</v>
      </c>
      <c r="V54" s="44" t="s">
        <v>151</v>
      </c>
      <c r="W54" s="56" t="str">
        <f t="array" ref="W54">IF(EXACT(V54, ""), "", XLOOKUP(V54, Equipo[nickname], Equipo[user]))</f>
        <v>hloredo</v>
      </c>
      <c r="X54" s="44" t="s">
        <v>149</v>
      </c>
      <c r="Y54" s="56" t="str">
        <f t="array" ref="Y54">IF(EXACT(X54, ""), "", XLOOKUP(X54, Equipo[nickname], Equipo[user]))</f>
        <v>dgonzalez</v>
      </c>
      <c r="Z54" s="41" t="s">
        <v>235</v>
      </c>
      <c r="AA54" s="41" t="str">
        <f>IFERROR(__xludf.DUMMYFUNCTION("IF(EXACT(Z54, """"), """", TEXTJOIN("", "", TRUE, ARRAYFORMULA(XLOOKUP(TRIM(SPLIT(Z54, "","")), Equipo[nickname], Equipo[user], """"))))"),"lbernal")</f>
        <v>lbernal</v>
      </c>
      <c r="AB54" s="56" t="s">
        <v>462</v>
      </c>
      <c r="AC54" s="41" t="str">
        <f>IFERROR(__xludf.DUMMYFUNCTION("IF(EXACT(AB54, """"), """", TEXTJOIN("", "", TRUE, ARRAYFORMULA(XLOOKUP(TRIM(SPLIT(AB54, "","")), Equipo[nickname], Equipo[user]))))"),"jlopez")</f>
        <v>jlopez</v>
      </c>
      <c r="AD54" s="44" t="s">
        <v>237</v>
      </c>
      <c r="AE54" s="41" t="str">
        <f>IFERROR(__xludf.DUMMYFUNCTION("IF(EXACT(AD54, """"), """", TEXTJOIN("", "", TRUE, ARRAYFORMULA(XLOOKUP(TRIM(SPLIT(AD54, "","")), Equipo[nickname], Equipo[user], """"))))"),"egonzalez")</f>
        <v>egonzalez</v>
      </c>
      <c r="AF54" s="56" t="s">
        <v>481</v>
      </c>
      <c r="AG54" s="57" t="str">
        <f>IFERROR(__xludf.DUMMYFUNCTION("IF(EXACT(AF54, """"), """", TEXTJOIN("", "", TRUE, ARRAYFORMULA(XLOOKUP(TRIM(SPLIT(AF54, "","")), Equipo[nickname], Equipo[user], """"))))"),"hloredo, lbernal, egonzalez, czamudio")</f>
        <v>hloredo, lbernal, egonzalez, czamudio</v>
      </c>
      <c r="AH54" s="57" t="s">
        <v>482</v>
      </c>
      <c r="AI54" s="58">
        <v>46170.0</v>
      </c>
    </row>
    <row r="55" ht="22.5" customHeight="1">
      <c r="A55" s="41">
        <v>1041.0</v>
      </c>
      <c r="B55" s="42"/>
      <c r="C55" s="51"/>
      <c r="D55" s="51" t="s">
        <v>486</v>
      </c>
      <c r="E55" s="42" t="s">
        <v>225</v>
      </c>
      <c r="F55" s="41" t="s">
        <v>226</v>
      </c>
      <c r="G55" s="42" t="s">
        <v>404</v>
      </c>
      <c r="H55" s="41" t="s">
        <v>228</v>
      </c>
      <c r="I55" s="44" t="s">
        <v>466</v>
      </c>
      <c r="J55" s="44" t="s">
        <v>277</v>
      </c>
      <c r="K55" s="53">
        <v>0.0</v>
      </c>
      <c r="L55" s="44" t="s">
        <v>252</v>
      </c>
      <c r="M55" s="41" t="s">
        <v>226</v>
      </c>
      <c r="N55" s="44" t="s">
        <v>232</v>
      </c>
      <c r="O55" s="54" t="s">
        <v>262</v>
      </c>
      <c r="P55" s="41">
        <v>40.0</v>
      </c>
      <c r="Q55" s="55">
        <v>46161.0</v>
      </c>
      <c r="R55" s="55">
        <v>46174.0</v>
      </c>
      <c r="S55" s="55">
        <v>46174.0</v>
      </c>
      <c r="T55" s="55">
        <v>46203.0</v>
      </c>
      <c r="U55" s="41" t="s">
        <v>234</v>
      </c>
      <c r="V55" s="44" t="s">
        <v>151</v>
      </c>
      <c r="W55" s="56" t="str">
        <f t="array" ref="W55">IF(EXACT(V55, ""), "", XLOOKUP(V55, Equipo[nickname], Equipo[user]))</f>
        <v>hloredo</v>
      </c>
      <c r="X55" s="44" t="s">
        <v>149</v>
      </c>
      <c r="Y55" s="56" t="str">
        <f t="array" ref="Y55">IF(EXACT(X55, ""), "", XLOOKUP(X55, Equipo[nickname], Equipo[user]))</f>
        <v>dgonzalez</v>
      </c>
      <c r="Z55" s="41" t="s">
        <v>235</v>
      </c>
      <c r="AA55" s="41" t="str">
        <f>IFERROR(__xludf.DUMMYFUNCTION("IF(EXACT(Z55, """"), """", TEXTJOIN("", "", TRUE, ARRAYFORMULA(XLOOKUP(TRIM(SPLIT(Z55, "","")), Equipo[nickname], Equipo[user], """"))))"),"lbernal")</f>
        <v>lbernal</v>
      </c>
      <c r="AB55" s="56" t="s">
        <v>487</v>
      </c>
      <c r="AC55" s="41" t="str">
        <f>IFERROR(__xludf.DUMMYFUNCTION("IF(EXACT(AB55, """"), """", TEXTJOIN("", "", TRUE, ARRAYFORMULA(XLOOKUP(TRIM(SPLIT(AB55, "","")), Equipo[nickname], Equipo[user]))))"),"etorres, ameza, lolvera, rescobar, jlopez")</f>
        <v>etorres, ameza, lolvera, rescobar, jlopez</v>
      </c>
      <c r="AD55" s="44" t="s">
        <v>237</v>
      </c>
      <c r="AE55" s="41" t="str">
        <f>IFERROR(__xludf.DUMMYFUNCTION("IF(EXACT(AD55, """"), """", TEXTJOIN("", "", TRUE, ARRAYFORMULA(XLOOKUP(TRIM(SPLIT(AD55, "","")), Equipo[nickname], Equipo[user], """"))))"),"egonzalez")</f>
        <v>egonzalez</v>
      </c>
      <c r="AF55" s="56" t="s">
        <v>481</v>
      </c>
      <c r="AG55" s="57" t="str">
        <f>IFERROR(__xludf.DUMMYFUNCTION("IF(EXACT(AF55, """"), """", TEXTJOIN("", "", TRUE, ARRAYFORMULA(XLOOKUP(TRIM(SPLIT(AF55, "","")), Equipo[nickname], Equipo[user], """"))))"),"hloredo, lbernal, egonzalez, czamudio")</f>
        <v>hloredo, lbernal, egonzalez, czamudio</v>
      </c>
      <c r="AH55" s="57" t="s">
        <v>482</v>
      </c>
      <c r="AI55" s="58">
        <v>46170.0</v>
      </c>
    </row>
    <row r="56" ht="22.5" customHeight="1">
      <c r="A56" s="41">
        <v>1042.0</v>
      </c>
      <c r="B56" s="42"/>
      <c r="C56" s="51"/>
      <c r="D56" s="51" t="s">
        <v>488</v>
      </c>
      <c r="E56" s="42" t="s">
        <v>225</v>
      </c>
      <c r="F56" s="41" t="s">
        <v>226</v>
      </c>
      <c r="G56" s="42" t="s">
        <v>227</v>
      </c>
      <c r="H56" s="41" t="s">
        <v>228</v>
      </c>
      <c r="I56" s="44" t="s">
        <v>466</v>
      </c>
      <c r="J56" s="44" t="s">
        <v>277</v>
      </c>
      <c r="K56" s="53">
        <v>0.0</v>
      </c>
      <c r="L56" s="44" t="s">
        <v>244</v>
      </c>
      <c r="M56" s="41" t="s">
        <v>226</v>
      </c>
      <c r="N56" s="44" t="s">
        <v>321</v>
      </c>
      <c r="O56" s="54" t="s">
        <v>472</v>
      </c>
      <c r="P56" s="41">
        <v>40.0</v>
      </c>
      <c r="Q56" s="55">
        <v>46161.0</v>
      </c>
      <c r="R56" s="55">
        <v>46174.0</v>
      </c>
      <c r="S56" s="55">
        <v>46174.0</v>
      </c>
      <c r="T56" s="55">
        <v>46234.0</v>
      </c>
      <c r="U56" s="41" t="s">
        <v>234</v>
      </c>
      <c r="V56" s="44" t="s">
        <v>151</v>
      </c>
      <c r="W56" s="56" t="str">
        <f t="array" ref="W56">IF(EXACT(V56, ""), "", XLOOKUP(V56, Equipo[nickname], Equipo[user]))</f>
        <v>hloredo</v>
      </c>
      <c r="X56" s="44" t="s">
        <v>149</v>
      </c>
      <c r="Y56" s="56" t="str">
        <f t="array" ref="Y56">IF(EXACT(X56, ""), "", XLOOKUP(X56, Equipo[nickname], Equipo[user]))</f>
        <v>dgonzalez</v>
      </c>
      <c r="Z56" s="41" t="s">
        <v>235</v>
      </c>
      <c r="AA56" s="41" t="str">
        <f>IFERROR(__xludf.DUMMYFUNCTION("IF(EXACT(Z56, """"), """", TEXTJOIN("", "", TRUE, ARRAYFORMULA(XLOOKUP(TRIM(SPLIT(Z56, "","")), Equipo[nickname], Equipo[user], """"))))"),"lbernal")</f>
        <v>lbernal</v>
      </c>
      <c r="AB56" s="56" t="s">
        <v>489</v>
      </c>
      <c r="AC56" s="41" t="str">
        <f>IFERROR(__xludf.DUMMYFUNCTION("IF(EXACT(AB56, """"), """", TEXTJOIN("", "", TRUE, ARRAYFORMULA(XLOOKUP(TRIM(SPLIT(AB56, "","")), Equipo[nickname], Equipo[user]))))"),"jlopez, gguadarrama")</f>
        <v>jlopez, gguadarrama</v>
      </c>
      <c r="AD56" s="44" t="s">
        <v>237</v>
      </c>
      <c r="AE56" s="41" t="str">
        <f>IFERROR(__xludf.DUMMYFUNCTION("IF(EXACT(AD56, """"), """", TEXTJOIN("", "", TRUE, ARRAYFORMULA(XLOOKUP(TRIM(SPLIT(AD56, "","")), Equipo[nickname], Equipo[user], """"))))"),"egonzalez")</f>
        <v>egonzalez</v>
      </c>
      <c r="AF56" s="56" t="s">
        <v>481</v>
      </c>
      <c r="AG56" s="57" t="str">
        <f>IFERROR(__xludf.DUMMYFUNCTION("IF(EXACT(AF56, """"), """", TEXTJOIN("", "", TRUE, ARRAYFORMULA(XLOOKUP(TRIM(SPLIT(AF56, "","")), Equipo[nickname], Equipo[user], """"))))"),"hloredo, lbernal, egonzalez, czamudio")</f>
        <v>hloredo, lbernal, egonzalez, czamudio</v>
      </c>
      <c r="AH56" s="57" t="s">
        <v>482</v>
      </c>
      <c r="AI56" s="58">
        <v>46170.0</v>
      </c>
    </row>
    <row r="57" ht="22.5" customHeight="1">
      <c r="A57" s="41">
        <v>1043.0</v>
      </c>
      <c r="B57" s="42"/>
      <c r="C57" s="51"/>
      <c r="D57" s="51" t="s">
        <v>490</v>
      </c>
      <c r="E57" s="42" t="s">
        <v>225</v>
      </c>
      <c r="F57" s="41" t="s">
        <v>226</v>
      </c>
      <c r="G57" s="42" t="s">
        <v>227</v>
      </c>
      <c r="H57" s="41" t="s">
        <v>228</v>
      </c>
      <c r="I57" s="44" t="s">
        <v>466</v>
      </c>
      <c r="J57" s="44" t="s">
        <v>277</v>
      </c>
      <c r="K57" s="53">
        <v>0.0</v>
      </c>
      <c r="L57" s="44" t="s">
        <v>299</v>
      </c>
      <c r="M57" s="41" t="s">
        <v>226</v>
      </c>
      <c r="N57" s="44" t="s">
        <v>232</v>
      </c>
      <c r="O57" s="54" t="s">
        <v>262</v>
      </c>
      <c r="P57" s="41">
        <v>40.0</v>
      </c>
      <c r="Q57" s="55">
        <v>46161.0</v>
      </c>
      <c r="R57" s="55">
        <v>46174.0</v>
      </c>
      <c r="S57" s="55">
        <v>46174.0</v>
      </c>
      <c r="T57" s="55">
        <v>46176.0</v>
      </c>
      <c r="U57" s="41" t="s">
        <v>234</v>
      </c>
      <c r="V57" s="44" t="s">
        <v>151</v>
      </c>
      <c r="W57" s="56" t="str">
        <f t="array" ref="W57">IF(EXACT(V57, ""), "", XLOOKUP(V57, Equipo[nickname], Equipo[user]))</f>
        <v>hloredo</v>
      </c>
      <c r="X57" s="44" t="s">
        <v>149</v>
      </c>
      <c r="Y57" s="56" t="str">
        <f t="array" ref="Y57">IF(EXACT(X57, ""), "", XLOOKUP(X57, Equipo[nickname], Equipo[user]))</f>
        <v>dgonzalez</v>
      </c>
      <c r="Z57" s="41" t="s">
        <v>235</v>
      </c>
      <c r="AA57" s="41" t="str">
        <f>IFERROR(__xludf.DUMMYFUNCTION("IF(EXACT(Z57, """"), """", TEXTJOIN("", "", TRUE, ARRAYFORMULA(XLOOKUP(TRIM(SPLIT(Z57, "","")), Equipo[nickname], Equipo[user], """"))))"),"lbernal")</f>
        <v>lbernal</v>
      </c>
      <c r="AB57" s="56" t="s">
        <v>236</v>
      </c>
      <c r="AC57" s="41" t="str">
        <f>IFERROR(__xludf.DUMMYFUNCTION("IF(EXACT(AB57, """"), """", TEXTJOIN("", "", TRUE, ARRAYFORMULA(XLOOKUP(TRIM(SPLIT(AB57, "","")), Equipo[nickname], Equipo[user]))))"),"gguadarrama")</f>
        <v>gguadarrama</v>
      </c>
      <c r="AD57" s="44" t="s">
        <v>237</v>
      </c>
      <c r="AE57" s="41" t="str">
        <f>IFERROR(__xludf.DUMMYFUNCTION("IF(EXACT(AD57, """"), """", TEXTJOIN("", "", TRUE, ARRAYFORMULA(XLOOKUP(TRIM(SPLIT(AD57, "","")), Equipo[nickname], Equipo[user], """"))))"),"egonzalez")</f>
        <v>egonzalez</v>
      </c>
      <c r="AF57" s="56" t="s">
        <v>481</v>
      </c>
      <c r="AG57" s="57" t="str">
        <f>IFERROR(__xludf.DUMMYFUNCTION("IF(EXACT(AF57, """"), """", TEXTJOIN("", "", TRUE, ARRAYFORMULA(XLOOKUP(TRIM(SPLIT(AF57, "","")), Equipo[nickname], Equipo[user], """"))))"),"hloredo, lbernal, egonzalez, czamudio")</f>
        <v>hloredo, lbernal, egonzalez, czamudio</v>
      </c>
      <c r="AH57" s="57" t="s">
        <v>482</v>
      </c>
      <c r="AI57" s="58">
        <v>46170.0</v>
      </c>
    </row>
    <row r="58" ht="22.5" customHeight="1">
      <c r="A58" s="41">
        <v>1044.0</v>
      </c>
      <c r="B58" s="42"/>
      <c r="C58" s="51"/>
      <c r="D58" s="51" t="s">
        <v>491</v>
      </c>
      <c r="E58" s="42" t="s">
        <v>225</v>
      </c>
      <c r="F58" s="41" t="s">
        <v>226</v>
      </c>
      <c r="G58" s="42" t="s">
        <v>227</v>
      </c>
      <c r="H58" s="41" t="s">
        <v>228</v>
      </c>
      <c r="I58" s="44" t="s">
        <v>466</v>
      </c>
      <c r="J58" s="44" t="s">
        <v>277</v>
      </c>
      <c r="K58" s="53">
        <v>0.0</v>
      </c>
      <c r="L58" s="44" t="s">
        <v>244</v>
      </c>
      <c r="M58" s="41" t="s">
        <v>226</v>
      </c>
      <c r="N58" s="44" t="s">
        <v>232</v>
      </c>
      <c r="O58" s="54" t="s">
        <v>322</v>
      </c>
      <c r="P58" s="41">
        <v>40.0</v>
      </c>
      <c r="Q58" s="55">
        <v>46161.0</v>
      </c>
      <c r="R58" s="55">
        <v>46204.0</v>
      </c>
      <c r="S58" s="55">
        <v>46204.0</v>
      </c>
      <c r="T58" s="55">
        <v>46234.0</v>
      </c>
      <c r="U58" s="41" t="s">
        <v>234</v>
      </c>
      <c r="V58" s="44" t="s">
        <v>151</v>
      </c>
      <c r="W58" s="56" t="str">
        <f t="array" ref="W58">IF(EXACT(V58, ""), "", XLOOKUP(V58, Equipo[nickname], Equipo[user]))</f>
        <v>hloredo</v>
      </c>
      <c r="X58" s="44" t="s">
        <v>149</v>
      </c>
      <c r="Y58" s="56" t="str">
        <f t="array" ref="Y58">IF(EXACT(X58, ""), "", XLOOKUP(X58, Equipo[nickname], Equipo[user]))</f>
        <v>dgonzalez</v>
      </c>
      <c r="Z58" s="41" t="s">
        <v>235</v>
      </c>
      <c r="AA58" s="41" t="str">
        <f>IFERROR(__xludf.DUMMYFUNCTION("IF(EXACT(Z58, """"), """", TEXTJOIN("", "", TRUE, ARRAYFORMULA(XLOOKUP(TRIM(SPLIT(Z58, "","")), Equipo[nickname], Equipo[user], """"))))"),"lbernal")</f>
        <v>lbernal</v>
      </c>
      <c r="AB58" s="56" t="s">
        <v>492</v>
      </c>
      <c r="AC58" s="41" t="str">
        <f>IFERROR(__xludf.DUMMYFUNCTION("IF(EXACT(AB58, """"), """", TEXTJOIN("", "", TRUE, ARRAYFORMULA(XLOOKUP(TRIM(SPLIT(AB58, "","")), Equipo[nickname], Equipo[user]))))"),"jlopez, econtreras")</f>
        <v>jlopez, econtreras</v>
      </c>
      <c r="AD58" s="44" t="s">
        <v>237</v>
      </c>
      <c r="AE58" s="41" t="str">
        <f>IFERROR(__xludf.DUMMYFUNCTION("IF(EXACT(AD58, """"), """", TEXTJOIN("", "", TRUE, ARRAYFORMULA(XLOOKUP(TRIM(SPLIT(AD58, "","")), Equipo[nickname], Equipo[user], """"))))"),"egonzalez")</f>
        <v>egonzalez</v>
      </c>
      <c r="AF58" s="56" t="s">
        <v>481</v>
      </c>
      <c r="AG58" s="57" t="str">
        <f>IFERROR(__xludf.DUMMYFUNCTION("IF(EXACT(AF58, """"), """", TEXTJOIN("", "", TRUE, ARRAYFORMULA(XLOOKUP(TRIM(SPLIT(AF58, "","")), Equipo[nickname], Equipo[user], """"))))"),"hloredo, lbernal, egonzalez, czamudio")</f>
        <v>hloredo, lbernal, egonzalez, czamudio</v>
      </c>
      <c r="AH58" s="57" t="s">
        <v>482</v>
      </c>
      <c r="AI58" s="58">
        <v>46170.0</v>
      </c>
    </row>
    <row r="59" ht="22.5" customHeight="1">
      <c r="A59" s="41">
        <v>1045.0</v>
      </c>
      <c r="B59" s="42"/>
      <c r="C59" s="51"/>
      <c r="D59" s="51" t="s">
        <v>493</v>
      </c>
      <c r="E59" s="42" t="s">
        <v>225</v>
      </c>
      <c r="F59" s="41" t="s">
        <v>226</v>
      </c>
      <c r="G59" s="42" t="s">
        <v>227</v>
      </c>
      <c r="H59" s="41" t="s">
        <v>228</v>
      </c>
      <c r="I59" s="44" t="s">
        <v>466</v>
      </c>
      <c r="J59" s="44" t="s">
        <v>277</v>
      </c>
      <c r="K59" s="53">
        <v>0.0</v>
      </c>
      <c r="L59" s="44" t="s">
        <v>244</v>
      </c>
      <c r="M59" s="41" t="s">
        <v>226</v>
      </c>
      <c r="N59" s="44" t="s">
        <v>232</v>
      </c>
      <c r="O59" s="54" t="s">
        <v>262</v>
      </c>
      <c r="P59" s="41">
        <v>40.0</v>
      </c>
      <c r="Q59" s="55">
        <v>46161.0</v>
      </c>
      <c r="R59" s="55">
        <v>46181.0</v>
      </c>
      <c r="S59" s="55">
        <v>46181.0</v>
      </c>
      <c r="T59" s="55">
        <v>46203.0</v>
      </c>
      <c r="U59" s="41" t="s">
        <v>234</v>
      </c>
      <c r="V59" s="44" t="s">
        <v>151</v>
      </c>
      <c r="W59" s="56" t="str">
        <f t="array" ref="W59">IF(EXACT(V59, ""), "", XLOOKUP(V59, Equipo[nickname], Equipo[user]))</f>
        <v>hloredo</v>
      </c>
      <c r="X59" s="44" t="s">
        <v>149</v>
      </c>
      <c r="Y59" s="56" t="str">
        <f t="array" ref="Y59">IF(EXACT(X59, ""), "", XLOOKUP(X59, Equipo[nickname], Equipo[user]))</f>
        <v>dgonzalez</v>
      </c>
      <c r="Z59" s="41" t="s">
        <v>235</v>
      </c>
      <c r="AA59" s="41" t="str">
        <f>IFERROR(__xludf.DUMMYFUNCTION("IF(EXACT(Z59, """"), """", TEXTJOIN("", "", TRUE, ARRAYFORMULA(XLOOKUP(TRIM(SPLIT(Z59, "","")), Equipo[nickname], Equipo[user], """"))))"),"lbernal")</f>
        <v>lbernal</v>
      </c>
      <c r="AB59" s="56" t="s">
        <v>494</v>
      </c>
      <c r="AC59" s="41" t="str">
        <f>IFERROR(__xludf.DUMMYFUNCTION("IF(EXACT(AB59, """"), """", TEXTJOIN("", "", TRUE, ARRAYFORMULA(XLOOKUP(TRIM(SPLIT(AB59, "","")), Equipo[nickname], Equipo[user]))))"),"econtreras, jlopez")</f>
        <v>econtreras, jlopez</v>
      </c>
      <c r="AD59" s="44" t="s">
        <v>237</v>
      </c>
      <c r="AE59" s="41" t="str">
        <f>IFERROR(__xludf.DUMMYFUNCTION("IF(EXACT(AD59, """"), """", TEXTJOIN("", "", TRUE, ARRAYFORMULA(XLOOKUP(TRIM(SPLIT(AD59, "","")), Equipo[nickname], Equipo[user], """"))))"),"egonzalez")</f>
        <v>egonzalez</v>
      </c>
      <c r="AF59" s="56" t="s">
        <v>481</v>
      </c>
      <c r="AG59" s="57" t="str">
        <f>IFERROR(__xludf.DUMMYFUNCTION("IF(EXACT(AF59, """"), """", TEXTJOIN("", "", TRUE, ARRAYFORMULA(XLOOKUP(TRIM(SPLIT(AF59, "","")), Equipo[nickname], Equipo[user], """"))))"),"hloredo, lbernal, egonzalez, czamudio")</f>
        <v>hloredo, lbernal, egonzalez, czamudio</v>
      </c>
      <c r="AH59" s="57" t="s">
        <v>482</v>
      </c>
      <c r="AI59" s="58">
        <v>46170.0</v>
      </c>
    </row>
    <row r="60" ht="22.5" customHeight="1">
      <c r="A60" s="41">
        <v>1046.0</v>
      </c>
      <c r="B60" s="42"/>
      <c r="C60" s="51"/>
      <c r="D60" s="51" t="s">
        <v>495</v>
      </c>
      <c r="E60" s="42" t="s">
        <v>225</v>
      </c>
      <c r="F60" s="41" t="s">
        <v>226</v>
      </c>
      <c r="G60" s="42" t="s">
        <v>282</v>
      </c>
      <c r="H60" s="41" t="s">
        <v>228</v>
      </c>
      <c r="I60" s="44" t="s">
        <v>466</v>
      </c>
      <c r="J60" s="44" t="s">
        <v>277</v>
      </c>
      <c r="K60" s="53">
        <v>0.0</v>
      </c>
      <c r="L60" s="44" t="s">
        <v>244</v>
      </c>
      <c r="M60" s="41" t="s">
        <v>226</v>
      </c>
      <c r="N60" s="44" t="s">
        <v>232</v>
      </c>
      <c r="O60" s="54" t="s">
        <v>262</v>
      </c>
      <c r="P60" s="41">
        <v>40.0</v>
      </c>
      <c r="Q60" s="55">
        <v>46161.0</v>
      </c>
      <c r="R60" s="55">
        <v>46176.0</v>
      </c>
      <c r="S60" s="55">
        <v>46176.0</v>
      </c>
      <c r="T60" s="55">
        <v>46178.0</v>
      </c>
      <c r="U60" s="41" t="s">
        <v>234</v>
      </c>
      <c r="V60" s="44" t="s">
        <v>151</v>
      </c>
      <c r="W60" s="56" t="str">
        <f t="array" ref="W60">IF(EXACT(V60, ""), "", XLOOKUP(V60, Equipo[nickname], Equipo[user]))</f>
        <v>hloredo</v>
      </c>
      <c r="X60" s="44" t="s">
        <v>149</v>
      </c>
      <c r="Y60" s="56" t="str">
        <f t="array" ref="Y60">IF(EXACT(X60, ""), "", XLOOKUP(X60, Equipo[nickname], Equipo[user]))</f>
        <v>dgonzalez</v>
      </c>
      <c r="Z60" s="41" t="s">
        <v>235</v>
      </c>
      <c r="AA60" s="41" t="str">
        <f>IFERROR(__xludf.DUMMYFUNCTION("IF(EXACT(Z60, """"), """", TEXTJOIN("", "", TRUE, ARRAYFORMULA(XLOOKUP(TRIM(SPLIT(Z60, "","")), Equipo[nickname], Equipo[user], """"))))"),"lbernal")</f>
        <v>lbernal</v>
      </c>
      <c r="AB60" s="56" t="s">
        <v>496</v>
      </c>
      <c r="AC60" s="41" t="str">
        <f>IFERROR(__xludf.DUMMYFUNCTION("IF(EXACT(AB60, """"), """", TEXTJOIN("", "", TRUE, ARRAYFORMULA(XLOOKUP(TRIM(SPLIT(AB60, "","")), Equipo[nickname], Equipo[user]))))"),"gguadarrama, jlopez")</f>
        <v>gguadarrama, jlopez</v>
      </c>
      <c r="AD60" s="44" t="s">
        <v>237</v>
      </c>
      <c r="AE60" s="41" t="str">
        <f>IFERROR(__xludf.DUMMYFUNCTION("IF(EXACT(AD60, """"), """", TEXTJOIN("", "", TRUE, ARRAYFORMULA(XLOOKUP(TRIM(SPLIT(AD60, "","")), Equipo[nickname], Equipo[user], """"))))"),"egonzalez")</f>
        <v>egonzalez</v>
      </c>
      <c r="AF60" s="56" t="s">
        <v>481</v>
      </c>
      <c r="AG60" s="57" t="str">
        <f>IFERROR(__xludf.DUMMYFUNCTION("IF(EXACT(AF60, """"), """", TEXTJOIN("", "", TRUE, ARRAYFORMULA(XLOOKUP(TRIM(SPLIT(AF60, "","")), Equipo[nickname], Equipo[user], """"))))"),"hloredo, lbernal, egonzalez, czamudio")</f>
        <v>hloredo, lbernal, egonzalez, czamudio</v>
      </c>
      <c r="AH60" s="57" t="s">
        <v>482</v>
      </c>
      <c r="AI60" s="58">
        <v>46170.0</v>
      </c>
    </row>
    <row r="61" ht="22.5" customHeight="1">
      <c r="A61" s="41">
        <v>1047.0</v>
      </c>
      <c r="B61" s="42"/>
      <c r="C61" s="51"/>
      <c r="D61" s="51" t="s">
        <v>497</v>
      </c>
      <c r="E61" s="42" t="s">
        <v>225</v>
      </c>
      <c r="F61" s="41" t="s">
        <v>226</v>
      </c>
      <c r="G61" s="42" t="s">
        <v>227</v>
      </c>
      <c r="H61" s="41" t="s">
        <v>228</v>
      </c>
      <c r="I61" s="44" t="s">
        <v>466</v>
      </c>
      <c r="J61" s="44" t="s">
        <v>277</v>
      </c>
      <c r="K61" s="53">
        <v>0.2</v>
      </c>
      <c r="L61" s="44" t="s">
        <v>231</v>
      </c>
      <c r="M61" s="41" t="s">
        <v>226</v>
      </c>
      <c r="N61" s="44" t="s">
        <v>232</v>
      </c>
      <c r="O61" s="54" t="s">
        <v>498</v>
      </c>
      <c r="P61" s="41">
        <v>40.0</v>
      </c>
      <c r="Q61" s="55">
        <v>46161.0</v>
      </c>
      <c r="R61" s="55">
        <v>46168.0</v>
      </c>
      <c r="S61" s="55">
        <v>46168.0</v>
      </c>
      <c r="T61" s="55">
        <v>46175.0</v>
      </c>
      <c r="U61" s="41"/>
      <c r="V61" s="44" t="s">
        <v>151</v>
      </c>
      <c r="W61" s="56" t="str">
        <f t="array" ref="W61">IF(EXACT(V61, ""), "", XLOOKUP(V61, Equipo[nickname], Equipo[user]))</f>
        <v>hloredo</v>
      </c>
      <c r="X61" s="44" t="s">
        <v>149</v>
      </c>
      <c r="Y61" s="56" t="str">
        <f t="array" ref="Y61">IF(EXACT(X61, ""), "", XLOOKUP(X61, Equipo[nickname], Equipo[user]))</f>
        <v>dgonzalez</v>
      </c>
      <c r="Z61" s="41" t="s">
        <v>235</v>
      </c>
      <c r="AA61" s="41" t="str">
        <f>IFERROR(__xludf.DUMMYFUNCTION("IF(EXACT(Z61, """"), """", TEXTJOIN("", "", TRUE, ARRAYFORMULA(XLOOKUP(TRIM(SPLIT(Z61, "","")), Equipo[nickname], Equipo[user], """"))))"),"lbernal")</f>
        <v>lbernal</v>
      </c>
      <c r="AB61" s="56" t="s">
        <v>462</v>
      </c>
      <c r="AC61" s="41" t="str">
        <f>IFERROR(__xludf.DUMMYFUNCTION("IF(EXACT(AB61, """"), """", TEXTJOIN("", "", TRUE, ARRAYFORMULA(XLOOKUP(TRIM(SPLIT(AB61, "","")), Equipo[nickname], Equipo[user]))))"),"jlopez")</f>
        <v>jlopez</v>
      </c>
      <c r="AD61" s="44" t="s">
        <v>237</v>
      </c>
      <c r="AE61" s="41" t="str">
        <f>IFERROR(__xludf.DUMMYFUNCTION("IF(EXACT(AD61, """"), """", TEXTJOIN("", "", TRUE, ARRAYFORMULA(XLOOKUP(TRIM(SPLIT(AD61, "","")), Equipo[nickname], Equipo[user], """"))))"),"egonzalez")</f>
        <v>egonzalez</v>
      </c>
      <c r="AF61" s="56" t="s">
        <v>481</v>
      </c>
      <c r="AG61" s="57" t="str">
        <f>IFERROR(__xludf.DUMMYFUNCTION("IF(EXACT(AF61, """"), """", TEXTJOIN("", "", TRUE, ARRAYFORMULA(XLOOKUP(TRIM(SPLIT(AF61, "","")), Equipo[nickname], Equipo[user], """"))))"),"hloredo, lbernal, egonzalez, czamudio")</f>
        <v>hloredo, lbernal, egonzalez, czamudio</v>
      </c>
      <c r="AH61" s="57" t="s">
        <v>482</v>
      </c>
      <c r="AI61" s="58">
        <v>46170.0</v>
      </c>
    </row>
    <row r="62" ht="22.5" customHeight="1">
      <c r="A62" s="41">
        <v>1048.0</v>
      </c>
      <c r="B62" s="42"/>
      <c r="C62" s="51"/>
      <c r="D62" s="51" t="s">
        <v>499</v>
      </c>
      <c r="E62" s="42" t="s">
        <v>225</v>
      </c>
      <c r="F62" s="41" t="s">
        <v>226</v>
      </c>
      <c r="G62" s="42" t="s">
        <v>227</v>
      </c>
      <c r="H62" s="41" t="s">
        <v>228</v>
      </c>
      <c r="I62" s="44" t="s">
        <v>466</v>
      </c>
      <c r="J62" s="44" t="s">
        <v>277</v>
      </c>
      <c r="K62" s="53">
        <v>0.0</v>
      </c>
      <c r="L62" s="44" t="s">
        <v>231</v>
      </c>
      <c r="M62" s="41" t="s">
        <v>226</v>
      </c>
      <c r="N62" s="44" t="s">
        <v>232</v>
      </c>
      <c r="O62" s="54" t="s">
        <v>498</v>
      </c>
      <c r="P62" s="41">
        <v>24.0</v>
      </c>
      <c r="Q62" s="55">
        <v>46161.0</v>
      </c>
      <c r="R62" s="55">
        <v>46170.0</v>
      </c>
      <c r="S62" s="55">
        <v>46170.0</v>
      </c>
      <c r="T62" s="55">
        <v>46175.0</v>
      </c>
      <c r="U62" s="41" t="s">
        <v>234</v>
      </c>
      <c r="V62" s="44" t="s">
        <v>151</v>
      </c>
      <c r="W62" s="56" t="str">
        <f t="array" ref="W62">IF(EXACT(V62, ""), "", XLOOKUP(V62, Equipo[nickname], Equipo[user]))</f>
        <v>hloredo</v>
      </c>
      <c r="X62" s="44" t="s">
        <v>149</v>
      </c>
      <c r="Y62" s="56" t="str">
        <f t="array" ref="Y62">IF(EXACT(X62, ""), "", XLOOKUP(X62, Equipo[nickname], Equipo[user]))</f>
        <v>dgonzalez</v>
      </c>
      <c r="Z62" s="41" t="s">
        <v>235</v>
      </c>
      <c r="AA62" s="41" t="str">
        <f>IFERROR(__xludf.DUMMYFUNCTION("IF(EXACT(Z62, """"), """", TEXTJOIN("", "", TRUE, ARRAYFORMULA(XLOOKUP(TRIM(SPLIT(Z62, "","")), Equipo[nickname], Equipo[user], """"))))"),"lbernal")</f>
        <v>lbernal</v>
      </c>
      <c r="AB62" s="56" t="s">
        <v>355</v>
      </c>
      <c r="AC62" s="41" t="str">
        <f>IFERROR(__xludf.DUMMYFUNCTION("IF(EXACT(AB62, """"), """", TEXTJOIN("", "", TRUE, ARRAYFORMULA(XLOOKUP(TRIM(SPLIT(AB62, "","")), Equipo[nickname], Equipo[user]))))"),"econtreras")</f>
        <v>econtreras</v>
      </c>
      <c r="AD62" s="44" t="s">
        <v>237</v>
      </c>
      <c r="AE62" s="41" t="str">
        <f>IFERROR(__xludf.DUMMYFUNCTION("IF(EXACT(AD62, """"), """", TEXTJOIN("", "", TRUE, ARRAYFORMULA(XLOOKUP(TRIM(SPLIT(AD62, "","")), Equipo[nickname], Equipo[user], """"))))"),"egonzalez")</f>
        <v>egonzalez</v>
      </c>
      <c r="AF62" s="56" t="s">
        <v>481</v>
      </c>
      <c r="AG62" s="57" t="str">
        <f>IFERROR(__xludf.DUMMYFUNCTION("IF(EXACT(AF62, """"), """", TEXTJOIN("", "", TRUE, ARRAYFORMULA(XLOOKUP(TRIM(SPLIT(AF62, "","")), Equipo[nickname], Equipo[user], """"))))"),"hloredo, lbernal, egonzalez, czamudio")</f>
        <v>hloredo, lbernal, egonzalez, czamudio</v>
      </c>
      <c r="AH62" s="57" t="s">
        <v>482</v>
      </c>
      <c r="AI62" s="58">
        <v>46170.0</v>
      </c>
    </row>
    <row r="63" ht="22.5" customHeight="1">
      <c r="A63" s="41">
        <v>1049.0</v>
      </c>
      <c r="B63" s="42"/>
      <c r="C63" s="51"/>
      <c r="D63" s="51" t="s">
        <v>500</v>
      </c>
      <c r="E63" s="42" t="s">
        <v>225</v>
      </c>
      <c r="F63" s="41" t="s">
        <v>226</v>
      </c>
      <c r="G63" s="42" t="s">
        <v>227</v>
      </c>
      <c r="H63" s="41" t="s">
        <v>228</v>
      </c>
      <c r="I63" s="44" t="s">
        <v>466</v>
      </c>
      <c r="J63" s="44" t="s">
        <v>277</v>
      </c>
      <c r="K63" s="53">
        <v>0.0</v>
      </c>
      <c r="L63" s="44" t="s">
        <v>231</v>
      </c>
      <c r="M63" s="41" t="s">
        <v>226</v>
      </c>
      <c r="N63" s="44" t="s">
        <v>232</v>
      </c>
      <c r="O63" s="54" t="s">
        <v>262</v>
      </c>
      <c r="P63" s="41">
        <v>40.0</v>
      </c>
      <c r="Q63" s="55">
        <v>46161.0</v>
      </c>
      <c r="R63" s="55">
        <v>46176.0</v>
      </c>
      <c r="S63" s="55">
        <v>46176.0</v>
      </c>
      <c r="T63" s="55">
        <v>46178.0</v>
      </c>
      <c r="U63" s="41" t="s">
        <v>234</v>
      </c>
      <c r="V63" s="44" t="s">
        <v>151</v>
      </c>
      <c r="W63" s="56" t="str">
        <f t="array" ref="W63">IF(EXACT(V63, ""), "", XLOOKUP(V63, Equipo[nickname], Equipo[user]))</f>
        <v>hloredo</v>
      </c>
      <c r="X63" s="44" t="s">
        <v>149</v>
      </c>
      <c r="Y63" s="56" t="str">
        <f t="array" ref="Y63">IF(EXACT(X63, ""), "", XLOOKUP(X63, Equipo[nickname], Equipo[user]))</f>
        <v>dgonzalez</v>
      </c>
      <c r="Z63" s="41" t="s">
        <v>235</v>
      </c>
      <c r="AA63" s="41" t="str">
        <f>IFERROR(__xludf.DUMMYFUNCTION("IF(EXACT(Z63, """"), """", TEXTJOIN("", "", TRUE, ARRAYFORMULA(XLOOKUP(TRIM(SPLIT(Z63, "","")), Equipo[nickname], Equipo[user], """"))))"),"lbernal")</f>
        <v>lbernal</v>
      </c>
      <c r="AB63" s="56" t="s">
        <v>355</v>
      </c>
      <c r="AC63" s="41" t="str">
        <f>IFERROR(__xludf.DUMMYFUNCTION("IF(EXACT(AB63, """"), """", TEXTJOIN("", "", TRUE, ARRAYFORMULA(XLOOKUP(TRIM(SPLIT(AB63, "","")), Equipo[nickname], Equipo[user]))))"),"econtreras")</f>
        <v>econtreras</v>
      </c>
      <c r="AD63" s="44" t="s">
        <v>237</v>
      </c>
      <c r="AE63" s="41" t="str">
        <f>IFERROR(__xludf.DUMMYFUNCTION("IF(EXACT(AD63, """"), """", TEXTJOIN("", "", TRUE, ARRAYFORMULA(XLOOKUP(TRIM(SPLIT(AD63, "","")), Equipo[nickname], Equipo[user], """"))))"),"egonzalez")</f>
        <v>egonzalez</v>
      </c>
      <c r="AF63" s="56" t="s">
        <v>481</v>
      </c>
      <c r="AG63" s="57" t="str">
        <f>IFERROR(__xludf.DUMMYFUNCTION("IF(EXACT(AF63, """"), """", TEXTJOIN("", "", TRUE, ARRAYFORMULA(XLOOKUP(TRIM(SPLIT(AF63, "","")), Equipo[nickname], Equipo[user], """"))))"),"hloredo, lbernal, egonzalez, czamudio")</f>
        <v>hloredo, lbernal, egonzalez, czamudio</v>
      </c>
      <c r="AH63" s="57" t="s">
        <v>482</v>
      </c>
      <c r="AI63" s="58">
        <v>46170.0</v>
      </c>
    </row>
    <row r="64" ht="22.5" customHeight="1">
      <c r="A64" s="41"/>
      <c r="B64" s="42"/>
      <c r="C64" s="51"/>
      <c r="D64" s="51" t="s">
        <v>501</v>
      </c>
      <c r="E64" s="42" t="s">
        <v>225</v>
      </c>
      <c r="F64" s="41" t="s">
        <v>226</v>
      </c>
      <c r="G64" s="42" t="s">
        <v>282</v>
      </c>
      <c r="H64" s="41" t="s">
        <v>228</v>
      </c>
      <c r="I64" s="44" t="s">
        <v>466</v>
      </c>
      <c r="J64" s="44" t="s">
        <v>277</v>
      </c>
      <c r="K64" s="53">
        <v>0.0</v>
      </c>
      <c r="L64" s="44" t="s">
        <v>244</v>
      </c>
      <c r="M64" s="41" t="s">
        <v>226</v>
      </c>
      <c r="N64" s="44" t="s">
        <v>232</v>
      </c>
      <c r="O64" s="54" t="s">
        <v>262</v>
      </c>
      <c r="P64" s="41">
        <v>24.0</v>
      </c>
      <c r="Q64" s="55">
        <v>46161.0</v>
      </c>
      <c r="R64" s="55">
        <v>46174.0</v>
      </c>
      <c r="S64" s="55">
        <v>46174.0</v>
      </c>
      <c r="T64" s="55">
        <v>46178.0</v>
      </c>
      <c r="U64" s="41" t="s">
        <v>234</v>
      </c>
      <c r="V64" s="44" t="s">
        <v>151</v>
      </c>
      <c r="W64" s="56" t="str">
        <f t="array" ref="W64">IF(EXACT(V64, ""), "", XLOOKUP(V64, Equipo[nickname], Equipo[user]))</f>
        <v>hloredo</v>
      </c>
      <c r="X64" s="44" t="s">
        <v>149</v>
      </c>
      <c r="Y64" s="56" t="str">
        <f t="array" ref="Y64">IF(EXACT(X64, ""), "", XLOOKUP(X64, Equipo[nickname], Equipo[user]))</f>
        <v>dgonzalez</v>
      </c>
      <c r="Z64" s="41" t="s">
        <v>235</v>
      </c>
      <c r="AA64" s="41" t="str">
        <f>IFERROR(__xludf.DUMMYFUNCTION("IF(EXACT(Z64, """"), """", TEXTJOIN("", "", TRUE, ARRAYFORMULA(XLOOKUP(TRIM(SPLIT(Z64, "","")), Equipo[nickname], Equipo[user], """"))))"),"lbernal")</f>
        <v>lbernal</v>
      </c>
      <c r="AB64" s="56" t="s">
        <v>502</v>
      </c>
      <c r="AC64" s="41" t="str">
        <f>IFERROR(__xludf.DUMMYFUNCTION("IF(EXACT(AB64, """"), """", TEXTJOIN("", "", TRUE, ARRAYFORMULA(XLOOKUP(TRIM(SPLIT(AB64, "","")), Equipo[nickname], Equipo[user]))))"),"etorres, lolvera, ameza")</f>
        <v>etorres, lolvera, ameza</v>
      </c>
      <c r="AD64" s="44" t="s">
        <v>237</v>
      </c>
      <c r="AE64" s="41" t="str">
        <f>IFERROR(__xludf.DUMMYFUNCTION("IF(EXACT(AD64, """"), """", TEXTJOIN("", "", TRUE, ARRAYFORMULA(XLOOKUP(TRIM(SPLIT(AD64, "","")), Equipo[nickname], Equipo[user], """"))))"),"egonzalez")</f>
        <v>egonzalez</v>
      </c>
      <c r="AF64" s="56"/>
      <c r="AG64" s="57" t="str">
        <f>IFERROR(__xludf.DUMMYFUNCTION("IF(EXACT(AF64, """"), """", TEXTJOIN("", "", TRUE, ARRAYFORMULA(XLOOKUP(TRIM(SPLIT(AF64, "","")), Equipo[nickname], Equipo[user], """"))))"),"")</f>
        <v/>
      </c>
      <c r="AH64" s="57"/>
      <c r="AI64" s="58"/>
    </row>
  </sheetData>
  <dataValidations>
    <dataValidation type="list" allowBlank="1" sqref="AB2:AB64">
      <formula1>#REF!</formula1>
    </dataValidation>
    <dataValidation type="list" allowBlank="1" sqref="I2:I64">
      <formula1>"At Risk,Blocked / Critical,On Hold,On Track,Done,Hypercare,Upcoming"</formula1>
    </dataValidation>
    <dataValidation type="list" allowBlank="1" sqref="AD2:AD64">
      <formula1>"Erithan,---"</formula1>
    </dataValidation>
    <dataValidation type="list" allowBlank="1" sqref="Z2:Z64">
      <formula1>"Luis,Montaño,George,Hugo,Fito,Raul"</formula1>
    </dataValidation>
    <dataValidation type="list" allowBlank="1" sqref="AF2:AF64">
      <formula1>Equipo[nickname]</formula1>
    </dataValidation>
    <dataValidation type="list" allowBlank="1" sqref="N2:N64">
      <formula1>"2025 Q4,2026 Q3,2026 Q2,2026 Q1,-  -  -  -  -,2026 Q4,Soporte,Desarrollo 2da fase"</formula1>
    </dataValidation>
    <dataValidation type="list" allowBlank="1" sqref="G2:G64">
      <formula1>"Core,APP"</formula1>
    </dataValidation>
    <dataValidation type="list" allowBlank="1" sqref="O2:O64">
      <formula1>#REF!</formula1>
    </dataValidation>
    <dataValidation type="list" allowBlank="1" sqref="L2:L64">
      <formula1>"Crítica,Mayor,Menor,Bloqueadora,Trivial"</formula1>
    </dataValidation>
    <dataValidation type="list" allowBlank="1" sqref="J2:J64">
      <formula1>"Estable,Requiere atencion,En riesgo"</formula1>
    </dataValidation>
    <dataValidation type="custom" allowBlank="1" showDropDown="1" sqref="Q2:Q64 T2:T64">
      <formula1>OR(NOT(ISERROR(DATEVALUE(Q2))), AND(ISNUMBER(Q2), LEFT(CELL("format", Q2))="D"))</formula1>
    </dataValidation>
    <dataValidation type="list" allowBlank="1" sqref="X2:X64">
      <formula1>"Dave,Fito,Nalle"</formula1>
    </dataValidation>
    <dataValidation type="list" allowBlank="1" sqref="V2:V64">
      <formula1>"Haylton,Fito"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</hyperlinks>
  <drawing r:id="rId49"/>
  <tableParts count="1">
    <tablePart r:id="rId5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3" width="11.63"/>
    <col customWidth="1" min="4" max="4" width="9.13"/>
    <col customWidth="1" min="5" max="5" width="15.25"/>
    <col customWidth="1" min="6" max="6" width="6.5"/>
    <col customWidth="1" min="7" max="7" width="15.88"/>
    <col customWidth="1" min="8" max="8" width="16.13"/>
    <col customWidth="1" min="9" max="9" width="36.13"/>
    <col customWidth="1" min="10" max="10" width="16.13"/>
    <col customWidth="1" min="11" max="11" width="17.0"/>
    <col customWidth="1" min="12" max="12" width="15.5"/>
    <col customWidth="1" min="13" max="13" width="17.38"/>
    <col customWidth="1" min="15" max="15" width="15.88"/>
    <col hidden="1" min="18" max="18" width="12.63"/>
    <col customWidth="1" min="24" max="24" width="17.0"/>
    <col customWidth="1" min="25" max="25" width="14.5"/>
    <col customWidth="1" min="26" max="26" width="18.38"/>
    <col customWidth="1" min="27" max="27" width="11.13"/>
    <col hidden="1" min="28" max="28" width="12.63"/>
  </cols>
  <sheetData>
    <row r="1" ht="22.5" customHeight="1">
      <c r="A1" s="83" t="s">
        <v>503</v>
      </c>
      <c r="B1" s="83" t="s">
        <v>504</v>
      </c>
      <c r="C1" s="83" t="s">
        <v>505</v>
      </c>
      <c r="D1" s="83" t="s">
        <v>201</v>
      </c>
      <c r="E1" s="83" t="s">
        <v>506</v>
      </c>
      <c r="F1" s="83" t="s">
        <v>189</v>
      </c>
      <c r="G1" s="83" t="s">
        <v>507</v>
      </c>
      <c r="H1" s="83" t="s">
        <v>508</v>
      </c>
      <c r="I1" s="83" t="s">
        <v>509</v>
      </c>
      <c r="J1" s="83" t="s">
        <v>510</v>
      </c>
      <c r="K1" s="83" t="s">
        <v>511</v>
      </c>
      <c r="L1" s="83" t="s">
        <v>512</v>
      </c>
      <c r="M1" s="83" t="s">
        <v>513</v>
      </c>
      <c r="N1" s="83" t="s">
        <v>514</v>
      </c>
      <c r="O1" s="83" t="s">
        <v>515</v>
      </c>
      <c r="P1" s="83" t="s">
        <v>516</v>
      </c>
      <c r="Q1" s="83" t="s">
        <v>517</v>
      </c>
      <c r="R1" s="83" t="s">
        <v>518</v>
      </c>
      <c r="S1" s="83" t="s">
        <v>519</v>
      </c>
      <c r="T1" s="83" t="s">
        <v>202</v>
      </c>
      <c r="U1" s="83" t="s">
        <v>520</v>
      </c>
      <c r="V1" s="83" t="s">
        <v>521</v>
      </c>
      <c r="W1" s="83" t="s">
        <v>203</v>
      </c>
      <c r="X1" s="83" t="s">
        <v>522</v>
      </c>
      <c r="Y1" s="83" t="s">
        <v>205</v>
      </c>
      <c r="Z1" s="83" t="s">
        <v>206</v>
      </c>
      <c r="AA1" s="83" t="s">
        <v>207</v>
      </c>
      <c r="AB1" s="83" t="s">
        <v>0</v>
      </c>
    </row>
    <row r="2" ht="22.5" hidden="1" customHeight="1">
      <c r="A2" s="84"/>
      <c r="B2" s="85" t="str">
        <f t="array" ref="B2">IF(EXACT(A2, ""), "", XLOOKUP(A2, Proyectos[nombre], Proyectos[id]))</f>
        <v/>
      </c>
      <c r="C2" s="85" t="s">
        <v>226</v>
      </c>
      <c r="D2" s="86" t="s">
        <v>233</v>
      </c>
      <c r="E2" s="87" t="s">
        <v>523</v>
      </c>
      <c r="F2" s="88" t="s">
        <v>524</v>
      </c>
      <c r="G2" s="89" t="s">
        <v>263</v>
      </c>
      <c r="H2" s="90" t="s">
        <v>276</v>
      </c>
      <c r="I2" s="87" t="s">
        <v>525</v>
      </c>
      <c r="J2" s="91" t="str">
        <f t="array" ref="J2">IF(EXACT(G2, ""), "", XLOOKUP(G2, Equipo[nickname], Equipo[user]))</f>
        <v>avazquez</v>
      </c>
      <c r="K2" s="92" t="s">
        <v>526</v>
      </c>
      <c r="L2" s="93" t="s">
        <v>527</v>
      </c>
      <c r="M2" s="94" t="s">
        <v>528</v>
      </c>
      <c r="N2" s="95" t="s">
        <v>231</v>
      </c>
      <c r="O2" s="96" t="s">
        <v>529</v>
      </c>
      <c r="P2" s="87" t="s">
        <v>530</v>
      </c>
      <c r="Q2" s="87"/>
      <c r="R2" s="87"/>
      <c r="S2" s="87" t="s">
        <v>228</v>
      </c>
      <c r="T2" s="94">
        <v>13.0</v>
      </c>
      <c r="U2" s="97">
        <v>34.0</v>
      </c>
      <c r="V2" s="98">
        <v>1.0</v>
      </c>
      <c r="W2" s="99">
        <v>46133.0</v>
      </c>
      <c r="X2" s="99">
        <v>46146.0</v>
      </c>
      <c r="Y2" s="99">
        <v>46146.0</v>
      </c>
      <c r="Z2" s="99">
        <v>46149.0</v>
      </c>
      <c r="AA2" s="99">
        <v>46149.0</v>
      </c>
      <c r="AB2" s="94" t="s">
        <v>531</v>
      </c>
    </row>
    <row r="3" ht="22.5" hidden="1" customHeight="1">
      <c r="A3" s="84"/>
      <c r="B3" s="85" t="str">
        <f t="array" ref="B3">IF(EXACT(A3, ""), "", XLOOKUP(A3, Proyectos[nombre], Proyectos[folio]))</f>
        <v/>
      </c>
      <c r="C3" s="85" t="s">
        <v>226</v>
      </c>
      <c r="D3" s="86" t="s">
        <v>233</v>
      </c>
      <c r="E3" s="100" t="s">
        <v>532</v>
      </c>
      <c r="F3" s="101" t="s">
        <v>533</v>
      </c>
      <c r="G3" s="89" t="s">
        <v>263</v>
      </c>
      <c r="H3" s="102" t="s">
        <v>276</v>
      </c>
      <c r="I3" s="100" t="s">
        <v>534</v>
      </c>
      <c r="J3" s="91" t="str">
        <f t="array" ref="J3">IF(EXACT(G3, ""), "", XLOOKUP(G3, Equipo[nickname], Equipo[user]))</f>
        <v>avazquez</v>
      </c>
      <c r="K3" s="103" t="s">
        <v>535</v>
      </c>
      <c r="L3" s="104" t="s">
        <v>536</v>
      </c>
      <c r="M3" s="105" t="s">
        <v>537</v>
      </c>
      <c r="N3" s="104" t="s">
        <v>231</v>
      </c>
      <c r="O3" s="106" t="s">
        <v>538</v>
      </c>
      <c r="P3" s="100" t="s">
        <v>530</v>
      </c>
      <c r="Q3" s="100"/>
      <c r="R3" s="100"/>
      <c r="S3" s="100" t="s">
        <v>228</v>
      </c>
      <c r="T3" s="105">
        <v>8.0</v>
      </c>
      <c r="U3" s="105"/>
      <c r="V3" s="98">
        <v>1.0</v>
      </c>
      <c r="W3" s="107">
        <v>46141.0</v>
      </c>
      <c r="X3" s="107"/>
      <c r="Y3" s="107">
        <v>46141.0</v>
      </c>
      <c r="Z3" s="107">
        <v>46141.0</v>
      </c>
      <c r="AA3" s="107">
        <v>46142.0</v>
      </c>
      <c r="AB3" s="105" t="s">
        <v>531</v>
      </c>
    </row>
    <row r="4" ht="22.5" hidden="1" customHeight="1">
      <c r="A4" s="84"/>
      <c r="B4" s="85" t="str">
        <f t="array" ref="B4">IF(EXACT(A4, ""), "", XLOOKUP(A4, Proyectos[nombre], Proyectos[folio]))</f>
        <v/>
      </c>
      <c r="C4" s="85" t="s">
        <v>226</v>
      </c>
      <c r="D4" s="86" t="s">
        <v>233</v>
      </c>
      <c r="E4" s="87" t="s">
        <v>539</v>
      </c>
      <c r="F4" s="88" t="s">
        <v>540</v>
      </c>
      <c r="G4" s="89" t="s">
        <v>263</v>
      </c>
      <c r="H4" s="108" t="s">
        <v>276</v>
      </c>
      <c r="I4" s="87" t="s">
        <v>541</v>
      </c>
      <c r="J4" s="91" t="str">
        <f t="array" ref="J4">IF(EXACT(G4, ""), "", XLOOKUP(G4, Equipo[nickname], Equipo[user]))</f>
        <v>avazquez</v>
      </c>
      <c r="K4" s="109" t="s">
        <v>542</v>
      </c>
      <c r="L4" s="93" t="s">
        <v>527</v>
      </c>
      <c r="M4" s="94" t="s">
        <v>528</v>
      </c>
      <c r="N4" s="93" t="s">
        <v>244</v>
      </c>
      <c r="O4" s="110" t="s">
        <v>529</v>
      </c>
      <c r="P4" s="87" t="s">
        <v>530</v>
      </c>
      <c r="Q4" s="87"/>
      <c r="R4" s="87"/>
      <c r="S4" s="87" t="s">
        <v>228</v>
      </c>
      <c r="T4" s="94">
        <v>8.0</v>
      </c>
      <c r="U4" s="97">
        <v>4.0</v>
      </c>
      <c r="V4" s="98">
        <v>1.0</v>
      </c>
      <c r="W4" s="99">
        <v>46133.0</v>
      </c>
      <c r="X4" s="99">
        <v>46147.0</v>
      </c>
      <c r="Y4" s="99">
        <v>46147.0</v>
      </c>
      <c r="Z4" s="99">
        <v>46157.0</v>
      </c>
      <c r="AA4" s="99">
        <v>46157.0</v>
      </c>
      <c r="AB4" s="94" t="s">
        <v>531</v>
      </c>
    </row>
    <row r="5" ht="22.5" hidden="1" customHeight="1">
      <c r="A5" s="84"/>
      <c r="B5" s="85" t="str">
        <f t="array" ref="B5">IF(EXACT(A5, ""), "", XLOOKUP(A5, Proyectos[nombre], Proyectos[folio]))</f>
        <v/>
      </c>
      <c r="C5" s="85" t="s">
        <v>226</v>
      </c>
      <c r="D5" s="86" t="s">
        <v>233</v>
      </c>
      <c r="E5" s="100" t="s">
        <v>543</v>
      </c>
      <c r="F5" s="101" t="s">
        <v>544</v>
      </c>
      <c r="G5" s="89" t="s">
        <v>263</v>
      </c>
      <c r="H5" s="111" t="s">
        <v>276</v>
      </c>
      <c r="I5" s="100" t="s">
        <v>545</v>
      </c>
      <c r="J5" s="91" t="str">
        <f t="array" ref="J5">IF(EXACT(G5, ""), "", XLOOKUP(G5, Equipo[nickname], Equipo[user]))</f>
        <v>avazquez</v>
      </c>
      <c r="K5" s="112" t="s">
        <v>526</v>
      </c>
      <c r="L5" s="113" t="s">
        <v>527</v>
      </c>
      <c r="M5" s="105" t="s">
        <v>528</v>
      </c>
      <c r="N5" s="114" t="s">
        <v>269</v>
      </c>
      <c r="O5" s="115" t="s">
        <v>529</v>
      </c>
      <c r="P5" s="100" t="s">
        <v>530</v>
      </c>
      <c r="Q5" s="100"/>
      <c r="R5" s="100"/>
      <c r="S5" s="100" t="s">
        <v>228</v>
      </c>
      <c r="T5" s="105">
        <v>8.0</v>
      </c>
      <c r="U5" s="116">
        <v>3.0</v>
      </c>
      <c r="V5" s="98">
        <v>1.0</v>
      </c>
      <c r="W5" s="107">
        <v>46134.0</v>
      </c>
      <c r="X5" s="107">
        <v>46146.0</v>
      </c>
      <c r="Y5" s="107">
        <v>46146.0</v>
      </c>
      <c r="Z5" s="107">
        <v>46153.0</v>
      </c>
      <c r="AA5" s="107">
        <v>46153.0</v>
      </c>
      <c r="AB5" s="105" t="s">
        <v>531</v>
      </c>
    </row>
    <row r="6" ht="22.5" hidden="1" customHeight="1">
      <c r="A6" s="84"/>
      <c r="B6" s="85" t="str">
        <f t="array" ref="B6">IF(EXACT(A6, ""), "", XLOOKUP(A6, Proyectos[nombre], Proyectos[folio]))</f>
        <v/>
      </c>
      <c r="C6" s="85" t="s">
        <v>226</v>
      </c>
      <c r="D6" s="86" t="s">
        <v>233</v>
      </c>
      <c r="E6" s="100" t="s">
        <v>546</v>
      </c>
      <c r="F6" s="101" t="s">
        <v>547</v>
      </c>
      <c r="G6" s="89" t="s">
        <v>263</v>
      </c>
      <c r="H6" s="111" t="s">
        <v>276</v>
      </c>
      <c r="I6" s="100" t="s">
        <v>548</v>
      </c>
      <c r="J6" s="91" t="str">
        <f t="array" ref="J6">IF(EXACT(G6, ""), "", XLOOKUP(G6, Equipo[nickname], Equipo[user]))</f>
        <v>avazquez</v>
      </c>
      <c r="K6" s="117" t="s">
        <v>549</v>
      </c>
      <c r="L6" s="113" t="s">
        <v>527</v>
      </c>
      <c r="M6" s="105" t="s">
        <v>528</v>
      </c>
      <c r="N6" s="113" t="s">
        <v>244</v>
      </c>
      <c r="O6" s="118" t="s">
        <v>529</v>
      </c>
      <c r="P6" s="100" t="s">
        <v>530</v>
      </c>
      <c r="Q6" s="100"/>
      <c r="R6" s="100"/>
      <c r="S6" s="100" t="s">
        <v>228</v>
      </c>
      <c r="T6" s="105">
        <v>8.0</v>
      </c>
      <c r="U6" s="116">
        <v>2.0</v>
      </c>
      <c r="V6" s="98">
        <v>1.0</v>
      </c>
      <c r="W6" s="107">
        <v>46135.0</v>
      </c>
      <c r="X6" s="107">
        <v>46148.0</v>
      </c>
      <c r="Y6" s="107">
        <v>46148.0</v>
      </c>
      <c r="Z6" s="107">
        <v>46155.0</v>
      </c>
      <c r="AA6" s="107">
        <v>46155.0</v>
      </c>
      <c r="AB6" s="105" t="s">
        <v>531</v>
      </c>
    </row>
    <row r="7" ht="22.5" hidden="1" customHeight="1">
      <c r="A7" s="119"/>
      <c r="B7" s="85" t="str">
        <f t="array" ref="B7">IF(EXACT(A7, ""), "", XLOOKUP(A7, Proyectos[nombre], Proyectos[folio]))</f>
        <v/>
      </c>
      <c r="C7" s="85" t="s">
        <v>226</v>
      </c>
      <c r="D7" s="86" t="s">
        <v>233</v>
      </c>
      <c r="E7" s="87" t="s">
        <v>550</v>
      </c>
      <c r="F7" s="87" t="s">
        <v>550</v>
      </c>
      <c r="G7" s="89" t="s">
        <v>263</v>
      </c>
      <c r="H7" s="108" t="s">
        <v>276</v>
      </c>
      <c r="I7" s="87" t="s">
        <v>551</v>
      </c>
      <c r="J7" s="91" t="str">
        <f t="array" ref="J7">IF(EXACT(G7, ""), "", XLOOKUP(G7, Equipo[nickname], Equipo[user]))</f>
        <v>avazquez</v>
      </c>
      <c r="K7" s="120" t="s">
        <v>542</v>
      </c>
      <c r="L7" s="121" t="s">
        <v>438</v>
      </c>
      <c r="M7" s="94" t="s">
        <v>552</v>
      </c>
      <c r="N7" s="95" t="s">
        <v>231</v>
      </c>
      <c r="O7" s="96" t="s">
        <v>529</v>
      </c>
      <c r="P7" s="87" t="s">
        <v>530</v>
      </c>
      <c r="Q7" s="87"/>
      <c r="R7" s="87"/>
      <c r="S7" s="87" t="s">
        <v>228</v>
      </c>
      <c r="T7" s="94">
        <v>8.0</v>
      </c>
      <c r="U7" s="94">
        <v>8.0</v>
      </c>
      <c r="V7" s="98">
        <v>1.0</v>
      </c>
      <c r="W7" s="99">
        <v>46141.0</v>
      </c>
      <c r="X7" s="99"/>
      <c r="Y7" s="99">
        <v>46163.0</v>
      </c>
      <c r="Z7" s="99">
        <v>46164.0</v>
      </c>
      <c r="AA7" s="99">
        <v>46164.0</v>
      </c>
      <c r="AB7" s="94" t="s">
        <v>531</v>
      </c>
    </row>
    <row r="8" ht="22.5" hidden="1" customHeight="1">
      <c r="A8" s="84"/>
      <c r="B8" s="85" t="str">
        <f t="array" ref="B8">IF(EXACT(A8, ""), "", XLOOKUP(A8, Proyectos[nombre], Proyectos[folio]))</f>
        <v/>
      </c>
      <c r="C8" s="85" t="s">
        <v>226</v>
      </c>
      <c r="D8" s="86" t="s">
        <v>233</v>
      </c>
      <c r="E8" s="87" t="s">
        <v>550</v>
      </c>
      <c r="F8" s="87" t="s">
        <v>550</v>
      </c>
      <c r="G8" s="89" t="s">
        <v>116</v>
      </c>
      <c r="H8" s="122" t="s">
        <v>276</v>
      </c>
      <c r="I8" s="87" t="s">
        <v>553</v>
      </c>
      <c r="J8" s="91" t="str">
        <f t="array" ref="J8">IF(EXACT(G8, ""), "", XLOOKUP(G8, Equipo[nickname], Equipo[user]))</f>
        <v>alara</v>
      </c>
      <c r="K8" s="123" t="s">
        <v>535</v>
      </c>
      <c r="L8" s="121" t="s">
        <v>438</v>
      </c>
      <c r="M8" s="94" t="s">
        <v>552</v>
      </c>
      <c r="N8" s="95" t="s">
        <v>231</v>
      </c>
      <c r="O8" s="96" t="s">
        <v>529</v>
      </c>
      <c r="P8" s="87" t="s">
        <v>530</v>
      </c>
      <c r="Q8" s="87" t="s">
        <v>550</v>
      </c>
      <c r="R8" s="87"/>
      <c r="S8" s="87" t="s">
        <v>228</v>
      </c>
      <c r="T8" s="94">
        <v>100.0</v>
      </c>
      <c r="U8" s="94">
        <v>100.0</v>
      </c>
      <c r="V8" s="98">
        <v>1.0</v>
      </c>
      <c r="W8" s="99">
        <v>46141.0</v>
      </c>
      <c r="X8" s="99"/>
      <c r="Y8" s="99">
        <v>46141.0</v>
      </c>
      <c r="Z8" s="99">
        <v>46164.0</v>
      </c>
      <c r="AA8" s="99">
        <v>46164.0</v>
      </c>
      <c r="AB8" s="94" t="s">
        <v>531</v>
      </c>
    </row>
    <row r="9" ht="22.5" hidden="1" customHeight="1">
      <c r="A9" s="84"/>
      <c r="B9" s="85" t="str">
        <f t="array" ref="B9">IF(EXACT(A9, ""), "", XLOOKUP(A9, Proyectos[nombre], Proyectos[folio]))</f>
        <v/>
      </c>
      <c r="C9" s="85" t="s">
        <v>226</v>
      </c>
      <c r="D9" s="86" t="s">
        <v>233</v>
      </c>
      <c r="E9" s="100" t="s">
        <v>554</v>
      </c>
      <c r="F9" s="101" t="s">
        <v>555</v>
      </c>
      <c r="G9" s="89" t="s">
        <v>135</v>
      </c>
      <c r="H9" s="124" t="s">
        <v>276</v>
      </c>
      <c r="I9" s="100" t="s">
        <v>556</v>
      </c>
      <c r="J9" s="91" t="str">
        <f t="array" ref="J9">IF(EXACT(G9, ""), "", XLOOKUP(G9, Equipo[nickname], Equipo[user]))</f>
        <v>ameza</v>
      </c>
      <c r="K9" s="125" t="s">
        <v>526</v>
      </c>
      <c r="L9" s="113" t="s">
        <v>527</v>
      </c>
      <c r="M9" s="105" t="s">
        <v>557</v>
      </c>
      <c r="N9" s="126" t="s">
        <v>299</v>
      </c>
      <c r="O9" s="127" t="s">
        <v>558</v>
      </c>
      <c r="P9" s="100" t="s">
        <v>530</v>
      </c>
      <c r="Q9" s="100"/>
      <c r="R9" s="100"/>
      <c r="S9" s="100" t="s">
        <v>228</v>
      </c>
      <c r="T9" s="105">
        <v>13.0</v>
      </c>
      <c r="U9" s="105">
        <v>13.0</v>
      </c>
      <c r="V9" s="98">
        <v>1.0</v>
      </c>
      <c r="W9" s="107">
        <v>46133.0</v>
      </c>
      <c r="X9" s="107">
        <v>46150.0</v>
      </c>
      <c r="Y9" s="107">
        <v>46150.0</v>
      </c>
      <c r="Z9" s="107">
        <v>46153.0</v>
      </c>
      <c r="AA9" s="107">
        <v>46153.0</v>
      </c>
      <c r="AB9" s="105" t="s">
        <v>531</v>
      </c>
    </row>
    <row r="10" ht="22.5" hidden="1" customHeight="1">
      <c r="A10" s="84"/>
      <c r="B10" s="85" t="str">
        <f t="array" ref="B10">IF(EXACT(A10, ""), "", XLOOKUP(A10, Proyectos[nombre], Proyectos[folio]))</f>
        <v/>
      </c>
      <c r="C10" s="85" t="s">
        <v>226</v>
      </c>
      <c r="D10" s="86" t="s">
        <v>233</v>
      </c>
      <c r="E10" s="100" t="s">
        <v>550</v>
      </c>
      <c r="F10" s="100" t="s">
        <v>550</v>
      </c>
      <c r="G10" s="89" t="s">
        <v>559</v>
      </c>
      <c r="H10" s="128" t="s">
        <v>276</v>
      </c>
      <c r="I10" s="100" t="s">
        <v>560</v>
      </c>
      <c r="J10" s="91" t="str">
        <f t="array" ref="J10">IF(EXACT(G10, ""), "", XLOOKUP(G10, Equipo[nickname], Equipo[user]))</f>
        <v>dperez</v>
      </c>
      <c r="K10" s="129" t="s">
        <v>542</v>
      </c>
      <c r="L10" s="114" t="s">
        <v>561</v>
      </c>
      <c r="M10" s="105" t="s">
        <v>552</v>
      </c>
      <c r="N10" s="104" t="s">
        <v>231</v>
      </c>
      <c r="O10" s="106" t="s">
        <v>529</v>
      </c>
      <c r="P10" s="100" t="s">
        <v>530</v>
      </c>
      <c r="Q10" s="100" t="s">
        <v>550</v>
      </c>
      <c r="R10" s="100"/>
      <c r="S10" s="100" t="s">
        <v>228</v>
      </c>
      <c r="T10" s="105">
        <v>8.0</v>
      </c>
      <c r="U10" s="105"/>
      <c r="V10" s="98">
        <v>1.0</v>
      </c>
      <c r="W10" s="107">
        <v>46141.0</v>
      </c>
      <c r="X10" s="107"/>
      <c r="Y10" s="107">
        <v>46141.0</v>
      </c>
      <c r="Z10" s="107">
        <v>46141.0</v>
      </c>
      <c r="AA10" s="107">
        <v>46141.0</v>
      </c>
      <c r="AB10" s="105" t="s">
        <v>562</v>
      </c>
    </row>
    <row r="11" ht="22.5" hidden="1" customHeight="1">
      <c r="A11" s="84"/>
      <c r="B11" s="85" t="str">
        <f t="array" ref="B11">IF(EXACT(A11, ""), "", XLOOKUP(A11, Proyectos[nombre], Proyectos[folio]))</f>
        <v/>
      </c>
      <c r="C11" s="85" t="s">
        <v>226</v>
      </c>
      <c r="D11" s="86" t="s">
        <v>233</v>
      </c>
      <c r="E11" s="87" t="s">
        <v>563</v>
      </c>
      <c r="F11" s="88" t="s">
        <v>564</v>
      </c>
      <c r="G11" s="89" t="s">
        <v>283</v>
      </c>
      <c r="H11" s="122" t="s">
        <v>276</v>
      </c>
      <c r="I11" s="130" t="s">
        <v>565</v>
      </c>
      <c r="J11" s="91" t="str">
        <f t="array" ref="J11">IF(EXACT(G11, ""), "", XLOOKUP(G11, Equipo[nickname], Equipo[user]))</f>
        <v>etorres</v>
      </c>
      <c r="K11" s="131" t="s">
        <v>535</v>
      </c>
      <c r="L11" s="93" t="s">
        <v>527</v>
      </c>
      <c r="M11" s="94" t="s">
        <v>537</v>
      </c>
      <c r="N11" s="132" t="s">
        <v>269</v>
      </c>
      <c r="O11" s="133" t="s">
        <v>558</v>
      </c>
      <c r="P11" s="87" t="s">
        <v>566</v>
      </c>
      <c r="Q11" s="87"/>
      <c r="R11" s="87"/>
      <c r="S11" s="87" t="s">
        <v>228</v>
      </c>
      <c r="T11" s="94">
        <v>50.0</v>
      </c>
      <c r="U11" s="97">
        <v>28.0</v>
      </c>
      <c r="V11" s="98">
        <v>1.0</v>
      </c>
      <c r="W11" s="99">
        <v>46065.0</v>
      </c>
      <c r="X11" s="134">
        <v>46157.0</v>
      </c>
      <c r="Y11" s="134">
        <v>46157.0</v>
      </c>
      <c r="Z11" s="134">
        <v>46160.0</v>
      </c>
      <c r="AA11" s="134">
        <v>46160.0</v>
      </c>
      <c r="AB11" s="94"/>
    </row>
    <row r="12" ht="22.5" hidden="1" customHeight="1">
      <c r="A12" s="84"/>
      <c r="B12" s="85" t="str">
        <f t="array" ref="B12">IF(EXACT(A12, ""), "", XLOOKUP(A12, Proyectos[nombre], Proyectos[folio]))</f>
        <v/>
      </c>
      <c r="C12" s="85" t="s">
        <v>226</v>
      </c>
      <c r="D12" s="86" t="s">
        <v>233</v>
      </c>
      <c r="E12" s="87" t="s">
        <v>567</v>
      </c>
      <c r="F12" s="88" t="s">
        <v>568</v>
      </c>
      <c r="G12" s="89" t="s">
        <v>283</v>
      </c>
      <c r="H12" s="135" t="s">
        <v>276</v>
      </c>
      <c r="I12" s="87" t="s">
        <v>569</v>
      </c>
      <c r="J12" s="91" t="str">
        <f t="array" ref="J12">IF(EXACT(G12, ""), "", XLOOKUP(G12, Equipo[nickname], Equipo[user]))</f>
        <v>etorres</v>
      </c>
      <c r="K12" s="136" t="s">
        <v>535</v>
      </c>
      <c r="L12" s="93" t="s">
        <v>527</v>
      </c>
      <c r="M12" s="94" t="s">
        <v>570</v>
      </c>
      <c r="N12" s="123" t="s">
        <v>299</v>
      </c>
      <c r="O12" s="137" t="s">
        <v>571</v>
      </c>
      <c r="P12" s="87" t="s">
        <v>530</v>
      </c>
      <c r="Q12" s="87"/>
      <c r="R12" s="87"/>
      <c r="S12" s="87" t="s">
        <v>228</v>
      </c>
      <c r="T12" s="94">
        <v>8.0</v>
      </c>
      <c r="U12" s="97">
        <v>8.0</v>
      </c>
      <c r="V12" s="98">
        <v>1.0</v>
      </c>
      <c r="W12" s="99">
        <v>46139.0</v>
      </c>
      <c r="X12" s="99">
        <v>46154.0</v>
      </c>
      <c r="Y12" s="99">
        <v>46154.0</v>
      </c>
      <c r="Z12" s="99">
        <v>46154.0</v>
      </c>
      <c r="AA12" s="99">
        <v>46154.0</v>
      </c>
      <c r="AB12" s="94" t="s">
        <v>531</v>
      </c>
    </row>
    <row r="13" ht="22.5" hidden="1" customHeight="1">
      <c r="A13" s="84"/>
      <c r="B13" s="85" t="str">
        <f t="array" ref="B13">IF(EXACT(A13, ""), "", XLOOKUP(A13, Proyectos[nombre], Proyectos[folio]))</f>
        <v/>
      </c>
      <c r="C13" s="85" t="s">
        <v>226</v>
      </c>
      <c r="D13" s="86" t="s">
        <v>233</v>
      </c>
      <c r="E13" s="100" t="s">
        <v>550</v>
      </c>
      <c r="F13" s="100" t="s">
        <v>550</v>
      </c>
      <c r="G13" s="89" t="s">
        <v>425</v>
      </c>
      <c r="H13" s="128" t="s">
        <v>276</v>
      </c>
      <c r="I13" s="100" t="s">
        <v>572</v>
      </c>
      <c r="J13" s="91" t="str">
        <f t="array" ref="J13">IF(EXACT(G13, ""), "", XLOOKUP(G13, Equipo[nickname], Equipo[user]))</f>
        <v>eramirez</v>
      </c>
      <c r="K13" s="138" t="s">
        <v>526</v>
      </c>
      <c r="L13" s="139" t="s">
        <v>216</v>
      </c>
      <c r="M13" s="105" t="s">
        <v>552</v>
      </c>
      <c r="N13" s="104" t="s">
        <v>231</v>
      </c>
      <c r="O13" s="106" t="s">
        <v>529</v>
      </c>
      <c r="P13" s="100" t="s">
        <v>530</v>
      </c>
      <c r="Q13" s="100" t="s">
        <v>550</v>
      </c>
      <c r="R13" s="100"/>
      <c r="S13" s="100" t="s">
        <v>228</v>
      </c>
      <c r="T13" s="105">
        <v>8.0</v>
      </c>
      <c r="U13" s="105">
        <v>8.0</v>
      </c>
      <c r="V13" s="98">
        <v>0.5</v>
      </c>
      <c r="W13" s="107">
        <v>46141.0</v>
      </c>
      <c r="X13" s="107"/>
      <c r="Y13" s="107">
        <v>46155.0</v>
      </c>
      <c r="Z13" s="107">
        <v>46160.0</v>
      </c>
      <c r="AA13" s="140">
        <v>46167.0</v>
      </c>
      <c r="AB13" s="105" t="s">
        <v>423</v>
      </c>
    </row>
    <row r="14" ht="22.5" hidden="1" customHeight="1">
      <c r="A14" s="84"/>
      <c r="B14" s="85" t="str">
        <f t="array" ref="B14">IF(EXACT(A14, ""), "", XLOOKUP(A14, Proyectos[nombre], Proyectos[folio]))</f>
        <v/>
      </c>
      <c r="C14" s="85" t="s">
        <v>226</v>
      </c>
      <c r="D14" s="86" t="s">
        <v>233</v>
      </c>
      <c r="E14" s="141"/>
      <c r="F14" s="141"/>
      <c r="G14" s="89" t="s">
        <v>283</v>
      </c>
      <c r="H14" s="124" t="s">
        <v>276</v>
      </c>
      <c r="I14" s="100" t="s">
        <v>573</v>
      </c>
      <c r="J14" s="91" t="str">
        <f t="array" ref="J14">IF(EXACT(G14, ""), "", XLOOKUP(G14, Equipo[nickname], Equipo[user]))</f>
        <v>etorres</v>
      </c>
      <c r="K14" s="142" t="s">
        <v>535</v>
      </c>
      <c r="L14" s="113" t="s">
        <v>527</v>
      </c>
      <c r="M14" s="105" t="s">
        <v>570</v>
      </c>
      <c r="N14" s="104" t="s">
        <v>231</v>
      </c>
      <c r="O14" s="106" t="s">
        <v>558</v>
      </c>
      <c r="P14" s="100" t="s">
        <v>530</v>
      </c>
      <c r="Q14" s="100"/>
      <c r="R14" s="100"/>
      <c r="S14" s="100" t="s">
        <v>228</v>
      </c>
      <c r="T14" s="105">
        <v>40.0</v>
      </c>
      <c r="U14" s="116">
        <v>17.0</v>
      </c>
      <c r="V14" s="98">
        <v>1.0</v>
      </c>
      <c r="W14" s="107">
        <v>46139.0</v>
      </c>
      <c r="X14" s="107">
        <v>46155.0</v>
      </c>
      <c r="Y14" s="107">
        <v>46155.0</v>
      </c>
      <c r="Z14" s="107">
        <v>46160.0</v>
      </c>
      <c r="AA14" s="140">
        <v>46157.0</v>
      </c>
      <c r="AB14" s="105" t="s">
        <v>531</v>
      </c>
    </row>
    <row r="15" ht="22.5" hidden="1" customHeight="1">
      <c r="A15" s="84"/>
      <c r="B15" s="85" t="str">
        <f t="array" ref="B15">IF(EXACT(A15, ""), "", XLOOKUP(A15, Proyectos[nombre], Proyectos[folio]))</f>
        <v/>
      </c>
      <c r="C15" s="85" t="s">
        <v>226</v>
      </c>
      <c r="D15" s="86" t="s">
        <v>233</v>
      </c>
      <c r="E15" s="87" t="s">
        <v>563</v>
      </c>
      <c r="F15" s="88" t="s">
        <v>564</v>
      </c>
      <c r="G15" s="89" t="s">
        <v>355</v>
      </c>
      <c r="H15" s="122" t="s">
        <v>276</v>
      </c>
      <c r="I15" s="130" t="s">
        <v>574</v>
      </c>
      <c r="J15" s="91" t="str">
        <f t="array" ref="J15">IF(EXACT(G15, ""), "", XLOOKUP(G15, Equipo[nickname], Equipo[user]))</f>
        <v>econtreras</v>
      </c>
      <c r="K15" s="143" t="s">
        <v>549</v>
      </c>
      <c r="L15" s="93" t="s">
        <v>527</v>
      </c>
      <c r="M15" s="94" t="s">
        <v>537</v>
      </c>
      <c r="N15" s="132" t="s">
        <v>269</v>
      </c>
      <c r="O15" s="133" t="s">
        <v>558</v>
      </c>
      <c r="P15" s="87" t="s">
        <v>566</v>
      </c>
      <c r="Q15" s="87" t="s">
        <v>550</v>
      </c>
      <c r="R15" s="87"/>
      <c r="S15" s="87" t="s">
        <v>228</v>
      </c>
      <c r="T15" s="94">
        <v>50.0</v>
      </c>
      <c r="U15" s="94">
        <v>50.0</v>
      </c>
      <c r="V15" s="98">
        <v>1.0</v>
      </c>
      <c r="W15" s="99">
        <v>46065.0</v>
      </c>
      <c r="X15" s="99">
        <v>46148.0</v>
      </c>
      <c r="Y15" s="99">
        <v>46148.0</v>
      </c>
      <c r="Z15" s="99">
        <v>46157.0</v>
      </c>
      <c r="AA15" s="134">
        <v>46168.0</v>
      </c>
      <c r="AB15" s="94" t="s">
        <v>575</v>
      </c>
    </row>
    <row r="16" ht="22.5" hidden="1" customHeight="1">
      <c r="A16" s="84"/>
      <c r="B16" s="85" t="str">
        <f t="array" ref="B16">IF(EXACT(A16, ""), "", XLOOKUP(A16, Proyectos[nombre], Proyectos[folio]))</f>
        <v/>
      </c>
      <c r="C16" s="85" t="s">
        <v>226</v>
      </c>
      <c r="D16" s="86" t="s">
        <v>233</v>
      </c>
      <c r="E16" s="100" t="s">
        <v>576</v>
      </c>
      <c r="F16" s="101" t="s">
        <v>577</v>
      </c>
      <c r="G16" s="89" t="s">
        <v>355</v>
      </c>
      <c r="H16" s="89" t="s">
        <v>276</v>
      </c>
      <c r="I16" s="100" t="s">
        <v>578</v>
      </c>
      <c r="J16" s="91" t="str">
        <f t="array" ref="J16">IF(EXACT(G16, ""), "", XLOOKUP(G16, Equipo[nickname], Equipo[user]))</f>
        <v>econtreras</v>
      </c>
      <c r="K16" s="113" t="s">
        <v>526</v>
      </c>
      <c r="L16" s="113" t="s">
        <v>527</v>
      </c>
      <c r="M16" s="105" t="s">
        <v>528</v>
      </c>
      <c r="N16" s="113" t="s">
        <v>244</v>
      </c>
      <c r="O16" s="118" t="s">
        <v>571</v>
      </c>
      <c r="P16" s="100" t="s">
        <v>579</v>
      </c>
      <c r="Q16" s="100" t="s">
        <v>550</v>
      </c>
      <c r="R16" s="100"/>
      <c r="S16" s="100" t="s">
        <v>228</v>
      </c>
      <c r="T16" s="105">
        <v>8.0</v>
      </c>
      <c r="U16" s="116">
        <v>0.0</v>
      </c>
      <c r="V16" s="98">
        <v>1.0</v>
      </c>
      <c r="W16" s="107">
        <v>46133.0</v>
      </c>
      <c r="X16" s="140">
        <v>46148.0</v>
      </c>
      <c r="Y16" s="140">
        <v>46148.0</v>
      </c>
      <c r="Z16" s="140">
        <v>46148.0</v>
      </c>
      <c r="AA16" s="140">
        <v>46153.0</v>
      </c>
      <c r="AB16" s="105" t="s">
        <v>575</v>
      </c>
    </row>
    <row r="17" ht="22.5" hidden="1" customHeight="1">
      <c r="A17" s="84"/>
      <c r="B17" s="85" t="str">
        <f t="array" ref="B17">IF(EXACT(A17, ""), "", XLOOKUP(A17, Proyectos[nombre], Proyectos[folio]))</f>
        <v/>
      </c>
      <c r="C17" s="85" t="s">
        <v>226</v>
      </c>
      <c r="D17" s="86" t="s">
        <v>233</v>
      </c>
      <c r="E17" s="100" t="s">
        <v>580</v>
      </c>
      <c r="F17" s="101" t="s">
        <v>581</v>
      </c>
      <c r="G17" s="89" t="s">
        <v>355</v>
      </c>
      <c r="H17" s="102" t="s">
        <v>276</v>
      </c>
      <c r="I17" s="100" t="s">
        <v>582</v>
      </c>
      <c r="J17" s="91" t="str">
        <f t="array" ref="J17">IF(EXACT(G17, ""), "", XLOOKUP(G17, Equipo[nickname], Equipo[user]))</f>
        <v>econtreras</v>
      </c>
      <c r="K17" s="103" t="s">
        <v>535</v>
      </c>
      <c r="L17" s="113" t="s">
        <v>527</v>
      </c>
      <c r="M17" s="105" t="s">
        <v>557</v>
      </c>
      <c r="N17" s="104" t="s">
        <v>231</v>
      </c>
      <c r="O17" s="106" t="s">
        <v>571</v>
      </c>
      <c r="P17" s="100" t="s">
        <v>530</v>
      </c>
      <c r="Q17" s="100" t="s">
        <v>550</v>
      </c>
      <c r="R17" s="100"/>
      <c r="S17" s="100" t="s">
        <v>228</v>
      </c>
      <c r="T17" s="105">
        <v>5.0</v>
      </c>
      <c r="U17" s="116">
        <v>5.0</v>
      </c>
      <c r="V17" s="98">
        <v>1.0</v>
      </c>
      <c r="W17" s="107">
        <v>46133.0</v>
      </c>
      <c r="X17" s="107">
        <v>46142.0</v>
      </c>
      <c r="Y17" s="107">
        <v>46142.0</v>
      </c>
      <c r="Z17" s="107">
        <v>46142.0</v>
      </c>
      <c r="AA17" s="140">
        <v>46143.0</v>
      </c>
      <c r="AB17" s="105" t="s">
        <v>575</v>
      </c>
    </row>
    <row r="18" ht="22.5" hidden="1" customHeight="1">
      <c r="A18" s="84"/>
      <c r="B18" s="85" t="str">
        <f t="array" ref="B18">IF(EXACT(A18, ""), "", XLOOKUP(A18, Proyectos[nombre], Proyectos[folio]))</f>
        <v/>
      </c>
      <c r="C18" s="85" t="s">
        <v>226</v>
      </c>
      <c r="D18" s="86" t="s">
        <v>233</v>
      </c>
      <c r="E18" s="87" t="s">
        <v>583</v>
      </c>
      <c r="F18" s="88" t="s">
        <v>584</v>
      </c>
      <c r="G18" s="89" t="s">
        <v>355</v>
      </c>
      <c r="H18" s="144" t="s">
        <v>276</v>
      </c>
      <c r="I18" s="87" t="s">
        <v>585</v>
      </c>
      <c r="J18" s="91" t="str">
        <f t="array" ref="J18">IF(EXACT(G18, ""), "", XLOOKUP(G18, Equipo[nickname], Equipo[user]))</f>
        <v>econtreras</v>
      </c>
      <c r="K18" s="93" t="s">
        <v>526</v>
      </c>
      <c r="L18" s="93" t="s">
        <v>527</v>
      </c>
      <c r="M18" s="94" t="s">
        <v>557</v>
      </c>
      <c r="N18" s="145" t="s">
        <v>252</v>
      </c>
      <c r="O18" s="86" t="s">
        <v>529</v>
      </c>
      <c r="P18" s="87" t="s">
        <v>586</v>
      </c>
      <c r="Q18" s="87" t="s">
        <v>550</v>
      </c>
      <c r="R18" s="87"/>
      <c r="S18" s="87" t="s">
        <v>228</v>
      </c>
      <c r="T18" s="94">
        <v>8.0</v>
      </c>
      <c r="U18" s="94">
        <v>8.0</v>
      </c>
      <c r="V18" s="98">
        <v>1.0</v>
      </c>
      <c r="W18" s="99">
        <v>46135.0</v>
      </c>
      <c r="X18" s="99">
        <v>46146.0</v>
      </c>
      <c r="Y18" s="99">
        <v>46146.0</v>
      </c>
      <c r="Z18" s="99">
        <v>46146.0</v>
      </c>
      <c r="AA18" s="134">
        <v>46148.0</v>
      </c>
      <c r="AB18" s="94" t="s">
        <v>575</v>
      </c>
    </row>
    <row r="19" ht="22.5" hidden="1" customHeight="1">
      <c r="A19" s="84"/>
      <c r="B19" s="85" t="str">
        <f t="array" ref="B19">IF(EXACT(A19, ""), "", XLOOKUP(A19, Proyectos[nombre], Proyectos[folio]))</f>
        <v/>
      </c>
      <c r="C19" s="85" t="s">
        <v>226</v>
      </c>
      <c r="D19" s="86" t="s">
        <v>233</v>
      </c>
      <c r="E19" s="100" t="s">
        <v>587</v>
      </c>
      <c r="F19" s="101" t="s">
        <v>588</v>
      </c>
      <c r="G19" s="89" t="s">
        <v>236</v>
      </c>
      <c r="H19" s="124" t="s">
        <v>276</v>
      </c>
      <c r="I19" s="100" t="s">
        <v>589</v>
      </c>
      <c r="J19" s="91" t="str">
        <f t="array" ref="J19">IF(EXACT(G19, ""), "", XLOOKUP(G19, Equipo[nickname], Equipo[user]))</f>
        <v>gguadarrama</v>
      </c>
      <c r="K19" s="146" t="s">
        <v>549</v>
      </c>
      <c r="L19" s="113" t="s">
        <v>527</v>
      </c>
      <c r="M19" s="105" t="s">
        <v>557</v>
      </c>
      <c r="N19" s="114" t="s">
        <v>269</v>
      </c>
      <c r="O19" s="115" t="s">
        <v>558</v>
      </c>
      <c r="P19" s="100" t="s">
        <v>530</v>
      </c>
      <c r="Q19" s="100"/>
      <c r="R19" s="100"/>
      <c r="S19" s="100" t="s">
        <v>228</v>
      </c>
      <c r="T19" s="105">
        <v>28.0</v>
      </c>
      <c r="U19" s="116">
        <v>80.0</v>
      </c>
      <c r="V19" s="98">
        <v>1.0</v>
      </c>
      <c r="W19" s="107">
        <v>46073.0</v>
      </c>
      <c r="X19" s="107">
        <v>46147.0</v>
      </c>
      <c r="Y19" s="107">
        <v>46147.0</v>
      </c>
      <c r="Z19" s="107">
        <v>46150.0</v>
      </c>
      <c r="AA19" s="134">
        <v>46168.0</v>
      </c>
      <c r="AB19" s="105" t="s">
        <v>575</v>
      </c>
    </row>
    <row r="20" ht="22.5" hidden="1" customHeight="1">
      <c r="A20" s="84"/>
      <c r="B20" s="85" t="str">
        <f t="array" ref="B20">IF(EXACT(A20, ""), "", XLOOKUP(A20, Proyectos[nombre], Proyectos[folio]))</f>
        <v/>
      </c>
      <c r="C20" s="85" t="s">
        <v>226</v>
      </c>
      <c r="D20" s="86" t="s">
        <v>233</v>
      </c>
      <c r="E20" s="87" t="s">
        <v>590</v>
      </c>
      <c r="F20" s="88" t="s">
        <v>591</v>
      </c>
      <c r="G20" s="89" t="s">
        <v>236</v>
      </c>
      <c r="H20" s="108" t="s">
        <v>276</v>
      </c>
      <c r="I20" s="87" t="s">
        <v>592</v>
      </c>
      <c r="J20" s="91" t="str">
        <f t="array" ref="J20">IF(EXACT(G20, ""), "", XLOOKUP(G20, Equipo[nickname], Equipo[user]))</f>
        <v>gguadarrama</v>
      </c>
      <c r="K20" s="143" t="s">
        <v>549</v>
      </c>
      <c r="L20" s="93" t="s">
        <v>527</v>
      </c>
      <c r="M20" s="94" t="s">
        <v>557</v>
      </c>
      <c r="N20" s="123" t="s">
        <v>299</v>
      </c>
      <c r="O20" s="137" t="s">
        <v>558</v>
      </c>
      <c r="P20" s="87" t="s">
        <v>593</v>
      </c>
      <c r="Q20" s="87"/>
      <c r="R20" s="87"/>
      <c r="S20" s="87" t="s">
        <v>228</v>
      </c>
      <c r="T20" s="94">
        <v>28.0</v>
      </c>
      <c r="U20" s="97">
        <v>58.0</v>
      </c>
      <c r="V20" s="98">
        <v>1.0</v>
      </c>
      <c r="W20" s="99">
        <v>46119.0</v>
      </c>
      <c r="X20" s="99">
        <v>46153.0</v>
      </c>
      <c r="Y20" s="99">
        <v>46153.0</v>
      </c>
      <c r="Z20" s="99">
        <v>46156.0</v>
      </c>
      <c r="AA20" s="134">
        <v>46168.0</v>
      </c>
      <c r="AB20" s="94" t="s">
        <v>575</v>
      </c>
    </row>
    <row r="21" ht="22.5" hidden="1" customHeight="1">
      <c r="A21" s="84"/>
      <c r="B21" s="85" t="str">
        <f t="array" ref="B21">IF(EXACT(A21, ""), "", XLOOKUP(A21, Proyectos[nombre], Proyectos[folio]))</f>
        <v/>
      </c>
      <c r="C21" s="85" t="s">
        <v>226</v>
      </c>
      <c r="D21" s="86" t="s">
        <v>233</v>
      </c>
      <c r="E21" s="100" t="s">
        <v>594</v>
      </c>
      <c r="F21" s="101" t="s">
        <v>595</v>
      </c>
      <c r="G21" s="89" t="s">
        <v>236</v>
      </c>
      <c r="H21" s="147" t="s">
        <v>276</v>
      </c>
      <c r="I21" s="100" t="s">
        <v>596</v>
      </c>
      <c r="J21" s="91" t="str">
        <f t="array" ref="J21">IF(EXACT(G21, ""), "", XLOOKUP(G21, Equipo[nickname], Equipo[user]))</f>
        <v>gguadarrama</v>
      </c>
      <c r="K21" s="117" t="s">
        <v>549</v>
      </c>
      <c r="L21" s="113" t="s">
        <v>527</v>
      </c>
      <c r="M21" s="105" t="s">
        <v>528</v>
      </c>
      <c r="N21" s="104" t="s">
        <v>231</v>
      </c>
      <c r="O21" s="106" t="s">
        <v>529</v>
      </c>
      <c r="P21" s="100" t="s">
        <v>488</v>
      </c>
      <c r="Q21" s="100"/>
      <c r="R21" s="100"/>
      <c r="S21" s="100" t="s">
        <v>228</v>
      </c>
      <c r="T21" s="105">
        <v>13.0</v>
      </c>
      <c r="U21" s="116">
        <v>16.0</v>
      </c>
      <c r="V21" s="98">
        <v>1.0</v>
      </c>
      <c r="W21" s="107">
        <v>46140.0</v>
      </c>
      <c r="X21" s="107">
        <v>46142.0</v>
      </c>
      <c r="Y21" s="107">
        <v>46142.0</v>
      </c>
      <c r="Z21" s="107">
        <v>46146.0</v>
      </c>
      <c r="AA21" s="140">
        <v>46157.0</v>
      </c>
      <c r="AB21" s="105" t="s">
        <v>575</v>
      </c>
    </row>
    <row r="22" ht="22.5" hidden="1" customHeight="1">
      <c r="A22" s="84"/>
      <c r="B22" s="85" t="str">
        <f t="array" ref="B22">IF(EXACT(A22, ""), "", XLOOKUP(A22, Proyectos[nombre], Proyectos[folio]))</f>
        <v/>
      </c>
      <c r="C22" s="85" t="s">
        <v>226</v>
      </c>
      <c r="D22" s="86" t="s">
        <v>233</v>
      </c>
      <c r="E22" s="87" t="s">
        <v>550</v>
      </c>
      <c r="F22" s="88" t="s">
        <v>597</v>
      </c>
      <c r="G22" s="89" t="s">
        <v>237</v>
      </c>
      <c r="H22" s="144" t="s">
        <v>276</v>
      </c>
      <c r="I22" s="87" t="s">
        <v>598</v>
      </c>
      <c r="J22" s="91" t="str">
        <f t="array" ref="J22">IF(EXACT(G22, ""), "", XLOOKUP(G22, Equipo[nickname], Equipo[user]))</f>
        <v>egonzalez</v>
      </c>
      <c r="K22" s="110" t="s">
        <v>535</v>
      </c>
      <c r="L22" s="132" t="s">
        <v>561</v>
      </c>
      <c r="M22" s="94" t="s">
        <v>552</v>
      </c>
      <c r="N22" s="95" t="s">
        <v>231</v>
      </c>
      <c r="O22" s="96" t="s">
        <v>529</v>
      </c>
      <c r="P22" s="87" t="s">
        <v>530</v>
      </c>
      <c r="Q22" s="87" t="s">
        <v>550</v>
      </c>
      <c r="R22" s="87"/>
      <c r="S22" s="87" t="s">
        <v>228</v>
      </c>
      <c r="T22" s="94">
        <v>8.0</v>
      </c>
      <c r="U22" s="94"/>
      <c r="V22" s="98">
        <v>1.0</v>
      </c>
      <c r="W22" s="99">
        <v>46141.0</v>
      </c>
      <c r="X22" s="99"/>
      <c r="Y22" s="99">
        <v>46141.0</v>
      </c>
      <c r="Z22" s="99">
        <v>46141.0</v>
      </c>
      <c r="AA22" s="99">
        <v>46141.0</v>
      </c>
      <c r="AB22" s="94" t="s">
        <v>216</v>
      </c>
    </row>
    <row r="23" ht="22.5" hidden="1" customHeight="1">
      <c r="A23" s="84"/>
      <c r="B23" s="85" t="str">
        <f t="array" ref="B23">IF(EXACT(A23, ""), "", XLOOKUP(A23, Proyectos[nombre], Proyectos[folio]))</f>
        <v/>
      </c>
      <c r="C23" s="85" t="s">
        <v>226</v>
      </c>
      <c r="D23" s="86" t="s">
        <v>233</v>
      </c>
      <c r="E23" s="87" t="s">
        <v>550</v>
      </c>
      <c r="F23" s="87" t="s">
        <v>550</v>
      </c>
      <c r="G23" s="89" t="s">
        <v>237</v>
      </c>
      <c r="H23" s="108" t="s">
        <v>276</v>
      </c>
      <c r="I23" s="87" t="s">
        <v>599</v>
      </c>
      <c r="J23" s="91" t="str">
        <f t="array" ref="J23">IF(EXACT(G23, ""), "", XLOOKUP(G23, Equipo[nickname], Equipo[user]))</f>
        <v>egonzalez</v>
      </c>
      <c r="K23" s="90" t="s">
        <v>526</v>
      </c>
      <c r="L23" s="145" t="s">
        <v>216</v>
      </c>
      <c r="M23" s="94" t="s">
        <v>552</v>
      </c>
      <c r="N23" s="132" t="s">
        <v>269</v>
      </c>
      <c r="O23" s="133" t="s">
        <v>529</v>
      </c>
      <c r="P23" s="87" t="s">
        <v>530</v>
      </c>
      <c r="Q23" s="87" t="s">
        <v>550</v>
      </c>
      <c r="R23" s="87"/>
      <c r="S23" s="87" t="s">
        <v>228</v>
      </c>
      <c r="T23" s="94">
        <v>16.0</v>
      </c>
      <c r="U23" s="94">
        <v>16.0</v>
      </c>
      <c r="V23" s="98">
        <v>1.0</v>
      </c>
      <c r="W23" s="99">
        <v>46141.0</v>
      </c>
      <c r="X23" s="99"/>
      <c r="Y23" s="99">
        <v>46155.0</v>
      </c>
      <c r="Z23" s="99">
        <v>46160.0</v>
      </c>
      <c r="AA23" s="134">
        <v>46169.0</v>
      </c>
      <c r="AB23" s="94" t="s">
        <v>216</v>
      </c>
    </row>
    <row r="24" ht="22.5" hidden="1" customHeight="1">
      <c r="A24" s="84"/>
      <c r="B24" s="85" t="str">
        <f t="array" ref="B24">IF(EXACT(A24, ""), "", XLOOKUP(A24, Proyectos[nombre], Proyectos[folio]))</f>
        <v/>
      </c>
      <c r="C24" s="85" t="s">
        <v>226</v>
      </c>
      <c r="D24" s="86" t="s">
        <v>233</v>
      </c>
      <c r="E24" s="87" t="s">
        <v>600</v>
      </c>
      <c r="F24" s="88" t="s">
        <v>601</v>
      </c>
      <c r="G24" s="89" t="s">
        <v>462</v>
      </c>
      <c r="H24" s="122" t="s">
        <v>276</v>
      </c>
      <c r="I24" s="87" t="s">
        <v>602</v>
      </c>
      <c r="J24" s="91" t="str">
        <f t="array" ref="J24">IF(EXACT(G24, ""), "", XLOOKUP(G24, Equipo[nickname], Equipo[user]))</f>
        <v>jlopez</v>
      </c>
      <c r="K24" s="148" t="s">
        <v>526</v>
      </c>
      <c r="L24" s="93" t="s">
        <v>527</v>
      </c>
      <c r="M24" s="94" t="s">
        <v>557</v>
      </c>
      <c r="N24" s="95" t="s">
        <v>231</v>
      </c>
      <c r="O24" s="96" t="s">
        <v>558</v>
      </c>
      <c r="P24" s="87" t="s">
        <v>566</v>
      </c>
      <c r="Q24" s="87" t="s">
        <v>550</v>
      </c>
      <c r="R24" s="87"/>
      <c r="S24" s="87" t="s">
        <v>228</v>
      </c>
      <c r="T24" s="94">
        <v>21.0</v>
      </c>
      <c r="U24" s="97">
        <v>42.0</v>
      </c>
      <c r="V24" s="98">
        <v>1.0</v>
      </c>
      <c r="W24" s="99">
        <v>46133.0</v>
      </c>
      <c r="X24" s="99">
        <v>46149.0</v>
      </c>
      <c r="Y24" s="99">
        <v>46149.0</v>
      </c>
      <c r="Z24" s="99">
        <v>46153.0</v>
      </c>
      <c r="AA24" s="149">
        <v>46154.0</v>
      </c>
      <c r="AB24" s="94" t="s">
        <v>531</v>
      </c>
    </row>
    <row r="25" ht="22.5" hidden="1" customHeight="1">
      <c r="A25" s="84"/>
      <c r="B25" s="85" t="str">
        <f t="array" ref="B25">IF(EXACT(A25, ""), "", XLOOKUP(A25, Proyectos[nombre], Proyectos[folio]))</f>
        <v/>
      </c>
      <c r="C25" s="85" t="s">
        <v>226</v>
      </c>
      <c r="D25" s="86" t="s">
        <v>233</v>
      </c>
      <c r="E25" s="100" t="s">
        <v>603</v>
      </c>
      <c r="F25" s="101" t="s">
        <v>604</v>
      </c>
      <c r="G25" s="89" t="s">
        <v>462</v>
      </c>
      <c r="H25" s="147" t="s">
        <v>276</v>
      </c>
      <c r="I25" s="100" t="s">
        <v>605</v>
      </c>
      <c r="J25" s="91" t="str">
        <f t="array" ref="J25">IF(EXACT(G25, ""), "", XLOOKUP(G25, Equipo[nickname], Equipo[user]))</f>
        <v>jlopez</v>
      </c>
      <c r="K25" s="103" t="s">
        <v>535</v>
      </c>
      <c r="L25" s="113" t="s">
        <v>527</v>
      </c>
      <c r="M25" s="105" t="s">
        <v>557</v>
      </c>
      <c r="N25" s="114" t="s">
        <v>269</v>
      </c>
      <c r="O25" s="115" t="s">
        <v>558</v>
      </c>
      <c r="P25" s="100" t="s">
        <v>566</v>
      </c>
      <c r="Q25" s="100" t="s">
        <v>550</v>
      </c>
      <c r="R25" s="100"/>
      <c r="S25" s="100" t="s">
        <v>228</v>
      </c>
      <c r="T25" s="105">
        <v>1.0</v>
      </c>
      <c r="U25" s="116">
        <v>1.0</v>
      </c>
      <c r="V25" s="98">
        <v>1.0</v>
      </c>
      <c r="W25" s="107">
        <v>46140.0</v>
      </c>
      <c r="X25" s="107">
        <v>46153.0</v>
      </c>
      <c r="Y25" s="107">
        <v>46153.0</v>
      </c>
      <c r="Z25" s="107">
        <v>46154.0</v>
      </c>
      <c r="AA25" s="150">
        <v>46150.0</v>
      </c>
      <c r="AB25" s="105" t="s">
        <v>531</v>
      </c>
    </row>
    <row r="26" ht="22.5" hidden="1" customHeight="1">
      <c r="A26" s="84"/>
      <c r="B26" s="85" t="str">
        <f t="array" ref="B26">IF(EXACT(A26, ""), "", XLOOKUP(A26, Proyectos[nombre], Proyectos[folio]))</f>
        <v/>
      </c>
      <c r="C26" s="85" t="s">
        <v>226</v>
      </c>
      <c r="D26" s="86" t="s">
        <v>233</v>
      </c>
      <c r="E26" s="87" t="s">
        <v>606</v>
      </c>
      <c r="F26" s="88" t="s">
        <v>607</v>
      </c>
      <c r="G26" s="89" t="s">
        <v>355</v>
      </c>
      <c r="H26" s="135" t="s">
        <v>276</v>
      </c>
      <c r="I26" s="87" t="s">
        <v>608</v>
      </c>
      <c r="J26" s="91" t="str">
        <f t="array" ref="J26">IF(EXACT(G26, ""), "", XLOOKUP(G26, Equipo[nickname], Equipo[user]))</f>
        <v>econtreras</v>
      </c>
      <c r="K26" s="92" t="s">
        <v>526</v>
      </c>
      <c r="L26" s="95" t="s">
        <v>536</v>
      </c>
      <c r="M26" s="94" t="s">
        <v>537</v>
      </c>
      <c r="N26" s="95" t="s">
        <v>231</v>
      </c>
      <c r="O26" s="96" t="s">
        <v>571</v>
      </c>
      <c r="P26" s="87" t="s">
        <v>530</v>
      </c>
      <c r="Q26" s="87" t="s">
        <v>550</v>
      </c>
      <c r="R26" s="87"/>
      <c r="S26" s="87" t="s">
        <v>228</v>
      </c>
      <c r="T26" s="94">
        <v>8.0</v>
      </c>
      <c r="U26" s="94"/>
      <c r="V26" s="98">
        <v>1.0</v>
      </c>
      <c r="W26" s="99">
        <v>46141.0</v>
      </c>
      <c r="X26" s="99"/>
      <c r="Y26" s="99">
        <v>46141.0</v>
      </c>
      <c r="Z26" s="99">
        <v>46141.0</v>
      </c>
      <c r="AA26" s="99">
        <v>46142.0</v>
      </c>
      <c r="AB26" s="94" t="s">
        <v>575</v>
      </c>
    </row>
    <row r="27" ht="22.5" hidden="1" customHeight="1">
      <c r="A27" s="84"/>
      <c r="B27" s="85" t="str">
        <f t="array" ref="B27">IF(EXACT(A27, ""), "", XLOOKUP(A27, Proyectos[nombre], Proyectos[folio]))</f>
        <v/>
      </c>
      <c r="C27" s="85" t="s">
        <v>226</v>
      </c>
      <c r="D27" s="86" t="s">
        <v>233</v>
      </c>
      <c r="E27" s="87" t="s">
        <v>609</v>
      </c>
      <c r="F27" s="88" t="s">
        <v>610</v>
      </c>
      <c r="G27" s="89" t="s">
        <v>462</v>
      </c>
      <c r="H27" s="122" t="s">
        <v>276</v>
      </c>
      <c r="I27" s="87" t="s">
        <v>611</v>
      </c>
      <c r="J27" s="91" t="str">
        <f t="array" ref="J27">IF(EXACT(G27, ""), "", XLOOKUP(G27, Equipo[nickname], Equipo[user]))</f>
        <v>jlopez</v>
      </c>
      <c r="K27" s="136" t="s">
        <v>535</v>
      </c>
      <c r="L27" s="93" t="s">
        <v>527</v>
      </c>
      <c r="M27" s="94" t="s">
        <v>557</v>
      </c>
      <c r="N27" s="95" t="s">
        <v>231</v>
      </c>
      <c r="O27" s="96" t="s">
        <v>558</v>
      </c>
      <c r="P27" s="87" t="s">
        <v>566</v>
      </c>
      <c r="Q27" s="87" t="s">
        <v>550</v>
      </c>
      <c r="R27" s="87"/>
      <c r="S27" s="87" t="s">
        <v>228</v>
      </c>
      <c r="T27" s="97">
        <v>24.0</v>
      </c>
      <c r="U27" s="97">
        <v>74.0</v>
      </c>
      <c r="V27" s="98">
        <v>1.0</v>
      </c>
      <c r="W27" s="99">
        <v>46140.0</v>
      </c>
      <c r="X27" s="99">
        <v>46142.0</v>
      </c>
      <c r="Y27" s="99">
        <v>46142.0</v>
      </c>
      <c r="Z27" s="99">
        <v>46148.0</v>
      </c>
      <c r="AA27" s="149">
        <v>46157.0</v>
      </c>
      <c r="AB27" s="94" t="s">
        <v>531</v>
      </c>
    </row>
    <row r="28" ht="22.5" hidden="1" customHeight="1">
      <c r="A28" s="84"/>
      <c r="B28" s="85" t="str">
        <f t="array" ref="B28">IF(EXACT(A28, ""), "", XLOOKUP(A28, Proyectos[nombre], Proyectos[folio]))</f>
        <v/>
      </c>
      <c r="C28" s="85" t="s">
        <v>226</v>
      </c>
      <c r="D28" s="86" t="s">
        <v>233</v>
      </c>
      <c r="E28" s="100" t="s">
        <v>612</v>
      </c>
      <c r="F28" s="101" t="s">
        <v>613</v>
      </c>
      <c r="G28" s="89" t="s">
        <v>462</v>
      </c>
      <c r="H28" s="102" t="s">
        <v>276</v>
      </c>
      <c r="I28" s="100" t="s">
        <v>614</v>
      </c>
      <c r="J28" s="91" t="str">
        <f t="array" ref="J28">IF(EXACT(G28, ""), "", XLOOKUP(G28, Equipo[nickname], Equipo[user]))</f>
        <v>jlopez</v>
      </c>
      <c r="K28" s="103" t="s">
        <v>535</v>
      </c>
      <c r="L28" s="113" t="s">
        <v>527</v>
      </c>
      <c r="M28" s="105" t="s">
        <v>557</v>
      </c>
      <c r="N28" s="113" t="s">
        <v>244</v>
      </c>
      <c r="O28" s="118" t="s">
        <v>558</v>
      </c>
      <c r="P28" s="100" t="s">
        <v>566</v>
      </c>
      <c r="Q28" s="100" t="s">
        <v>550</v>
      </c>
      <c r="R28" s="100"/>
      <c r="S28" s="100" t="s">
        <v>228</v>
      </c>
      <c r="T28" s="105">
        <v>1.0</v>
      </c>
      <c r="U28" s="116">
        <v>1.0</v>
      </c>
      <c r="V28" s="98">
        <v>1.0</v>
      </c>
      <c r="W28" s="107">
        <v>46140.0</v>
      </c>
      <c r="X28" s="107">
        <v>46146.0</v>
      </c>
      <c r="Y28" s="107">
        <v>46146.0</v>
      </c>
      <c r="Z28" s="107">
        <v>46147.0</v>
      </c>
      <c r="AA28" s="107">
        <v>46147.0</v>
      </c>
      <c r="AB28" s="105" t="s">
        <v>531</v>
      </c>
    </row>
    <row r="29" ht="22.5" hidden="1" customHeight="1">
      <c r="A29" s="84"/>
      <c r="B29" s="85" t="str">
        <f t="array" ref="B29">IF(EXACT(A29, ""), "", XLOOKUP(A29, Proyectos[nombre], Proyectos[folio]))</f>
        <v/>
      </c>
      <c r="C29" s="85" t="s">
        <v>226</v>
      </c>
      <c r="D29" s="86" t="s">
        <v>233</v>
      </c>
      <c r="E29" s="100" t="s">
        <v>550</v>
      </c>
      <c r="F29" s="101" t="s">
        <v>615</v>
      </c>
      <c r="G29" s="89" t="s">
        <v>151</v>
      </c>
      <c r="H29" s="102" t="s">
        <v>276</v>
      </c>
      <c r="I29" s="100" t="s">
        <v>616</v>
      </c>
      <c r="J29" s="91" t="str">
        <f t="array" ref="J29">IF(EXACT(G29, ""), "", XLOOKUP(G29, Equipo[nickname], Equipo[user]))</f>
        <v>hloredo</v>
      </c>
      <c r="K29" s="103" t="s">
        <v>535</v>
      </c>
      <c r="L29" s="146" t="s">
        <v>617</v>
      </c>
      <c r="M29" s="105" t="s">
        <v>618</v>
      </c>
      <c r="N29" s="104" t="s">
        <v>231</v>
      </c>
      <c r="O29" s="106" t="s">
        <v>571</v>
      </c>
      <c r="P29" s="87" t="s">
        <v>530</v>
      </c>
      <c r="Q29" s="141"/>
      <c r="R29" s="141"/>
      <c r="S29" s="141"/>
      <c r="T29" s="105">
        <v>1.0</v>
      </c>
      <c r="U29" s="105"/>
      <c r="V29" s="98">
        <v>1.0</v>
      </c>
      <c r="W29" s="107">
        <v>46142.0</v>
      </c>
      <c r="X29" s="107"/>
      <c r="Y29" s="107">
        <v>46146.0</v>
      </c>
      <c r="Z29" s="107">
        <v>46146.0</v>
      </c>
      <c r="AA29" s="107">
        <v>46146.0</v>
      </c>
      <c r="AB29" s="105" t="s">
        <v>208</v>
      </c>
    </row>
    <row r="30" ht="22.5" hidden="1" customHeight="1">
      <c r="A30" s="84"/>
      <c r="B30" s="85" t="str">
        <f t="array" ref="B30">IF(EXACT(A30, ""), "", XLOOKUP(A30, Proyectos[nombre], Proyectos[folio]))</f>
        <v/>
      </c>
      <c r="C30" s="85" t="s">
        <v>226</v>
      </c>
      <c r="D30" s="86" t="s">
        <v>233</v>
      </c>
      <c r="E30" s="87" t="s">
        <v>619</v>
      </c>
      <c r="F30" s="88" t="s">
        <v>620</v>
      </c>
      <c r="G30" s="89" t="s">
        <v>462</v>
      </c>
      <c r="H30" s="151" t="s">
        <v>276</v>
      </c>
      <c r="I30" s="87" t="s">
        <v>621</v>
      </c>
      <c r="J30" s="91" t="str">
        <f t="array" ref="J30">IF(EXACT(G30, ""), "", XLOOKUP(G30, Equipo[nickname], Equipo[user]))</f>
        <v>jlopez</v>
      </c>
      <c r="K30" s="92" t="s">
        <v>526</v>
      </c>
      <c r="L30" s="93" t="s">
        <v>527</v>
      </c>
      <c r="M30" s="94" t="s">
        <v>557</v>
      </c>
      <c r="N30" s="93" t="s">
        <v>244</v>
      </c>
      <c r="O30" s="110" t="s">
        <v>558</v>
      </c>
      <c r="P30" s="87" t="s">
        <v>566</v>
      </c>
      <c r="Q30" s="87" t="s">
        <v>550</v>
      </c>
      <c r="R30" s="87"/>
      <c r="S30" s="87" t="s">
        <v>228</v>
      </c>
      <c r="T30" s="94">
        <v>1.0</v>
      </c>
      <c r="U30" s="97">
        <v>1.0</v>
      </c>
      <c r="V30" s="98">
        <v>1.0</v>
      </c>
      <c r="W30" s="99">
        <v>46140.0</v>
      </c>
      <c r="X30" s="99">
        <v>46147.0</v>
      </c>
      <c r="Y30" s="99">
        <v>46147.0</v>
      </c>
      <c r="Z30" s="99">
        <v>46148.0</v>
      </c>
      <c r="AA30" s="99">
        <v>46148.0</v>
      </c>
      <c r="AB30" s="94" t="s">
        <v>531</v>
      </c>
    </row>
    <row r="31" ht="22.5" hidden="1" customHeight="1">
      <c r="A31" s="84"/>
      <c r="B31" s="85" t="str">
        <f t="array" ref="B31">IF(EXACT(A31, ""), "", XLOOKUP(A31, Proyectos[nombre], Proyectos[folio]))</f>
        <v/>
      </c>
      <c r="C31" s="85" t="s">
        <v>226</v>
      </c>
      <c r="D31" s="86" t="s">
        <v>233</v>
      </c>
      <c r="E31" s="100" t="s">
        <v>550</v>
      </c>
      <c r="F31" s="100" t="s">
        <v>550</v>
      </c>
      <c r="G31" s="89" t="s">
        <v>355</v>
      </c>
      <c r="H31" s="128" t="s">
        <v>276</v>
      </c>
      <c r="I31" s="100" t="s">
        <v>551</v>
      </c>
      <c r="J31" s="91" t="str">
        <f t="array" ref="J31">IF(EXACT(G31, ""), "", XLOOKUP(G31, Equipo[nickname], Equipo[user]))</f>
        <v>econtreras</v>
      </c>
      <c r="K31" s="152" t="s">
        <v>542</v>
      </c>
      <c r="L31" s="153" t="s">
        <v>438</v>
      </c>
      <c r="M31" s="105" t="s">
        <v>552</v>
      </c>
      <c r="N31" s="104" t="s">
        <v>231</v>
      </c>
      <c r="O31" s="106" t="s">
        <v>571</v>
      </c>
      <c r="P31" s="100" t="s">
        <v>530</v>
      </c>
      <c r="Q31" s="100" t="s">
        <v>550</v>
      </c>
      <c r="R31" s="100"/>
      <c r="S31" s="100" t="s">
        <v>228</v>
      </c>
      <c r="T31" s="105">
        <v>8.0</v>
      </c>
      <c r="U31" s="105">
        <v>8.0</v>
      </c>
      <c r="V31" s="98">
        <v>0.5</v>
      </c>
      <c r="W31" s="107">
        <v>46141.0</v>
      </c>
      <c r="X31" s="107"/>
      <c r="Y31" s="107">
        <v>46163.0</v>
      </c>
      <c r="Z31" s="107">
        <v>46164.0</v>
      </c>
      <c r="AA31" s="140">
        <v>46169.0</v>
      </c>
      <c r="AB31" s="105" t="s">
        <v>575</v>
      </c>
    </row>
    <row r="32" ht="22.5" hidden="1" customHeight="1">
      <c r="A32" s="84"/>
      <c r="B32" s="85" t="str">
        <f t="array" ref="B32">IF(EXACT(A32, ""), "", XLOOKUP(A32, Proyectos[nombre], Proyectos[folio]))</f>
        <v/>
      </c>
      <c r="C32" s="85" t="s">
        <v>226</v>
      </c>
      <c r="D32" s="86" t="s">
        <v>233</v>
      </c>
      <c r="E32" s="87" t="s">
        <v>563</v>
      </c>
      <c r="F32" s="88" t="s">
        <v>564</v>
      </c>
      <c r="G32" s="89" t="s">
        <v>162</v>
      </c>
      <c r="H32" s="122" t="s">
        <v>276</v>
      </c>
      <c r="I32" s="130" t="s">
        <v>565</v>
      </c>
      <c r="J32" s="91" t="str">
        <f t="array" ref="J32">IF(EXACT(G32, ""), "", XLOOKUP(G32, Equipo[nickname], Equipo[user]))</f>
        <v>lolvera</v>
      </c>
      <c r="K32" s="131" t="s">
        <v>535</v>
      </c>
      <c r="L32" s="93" t="s">
        <v>527</v>
      </c>
      <c r="M32" s="94" t="s">
        <v>537</v>
      </c>
      <c r="N32" s="132" t="s">
        <v>269</v>
      </c>
      <c r="O32" s="133" t="s">
        <v>558</v>
      </c>
      <c r="P32" s="87" t="s">
        <v>566</v>
      </c>
      <c r="Q32" s="87"/>
      <c r="R32" s="87"/>
      <c r="S32" s="87" t="s">
        <v>228</v>
      </c>
      <c r="T32" s="97">
        <v>16.0</v>
      </c>
      <c r="U32" s="97">
        <v>10.0</v>
      </c>
      <c r="V32" s="98">
        <v>1.0</v>
      </c>
      <c r="W32" s="99">
        <v>46065.0</v>
      </c>
      <c r="X32" s="134">
        <v>46157.0</v>
      </c>
      <c r="Y32" s="134">
        <v>46157.0</v>
      </c>
      <c r="Z32" s="134">
        <v>46160.0</v>
      </c>
      <c r="AA32" s="134">
        <v>46160.0</v>
      </c>
      <c r="AB32" s="94"/>
    </row>
    <row r="33" ht="22.5" customHeight="1">
      <c r="A33" s="84"/>
      <c r="B33" s="85" t="str">
        <f t="array" ref="B33">IF(EXACT(A33, ""), "", XLOOKUP(A33, Proyectos[nombre], Proyectos[id]))</f>
        <v/>
      </c>
      <c r="C33" s="85"/>
      <c r="D33" s="154" t="s">
        <v>262</v>
      </c>
      <c r="E33" s="100"/>
      <c r="F33" s="155" t="s">
        <v>622</v>
      </c>
      <c r="G33" s="89" t="s">
        <v>263</v>
      </c>
      <c r="H33" s="128" t="s">
        <v>623</v>
      </c>
      <c r="I33" s="156" t="s">
        <v>624</v>
      </c>
      <c r="J33" s="91" t="str">
        <f t="array" ref="J33">IF(EXACT(G33, ""), "", XLOOKUP(G33, Equipo[nickname], Equipo[user]))</f>
        <v>avazquez</v>
      </c>
      <c r="K33" s="152"/>
      <c r="L33" s="139"/>
      <c r="M33" s="105"/>
      <c r="N33" s="104"/>
      <c r="O33" s="106" t="s">
        <v>571</v>
      </c>
      <c r="P33" s="156" t="s">
        <v>530</v>
      </c>
      <c r="Q33" s="100"/>
      <c r="R33" s="100"/>
      <c r="S33" s="100"/>
      <c r="T33" s="116">
        <v>8.0</v>
      </c>
      <c r="U33" s="116">
        <v>0.0</v>
      </c>
      <c r="V33" s="98">
        <v>0.0</v>
      </c>
      <c r="W33" s="140">
        <v>46167.0</v>
      </c>
      <c r="X33" s="140">
        <v>46174.0</v>
      </c>
      <c r="Y33" s="140">
        <v>46174.0</v>
      </c>
      <c r="Z33" s="140">
        <v>46174.0</v>
      </c>
      <c r="AA33" s="105"/>
      <c r="AB33" s="105"/>
    </row>
    <row r="34" ht="22.5" customHeight="1">
      <c r="A34" s="119" t="s">
        <v>501</v>
      </c>
      <c r="B34" s="85" t="str">
        <f t="array" ref="B34">IF(EXACT(A34, ""), "", XLOOKUP(A34, Proyectos[nombre], Proyectos[id]))</f>
        <v/>
      </c>
      <c r="C34" s="85"/>
      <c r="D34" s="154" t="s">
        <v>262</v>
      </c>
      <c r="E34" s="156" t="s">
        <v>625</v>
      </c>
      <c r="F34" s="155" t="s">
        <v>626</v>
      </c>
      <c r="G34" s="157" t="s">
        <v>135</v>
      </c>
      <c r="H34" s="128" t="s">
        <v>623</v>
      </c>
      <c r="I34" s="156" t="s">
        <v>627</v>
      </c>
      <c r="J34" s="91" t="str">
        <f t="array" ref="J34">IF(EXACT(G34, ""), "", XLOOKUP(G34, Equipo[nickname], Equipo[user]))</f>
        <v>ameza</v>
      </c>
      <c r="K34" s="152" t="s">
        <v>542</v>
      </c>
      <c r="L34" s="124" t="s">
        <v>527</v>
      </c>
      <c r="M34" s="156" t="s">
        <v>528</v>
      </c>
      <c r="N34" s="89" t="s">
        <v>244</v>
      </c>
      <c r="O34" s="106" t="s">
        <v>529</v>
      </c>
      <c r="P34" s="156" t="s">
        <v>628</v>
      </c>
      <c r="Q34" s="156" t="s">
        <v>629</v>
      </c>
      <c r="R34" s="156"/>
      <c r="S34" s="156" t="s">
        <v>228</v>
      </c>
      <c r="T34" s="158">
        <v>8.0</v>
      </c>
      <c r="U34" s="116">
        <v>0.0</v>
      </c>
      <c r="V34" s="98">
        <v>0.0</v>
      </c>
      <c r="W34" s="140">
        <v>46167.0</v>
      </c>
      <c r="X34" s="140">
        <v>46174.0</v>
      </c>
      <c r="Y34" s="140">
        <v>46174.0</v>
      </c>
      <c r="Z34" s="140">
        <v>46192.0</v>
      </c>
      <c r="AA34" s="94" t="s">
        <v>630</v>
      </c>
      <c r="AB34" s="105"/>
    </row>
    <row r="35" ht="22.5" customHeight="1">
      <c r="A35" s="119" t="s">
        <v>501</v>
      </c>
      <c r="B35" s="85" t="str">
        <f t="array" ref="B35">IF(EXACT(A35, ""), "", XLOOKUP(A35, Proyectos[nombre], Proyectos[id]))</f>
        <v/>
      </c>
      <c r="C35" s="85"/>
      <c r="D35" s="154" t="s">
        <v>262</v>
      </c>
      <c r="E35" s="156" t="s">
        <v>631</v>
      </c>
      <c r="F35" s="155" t="s">
        <v>632</v>
      </c>
      <c r="G35" s="157" t="s">
        <v>135</v>
      </c>
      <c r="H35" s="128" t="s">
        <v>623</v>
      </c>
      <c r="I35" s="156" t="s">
        <v>633</v>
      </c>
      <c r="J35" s="91" t="str">
        <f t="array" ref="J35">IF(EXACT(G35, ""), "", XLOOKUP(G35, Equipo[nickname], Equipo[user]))</f>
        <v>ameza</v>
      </c>
      <c r="K35" s="152" t="s">
        <v>542</v>
      </c>
      <c r="L35" s="124" t="s">
        <v>527</v>
      </c>
      <c r="M35" s="156" t="s">
        <v>528</v>
      </c>
      <c r="N35" s="89" t="s">
        <v>244</v>
      </c>
      <c r="O35" s="106" t="s">
        <v>529</v>
      </c>
      <c r="P35" s="156" t="s">
        <v>628</v>
      </c>
      <c r="Q35" s="156" t="s">
        <v>629</v>
      </c>
      <c r="R35" s="156"/>
      <c r="S35" s="156" t="s">
        <v>228</v>
      </c>
      <c r="T35" s="158">
        <v>13.0</v>
      </c>
      <c r="U35" s="116">
        <v>0.0</v>
      </c>
      <c r="V35" s="98">
        <v>0.0</v>
      </c>
      <c r="W35" s="140">
        <v>46167.0</v>
      </c>
      <c r="X35" s="140">
        <v>46174.0</v>
      </c>
      <c r="Y35" s="140">
        <v>46174.0</v>
      </c>
      <c r="Z35" s="140">
        <v>46192.0</v>
      </c>
      <c r="AA35" s="94" t="s">
        <v>630</v>
      </c>
      <c r="AB35" s="105"/>
    </row>
    <row r="36" ht="22.5" customHeight="1">
      <c r="A36" s="119" t="s">
        <v>429</v>
      </c>
      <c r="B36" s="85">
        <f t="array" ref="B36">IF(EXACT(A36, ""), "", XLOOKUP(A36, Proyectos[nombre], Proyectos[id]))</f>
        <v>1036</v>
      </c>
      <c r="C36" s="85"/>
      <c r="D36" s="154" t="s">
        <v>262</v>
      </c>
      <c r="E36" s="156" t="s">
        <v>634</v>
      </c>
      <c r="F36" s="155" t="s">
        <v>555</v>
      </c>
      <c r="G36" s="157" t="s">
        <v>135</v>
      </c>
      <c r="H36" s="128" t="s">
        <v>623</v>
      </c>
      <c r="I36" s="156" t="s">
        <v>635</v>
      </c>
      <c r="J36" s="91" t="str">
        <f t="array" ref="J36">IF(EXACT(G36, ""), "", XLOOKUP(G36, Equipo[nickname], Equipo[user]))</f>
        <v>ameza</v>
      </c>
      <c r="K36" s="152" t="s">
        <v>542</v>
      </c>
      <c r="L36" s="124" t="s">
        <v>527</v>
      </c>
      <c r="M36" s="156" t="s">
        <v>528</v>
      </c>
      <c r="N36" s="89" t="s">
        <v>269</v>
      </c>
      <c r="O36" s="106" t="s">
        <v>529</v>
      </c>
      <c r="P36" s="156" t="s">
        <v>636</v>
      </c>
      <c r="Q36" s="156" t="s">
        <v>637</v>
      </c>
      <c r="R36" s="156"/>
      <c r="S36" s="156" t="s">
        <v>228</v>
      </c>
      <c r="T36" s="158">
        <v>21.0</v>
      </c>
      <c r="U36" s="116">
        <v>0.0</v>
      </c>
      <c r="V36" s="98">
        <v>0.0</v>
      </c>
      <c r="W36" s="140">
        <v>46167.0</v>
      </c>
      <c r="X36" s="140">
        <v>46174.0</v>
      </c>
      <c r="Y36" s="140">
        <v>46174.0</v>
      </c>
      <c r="Z36" s="140">
        <v>46192.0</v>
      </c>
      <c r="AA36" s="94" t="s">
        <v>630</v>
      </c>
      <c r="AB36" s="105"/>
    </row>
    <row r="37" ht="22.5" hidden="1" customHeight="1">
      <c r="A37" s="159"/>
      <c r="B37" s="160" t="str">
        <f t="array" ref="B37">IF(EXACT(A37, ""), "", XLOOKUP(A37, Proyectos[nombre], Proyectos[folio]))</f>
        <v/>
      </c>
      <c r="C37" s="85" t="s">
        <v>226</v>
      </c>
      <c r="D37" s="86" t="s">
        <v>233</v>
      </c>
      <c r="E37" s="87" t="s">
        <v>550</v>
      </c>
      <c r="F37" s="87" t="s">
        <v>550</v>
      </c>
      <c r="G37" s="89" t="s">
        <v>638</v>
      </c>
      <c r="H37" s="122" t="s">
        <v>276</v>
      </c>
      <c r="I37" s="87" t="s">
        <v>639</v>
      </c>
      <c r="J37" s="91" t="str">
        <f t="array" ref="J37">IF(EXACT(G37, ""), "", XLOOKUP(G37, Equipo[nickname], Equipo[user]))</f>
        <v>mramirez</v>
      </c>
      <c r="K37" s="123" t="s">
        <v>535</v>
      </c>
      <c r="L37" s="121" t="s">
        <v>438</v>
      </c>
      <c r="M37" s="94" t="s">
        <v>552</v>
      </c>
      <c r="N37" s="95" t="s">
        <v>231</v>
      </c>
      <c r="O37" s="96" t="s">
        <v>529</v>
      </c>
      <c r="P37" s="87" t="s">
        <v>530</v>
      </c>
      <c r="Q37" s="87" t="s">
        <v>550</v>
      </c>
      <c r="R37" s="87"/>
      <c r="S37" s="87" t="s">
        <v>228</v>
      </c>
      <c r="T37" s="94">
        <v>100.0</v>
      </c>
      <c r="U37" s="94">
        <v>100.0</v>
      </c>
      <c r="V37" s="98">
        <v>1.0</v>
      </c>
      <c r="W37" s="99">
        <v>46141.0</v>
      </c>
      <c r="X37" s="99"/>
      <c r="Y37" s="99">
        <v>46141.0</v>
      </c>
      <c r="Z37" s="99">
        <v>46164.0</v>
      </c>
      <c r="AA37" s="99">
        <v>46164.0</v>
      </c>
      <c r="AB37" s="94" t="s">
        <v>640</v>
      </c>
    </row>
    <row r="38" ht="22.5" hidden="1" customHeight="1">
      <c r="A38" s="161"/>
      <c r="B38" s="162" t="str">
        <f t="array" ref="B38">IF(EXACT(A38, ""), "", XLOOKUP(A38, Proyectos[nombre], Proyectos[id]))</f>
        <v/>
      </c>
      <c r="C38" s="85" t="s">
        <v>226</v>
      </c>
      <c r="D38" s="86" t="s">
        <v>233</v>
      </c>
      <c r="E38" s="87" t="s">
        <v>550</v>
      </c>
      <c r="F38" s="87" t="s">
        <v>550</v>
      </c>
      <c r="G38" s="89" t="s">
        <v>559</v>
      </c>
      <c r="H38" s="108" t="s">
        <v>641</v>
      </c>
      <c r="I38" s="87" t="s">
        <v>642</v>
      </c>
      <c r="J38" s="91" t="str">
        <f t="array" ref="J38">IF(EXACT(G38, ""), "", XLOOKUP(G38, Equipo[nickname], Equipo[user]))</f>
        <v>dperez</v>
      </c>
      <c r="K38" s="143" t="s">
        <v>549</v>
      </c>
      <c r="L38" s="123" t="s">
        <v>643</v>
      </c>
      <c r="M38" s="94" t="s">
        <v>552</v>
      </c>
      <c r="N38" s="95" t="s">
        <v>231</v>
      </c>
      <c r="O38" s="96" t="s">
        <v>529</v>
      </c>
      <c r="P38" s="87" t="s">
        <v>530</v>
      </c>
      <c r="Q38" s="87" t="s">
        <v>550</v>
      </c>
      <c r="R38" s="87"/>
      <c r="S38" s="87" t="s">
        <v>228</v>
      </c>
      <c r="T38" s="94">
        <v>8.0</v>
      </c>
      <c r="U38" s="94">
        <v>8.0</v>
      </c>
      <c r="V38" s="98">
        <v>0.5</v>
      </c>
      <c r="W38" s="99">
        <v>46141.0</v>
      </c>
      <c r="X38" s="99"/>
      <c r="Y38" s="99">
        <v>46146.0</v>
      </c>
      <c r="Z38" s="99">
        <v>46150.0</v>
      </c>
      <c r="AA38" s="134">
        <v>46171.0</v>
      </c>
      <c r="AB38" s="94" t="s">
        <v>562</v>
      </c>
    </row>
    <row r="39" ht="22.5" hidden="1" customHeight="1">
      <c r="A39" s="84"/>
      <c r="B39" s="85" t="str">
        <f t="array" ref="B39">IF(EXACT(A39, ""), "", XLOOKUP(A39, Proyectos[nombre], Proyectos[id]))</f>
        <v/>
      </c>
      <c r="C39" s="85" t="s">
        <v>226</v>
      </c>
      <c r="D39" s="86" t="s">
        <v>233</v>
      </c>
      <c r="E39" s="100" t="s">
        <v>550</v>
      </c>
      <c r="F39" s="100" t="s">
        <v>550</v>
      </c>
      <c r="G39" s="89" t="s">
        <v>237</v>
      </c>
      <c r="H39" s="153" t="s">
        <v>623</v>
      </c>
      <c r="I39" s="100" t="s">
        <v>644</v>
      </c>
      <c r="J39" s="91" t="str">
        <f t="array" ref="J39">IF(EXACT(G39, ""), "", XLOOKUP(G39, Equipo[nickname], Equipo[user]))</f>
        <v>egonzalez</v>
      </c>
      <c r="K39" s="152" t="s">
        <v>542</v>
      </c>
      <c r="L39" s="139" t="s">
        <v>216</v>
      </c>
      <c r="M39" s="105" t="s">
        <v>552</v>
      </c>
      <c r="N39" s="113" t="s">
        <v>244</v>
      </c>
      <c r="O39" s="118" t="s">
        <v>529</v>
      </c>
      <c r="P39" s="100" t="s">
        <v>530</v>
      </c>
      <c r="Q39" s="100" t="s">
        <v>550</v>
      </c>
      <c r="R39" s="100"/>
      <c r="S39" s="100" t="s">
        <v>228</v>
      </c>
      <c r="T39" s="105">
        <v>8.0</v>
      </c>
      <c r="U39" s="105">
        <v>8.0</v>
      </c>
      <c r="V39" s="98">
        <v>0.5</v>
      </c>
      <c r="W39" s="107">
        <v>46141.0</v>
      </c>
      <c r="X39" s="107"/>
      <c r="Y39" s="107">
        <v>46160.0</v>
      </c>
      <c r="Z39" s="107">
        <v>46160.0</v>
      </c>
      <c r="AA39" s="105" t="s">
        <v>630</v>
      </c>
      <c r="AB39" s="105" t="s">
        <v>216</v>
      </c>
    </row>
    <row r="40" ht="22.5" hidden="1" customHeight="1">
      <c r="A40" s="84"/>
      <c r="B40" s="85" t="str">
        <f t="array" ref="B40">IF(EXACT(A40, ""), "", XLOOKUP(A40, Proyectos[nombre], Proyectos[id]))</f>
        <v/>
      </c>
      <c r="C40" s="85" t="s">
        <v>226</v>
      </c>
      <c r="D40" s="86" t="s">
        <v>233</v>
      </c>
      <c r="E40" s="100" t="s">
        <v>550</v>
      </c>
      <c r="F40" s="100" t="s">
        <v>550</v>
      </c>
      <c r="G40" s="89" t="s">
        <v>237</v>
      </c>
      <c r="H40" s="153" t="s">
        <v>623</v>
      </c>
      <c r="I40" s="100" t="s">
        <v>645</v>
      </c>
      <c r="J40" s="91" t="str">
        <f t="array" ref="J40">IF(EXACT(G40, ""), "", XLOOKUP(G40, Equipo[nickname], Equipo[user]))</f>
        <v>egonzalez</v>
      </c>
      <c r="K40" s="138" t="s">
        <v>549</v>
      </c>
      <c r="L40" s="139" t="s">
        <v>216</v>
      </c>
      <c r="M40" s="105" t="s">
        <v>552</v>
      </c>
      <c r="N40" s="114" t="s">
        <v>269</v>
      </c>
      <c r="O40" s="115" t="s">
        <v>529</v>
      </c>
      <c r="P40" s="100" t="s">
        <v>530</v>
      </c>
      <c r="Q40" s="100" t="s">
        <v>550</v>
      </c>
      <c r="R40" s="100"/>
      <c r="S40" s="100" t="s">
        <v>228</v>
      </c>
      <c r="T40" s="105">
        <v>16.0</v>
      </c>
      <c r="U40" s="105">
        <v>16.0</v>
      </c>
      <c r="V40" s="98">
        <v>0.5</v>
      </c>
      <c r="W40" s="107">
        <v>46141.0</v>
      </c>
      <c r="X40" s="107"/>
      <c r="Y40" s="107">
        <v>46156.0</v>
      </c>
      <c r="Z40" s="107">
        <v>46157.0</v>
      </c>
      <c r="AA40" s="105" t="s">
        <v>630</v>
      </c>
      <c r="AB40" s="105" t="s">
        <v>216</v>
      </c>
    </row>
    <row r="41" ht="22.5" hidden="1" customHeight="1">
      <c r="A41" s="84"/>
      <c r="B41" s="85" t="str">
        <f t="array" ref="B41">IF(EXACT(A41, ""), "", XLOOKUP(A41, Proyectos[nombre], Proyectos[id]))</f>
        <v/>
      </c>
      <c r="C41" s="85" t="s">
        <v>226</v>
      </c>
      <c r="D41" s="86" t="s">
        <v>233</v>
      </c>
      <c r="E41" s="100" t="s">
        <v>550</v>
      </c>
      <c r="F41" s="100" t="s">
        <v>550</v>
      </c>
      <c r="G41" s="89" t="s">
        <v>237</v>
      </c>
      <c r="H41" s="139" t="s">
        <v>641</v>
      </c>
      <c r="I41" s="100" t="s">
        <v>646</v>
      </c>
      <c r="J41" s="91" t="str">
        <f t="array" ref="J41">IF(EXACT(G41, ""), "", XLOOKUP(G41, Equipo[nickname], Equipo[user]))</f>
        <v>egonzalez</v>
      </c>
      <c r="K41" s="125" t="s">
        <v>526</v>
      </c>
      <c r="L41" s="139" t="s">
        <v>216</v>
      </c>
      <c r="M41" s="105" t="s">
        <v>552</v>
      </c>
      <c r="N41" s="139" t="s">
        <v>252</v>
      </c>
      <c r="O41" s="119" t="s">
        <v>529</v>
      </c>
      <c r="P41" s="87" t="s">
        <v>530</v>
      </c>
      <c r="Q41" s="100" t="s">
        <v>550</v>
      </c>
      <c r="R41" s="100"/>
      <c r="S41" s="100" t="s">
        <v>228</v>
      </c>
      <c r="T41" s="105">
        <v>8.0</v>
      </c>
      <c r="U41" s="105">
        <v>8.0</v>
      </c>
      <c r="V41" s="98">
        <v>0.5</v>
      </c>
      <c r="W41" s="107">
        <v>46141.0</v>
      </c>
      <c r="X41" s="107"/>
      <c r="Y41" s="107">
        <v>46146.0</v>
      </c>
      <c r="Z41" s="107">
        <v>46157.0</v>
      </c>
      <c r="AA41" s="105" t="s">
        <v>630</v>
      </c>
      <c r="AB41" s="105" t="s">
        <v>216</v>
      </c>
    </row>
    <row r="42" ht="22.5" hidden="1" customHeight="1">
      <c r="A42" s="84"/>
      <c r="B42" s="85" t="str">
        <f t="array" ref="B42">IF(EXACT(A42, ""), "", XLOOKUP(A42, Proyectos[nombre], Proyectos[id]))</f>
        <v/>
      </c>
      <c r="C42" s="85" t="s">
        <v>226</v>
      </c>
      <c r="D42" s="86" t="s">
        <v>233</v>
      </c>
      <c r="E42" s="87" t="s">
        <v>550</v>
      </c>
      <c r="F42" s="87" t="s">
        <v>550</v>
      </c>
      <c r="G42" s="89" t="s">
        <v>237</v>
      </c>
      <c r="H42" s="108" t="s">
        <v>641</v>
      </c>
      <c r="I42" s="87" t="s">
        <v>647</v>
      </c>
      <c r="J42" s="91" t="str">
        <f t="array" ref="J42">IF(EXACT(G42, ""), "", XLOOKUP(G42, Equipo[nickname], Equipo[user]))</f>
        <v>egonzalez</v>
      </c>
      <c r="K42" s="163" t="s">
        <v>549</v>
      </c>
      <c r="L42" s="145" t="s">
        <v>216</v>
      </c>
      <c r="M42" s="94" t="s">
        <v>552</v>
      </c>
      <c r="N42" s="95" t="s">
        <v>231</v>
      </c>
      <c r="O42" s="96" t="s">
        <v>538</v>
      </c>
      <c r="P42" s="87" t="s">
        <v>530</v>
      </c>
      <c r="Q42" s="87" t="s">
        <v>550</v>
      </c>
      <c r="R42" s="87"/>
      <c r="S42" s="87" t="s">
        <v>228</v>
      </c>
      <c r="T42" s="94">
        <v>8.0</v>
      </c>
      <c r="U42" s="94">
        <v>8.0</v>
      </c>
      <c r="V42" s="98">
        <v>0.5</v>
      </c>
      <c r="W42" s="99">
        <v>46141.0</v>
      </c>
      <c r="X42" s="99"/>
      <c r="Y42" s="99">
        <v>46157.0</v>
      </c>
      <c r="Z42" s="99">
        <v>46160.0</v>
      </c>
      <c r="AA42" s="94" t="s">
        <v>630</v>
      </c>
      <c r="AB42" s="94" t="s">
        <v>216</v>
      </c>
    </row>
    <row r="43" ht="22.5" hidden="1" customHeight="1">
      <c r="A43" s="84"/>
      <c r="B43" s="85" t="str">
        <f t="array" ref="B43">IF(EXACT(A43, ""), "", XLOOKUP(A43, Proyectos[nombre], Proyectos[id]))</f>
        <v/>
      </c>
      <c r="C43" s="85" t="s">
        <v>226</v>
      </c>
      <c r="D43" s="86" t="s">
        <v>233</v>
      </c>
      <c r="E43" s="87" t="s">
        <v>550</v>
      </c>
      <c r="F43" s="87" t="s">
        <v>550</v>
      </c>
      <c r="G43" s="89" t="s">
        <v>151</v>
      </c>
      <c r="H43" s="121" t="s">
        <v>623</v>
      </c>
      <c r="I43" s="87" t="s">
        <v>648</v>
      </c>
      <c r="J43" s="91" t="str">
        <f t="array" ref="J43">IF(EXACT(G43, ""), "", XLOOKUP(G43, Equipo[nickname], Equipo[user]))</f>
        <v>hloredo</v>
      </c>
      <c r="K43" s="164" t="s">
        <v>542</v>
      </c>
      <c r="L43" s="143" t="s">
        <v>617</v>
      </c>
      <c r="M43" s="94" t="s">
        <v>552</v>
      </c>
      <c r="N43" s="95" t="s">
        <v>231</v>
      </c>
      <c r="O43" s="96" t="s">
        <v>558</v>
      </c>
      <c r="P43" s="87" t="s">
        <v>530</v>
      </c>
      <c r="Q43" s="87" t="s">
        <v>550</v>
      </c>
      <c r="R43" s="87"/>
      <c r="S43" s="87" t="s">
        <v>228</v>
      </c>
      <c r="T43" s="94">
        <v>1.0</v>
      </c>
      <c r="U43" s="94">
        <v>1.0</v>
      </c>
      <c r="V43" s="98">
        <v>0.5</v>
      </c>
      <c r="W43" s="99">
        <v>46141.0</v>
      </c>
      <c r="X43" s="99"/>
      <c r="Y43" s="99">
        <v>46157.0</v>
      </c>
      <c r="Z43" s="99">
        <v>46157.0</v>
      </c>
      <c r="AA43" s="94" t="s">
        <v>630</v>
      </c>
      <c r="AB43" s="94" t="s">
        <v>208</v>
      </c>
    </row>
    <row r="44" ht="22.5" hidden="1" customHeight="1">
      <c r="A44" s="84"/>
      <c r="B44" s="85" t="str">
        <f t="array" ref="B44">IF(EXACT(A44, ""), "", XLOOKUP(A44, Proyectos[nombre], Proyectos[id]))</f>
        <v/>
      </c>
      <c r="C44" s="85" t="s">
        <v>226</v>
      </c>
      <c r="D44" s="86" t="s">
        <v>233</v>
      </c>
      <c r="E44" s="100" t="s">
        <v>550</v>
      </c>
      <c r="F44" s="100" t="s">
        <v>550</v>
      </c>
      <c r="G44" s="89" t="s">
        <v>151</v>
      </c>
      <c r="H44" s="128" t="s">
        <v>641</v>
      </c>
      <c r="I44" s="100" t="s">
        <v>649</v>
      </c>
      <c r="J44" s="91" t="str">
        <f t="array" ref="J44">IF(EXACT(G44, ""), "", XLOOKUP(G44, Equipo[nickname], Equipo[user]))</f>
        <v>hloredo</v>
      </c>
      <c r="K44" s="113" t="s">
        <v>526</v>
      </c>
      <c r="L44" s="114" t="s">
        <v>561</v>
      </c>
      <c r="M44" s="105" t="s">
        <v>552</v>
      </c>
      <c r="N44" s="113" t="s">
        <v>244</v>
      </c>
      <c r="O44" s="118" t="s">
        <v>558</v>
      </c>
      <c r="P44" s="100" t="s">
        <v>530</v>
      </c>
      <c r="Q44" s="100" t="s">
        <v>550</v>
      </c>
      <c r="R44" s="100"/>
      <c r="S44" s="100" t="s">
        <v>228</v>
      </c>
      <c r="T44" s="105">
        <v>8.0</v>
      </c>
      <c r="U44" s="105">
        <v>8.0</v>
      </c>
      <c r="V44" s="98">
        <v>0.5</v>
      </c>
      <c r="W44" s="107">
        <v>46141.0</v>
      </c>
      <c r="X44" s="107"/>
      <c r="Y44" s="107">
        <v>46155.0</v>
      </c>
      <c r="Z44" s="107">
        <v>46155.0</v>
      </c>
      <c r="AA44" s="105" t="s">
        <v>630</v>
      </c>
      <c r="AB44" s="105" t="s">
        <v>208</v>
      </c>
    </row>
    <row r="45" ht="22.5" hidden="1" customHeight="1">
      <c r="A45" s="84"/>
      <c r="B45" s="85" t="str">
        <f t="array" ref="B45">IF(EXACT(A45, ""), "", XLOOKUP(A45, Proyectos[nombre], Proyectos[id]))</f>
        <v/>
      </c>
      <c r="C45" s="85" t="s">
        <v>226</v>
      </c>
      <c r="D45" s="86" t="s">
        <v>233</v>
      </c>
      <c r="E45" s="87" t="s">
        <v>550</v>
      </c>
      <c r="F45" s="87" t="s">
        <v>550</v>
      </c>
      <c r="G45" s="89" t="s">
        <v>151</v>
      </c>
      <c r="H45" s="121" t="s">
        <v>623</v>
      </c>
      <c r="I45" s="87" t="s">
        <v>650</v>
      </c>
      <c r="J45" s="91" t="str">
        <f t="array" ref="J45">IF(EXACT(G45, ""), "", XLOOKUP(G45, Equipo[nickname], Equipo[user]))</f>
        <v>hloredo</v>
      </c>
      <c r="K45" s="165" t="s">
        <v>651</v>
      </c>
      <c r="L45" s="123" t="s">
        <v>643</v>
      </c>
      <c r="M45" s="94" t="s">
        <v>552</v>
      </c>
      <c r="N45" s="132" t="s">
        <v>269</v>
      </c>
      <c r="O45" s="133" t="s">
        <v>529</v>
      </c>
      <c r="P45" s="87" t="s">
        <v>530</v>
      </c>
      <c r="Q45" s="87" t="s">
        <v>550</v>
      </c>
      <c r="R45" s="87"/>
      <c r="S45" s="87" t="s">
        <v>228</v>
      </c>
      <c r="T45" s="94">
        <v>2.0</v>
      </c>
      <c r="U45" s="94">
        <v>2.0</v>
      </c>
      <c r="V45" s="98">
        <v>0.5</v>
      </c>
      <c r="W45" s="99">
        <v>46141.0</v>
      </c>
      <c r="X45" s="99"/>
      <c r="Y45" s="99">
        <v>46153.0</v>
      </c>
      <c r="Z45" s="99">
        <v>46155.0</v>
      </c>
      <c r="AA45" s="94" t="s">
        <v>630</v>
      </c>
      <c r="AB45" s="94" t="s">
        <v>208</v>
      </c>
    </row>
    <row r="46" ht="22.5" hidden="1" customHeight="1">
      <c r="A46" s="84"/>
      <c r="B46" s="85" t="str">
        <f t="array" ref="B46">IF(EXACT(A46, ""), "", XLOOKUP(A46, Proyectos[nombre], Proyectos[id]))</f>
        <v/>
      </c>
      <c r="C46" s="85" t="s">
        <v>226</v>
      </c>
      <c r="D46" s="86" t="s">
        <v>233</v>
      </c>
      <c r="E46" s="100" t="s">
        <v>550</v>
      </c>
      <c r="F46" s="100" t="s">
        <v>550</v>
      </c>
      <c r="G46" s="89" t="s">
        <v>151</v>
      </c>
      <c r="H46" s="128" t="s">
        <v>652</v>
      </c>
      <c r="I46" s="100" t="s">
        <v>653</v>
      </c>
      <c r="J46" s="91" t="str">
        <f t="array" ref="J46">IF(EXACT(G46, ""), "", XLOOKUP(G46, Equipo[nickname], Equipo[user]))</f>
        <v>hloredo</v>
      </c>
      <c r="K46" s="166" t="s">
        <v>651</v>
      </c>
      <c r="L46" s="126" t="s">
        <v>643</v>
      </c>
      <c r="M46" s="105" t="s">
        <v>552</v>
      </c>
      <c r="N46" s="114" t="s">
        <v>269</v>
      </c>
      <c r="O46" s="115" t="s">
        <v>538</v>
      </c>
      <c r="P46" s="100" t="s">
        <v>530</v>
      </c>
      <c r="Q46" s="100" t="s">
        <v>550</v>
      </c>
      <c r="R46" s="100"/>
      <c r="S46" s="100" t="s">
        <v>228</v>
      </c>
      <c r="T46" s="105">
        <v>2.0</v>
      </c>
      <c r="U46" s="105">
        <v>2.0</v>
      </c>
      <c r="V46" s="98">
        <v>0.5</v>
      </c>
      <c r="W46" s="107">
        <v>46141.0</v>
      </c>
      <c r="X46" s="107"/>
      <c r="Y46" s="107">
        <v>46146.0</v>
      </c>
      <c r="Z46" s="107">
        <v>46147.0</v>
      </c>
      <c r="AA46" s="105" t="s">
        <v>630</v>
      </c>
      <c r="AB46" s="105" t="s">
        <v>208</v>
      </c>
    </row>
    <row r="47" ht="22.5" hidden="1" customHeight="1">
      <c r="A47" s="84"/>
      <c r="B47" s="85" t="str">
        <f t="array" ref="B47">IF(EXACT(A47, ""), "", XLOOKUP(A47, Proyectos[nombre], Proyectos[id]))</f>
        <v/>
      </c>
      <c r="C47" s="85" t="s">
        <v>226</v>
      </c>
      <c r="D47" s="86" t="s">
        <v>233</v>
      </c>
      <c r="E47" s="87" t="s">
        <v>550</v>
      </c>
      <c r="F47" s="87" t="s">
        <v>550</v>
      </c>
      <c r="G47" s="89" t="s">
        <v>151</v>
      </c>
      <c r="H47" s="121" t="s">
        <v>623</v>
      </c>
      <c r="I47" s="87" t="s">
        <v>654</v>
      </c>
      <c r="J47" s="91" t="str">
        <f t="array" ref="J47">IF(EXACT(G47, ""), "", XLOOKUP(G47, Equipo[nickname], Equipo[user]))</f>
        <v>hloredo</v>
      </c>
      <c r="K47" s="120" t="s">
        <v>542</v>
      </c>
      <c r="L47" s="121" t="s">
        <v>438</v>
      </c>
      <c r="M47" s="94" t="s">
        <v>552</v>
      </c>
      <c r="N47" s="95" t="s">
        <v>231</v>
      </c>
      <c r="O47" s="96" t="s">
        <v>571</v>
      </c>
      <c r="P47" s="87" t="s">
        <v>530</v>
      </c>
      <c r="Q47" s="87" t="s">
        <v>550</v>
      </c>
      <c r="R47" s="87"/>
      <c r="S47" s="87" t="s">
        <v>228</v>
      </c>
      <c r="T47" s="94">
        <v>8.0</v>
      </c>
      <c r="U47" s="94">
        <v>8.0</v>
      </c>
      <c r="V47" s="98">
        <v>0.5</v>
      </c>
      <c r="W47" s="99">
        <v>46141.0</v>
      </c>
      <c r="X47" s="99"/>
      <c r="Y47" s="99">
        <v>46163.0</v>
      </c>
      <c r="Z47" s="99">
        <v>46164.0</v>
      </c>
      <c r="AA47" s="94" t="s">
        <v>630</v>
      </c>
      <c r="AB47" s="94" t="s">
        <v>208</v>
      </c>
    </row>
    <row r="48" ht="22.5" hidden="1" customHeight="1">
      <c r="A48" s="84"/>
      <c r="B48" s="85" t="str">
        <f t="array" ref="B48">IF(EXACT(A48, ""), "", XLOOKUP(A48, Proyectos[nombre], Proyectos[folio]))</f>
        <v/>
      </c>
      <c r="C48" s="85" t="s">
        <v>226</v>
      </c>
      <c r="D48" s="86" t="s">
        <v>233</v>
      </c>
      <c r="E48" s="87" t="s">
        <v>655</v>
      </c>
      <c r="F48" s="88" t="s">
        <v>656</v>
      </c>
      <c r="G48" s="89" t="s">
        <v>236</v>
      </c>
      <c r="H48" s="135" t="s">
        <v>276</v>
      </c>
      <c r="I48" s="87" t="s">
        <v>657</v>
      </c>
      <c r="J48" s="91" t="str">
        <f t="array" ref="J48">IF(EXACT(G48, ""), "", XLOOKUP(G48, Equipo[nickname], Equipo[user]))</f>
        <v>gguadarrama</v>
      </c>
      <c r="K48" s="136" t="s">
        <v>535</v>
      </c>
      <c r="L48" s="95" t="s">
        <v>536</v>
      </c>
      <c r="M48" s="94" t="s">
        <v>537</v>
      </c>
      <c r="N48" s="95" t="s">
        <v>231</v>
      </c>
      <c r="O48" s="96" t="s">
        <v>529</v>
      </c>
      <c r="P48" s="87" t="s">
        <v>530</v>
      </c>
      <c r="Q48" s="87"/>
      <c r="R48" s="87"/>
      <c r="S48" s="87" t="s">
        <v>228</v>
      </c>
      <c r="T48" s="94">
        <v>8.0</v>
      </c>
      <c r="U48" s="94"/>
      <c r="V48" s="98">
        <v>1.0</v>
      </c>
      <c r="W48" s="99">
        <v>46141.0</v>
      </c>
      <c r="X48" s="99"/>
      <c r="Y48" s="99">
        <v>46141.0</v>
      </c>
      <c r="Z48" s="99">
        <v>46141.0</v>
      </c>
      <c r="AA48" s="99">
        <v>46141.0</v>
      </c>
      <c r="AB48" s="94" t="s">
        <v>575</v>
      </c>
    </row>
    <row r="49" ht="22.5" customHeight="1">
      <c r="A49" s="84"/>
      <c r="B49" s="85" t="str">
        <f t="array" ref="B49">IF(EXACT(A49, ""), "", XLOOKUP(A49, Proyectos[nombre], Proyectos[id]))</f>
        <v/>
      </c>
      <c r="C49" s="85"/>
      <c r="D49" s="154" t="s">
        <v>262</v>
      </c>
      <c r="E49" s="100"/>
      <c r="F49" s="155" t="s">
        <v>658</v>
      </c>
      <c r="G49" s="89" t="s">
        <v>283</v>
      </c>
      <c r="H49" s="128" t="s">
        <v>641</v>
      </c>
      <c r="I49" s="156" t="s">
        <v>659</v>
      </c>
      <c r="J49" s="91" t="str">
        <f t="array" ref="J49">IF(EXACT(G49, ""), "", XLOOKUP(G49, Equipo[nickname], Equipo[user]))</f>
        <v>etorres</v>
      </c>
      <c r="K49" s="152"/>
      <c r="L49" s="139"/>
      <c r="M49" s="105"/>
      <c r="N49" s="104"/>
      <c r="O49" s="106" t="s">
        <v>571</v>
      </c>
      <c r="P49" s="156" t="s">
        <v>530</v>
      </c>
      <c r="Q49" s="100"/>
      <c r="R49" s="100"/>
      <c r="S49" s="100"/>
      <c r="T49" s="116">
        <v>8.0</v>
      </c>
      <c r="U49" s="116">
        <v>0.0</v>
      </c>
      <c r="V49" s="98">
        <v>0.0</v>
      </c>
      <c r="W49" s="140">
        <v>46167.0</v>
      </c>
      <c r="X49" s="140">
        <v>46174.0</v>
      </c>
      <c r="Y49" s="140">
        <v>46174.0</v>
      </c>
      <c r="Z49" s="140">
        <v>46174.0</v>
      </c>
      <c r="AA49" s="105"/>
      <c r="AB49" s="105"/>
    </row>
    <row r="50" ht="22.5" hidden="1" customHeight="1">
      <c r="A50" s="84"/>
      <c r="B50" s="85" t="str">
        <f t="array" ref="B50">IF(EXACT(A50, ""), "", XLOOKUP(A50, Proyectos[nombre], Proyectos[folio]))</f>
        <v/>
      </c>
      <c r="C50" s="85" t="s">
        <v>226</v>
      </c>
      <c r="D50" s="86" t="s">
        <v>233</v>
      </c>
      <c r="E50" s="87" t="s">
        <v>550</v>
      </c>
      <c r="F50" s="87" t="s">
        <v>550</v>
      </c>
      <c r="G50" s="89" t="s">
        <v>236</v>
      </c>
      <c r="H50" s="108" t="s">
        <v>276</v>
      </c>
      <c r="I50" s="87" t="s">
        <v>551</v>
      </c>
      <c r="J50" s="91" t="str">
        <f t="array" ref="J50">IF(EXACT(G50, ""), "", XLOOKUP(G50, Equipo[nickname], Equipo[user]))</f>
        <v>gguadarrama</v>
      </c>
      <c r="K50" s="120" t="s">
        <v>542</v>
      </c>
      <c r="L50" s="121" t="s">
        <v>438</v>
      </c>
      <c r="M50" s="94" t="s">
        <v>552</v>
      </c>
      <c r="N50" s="95" t="s">
        <v>231</v>
      </c>
      <c r="O50" s="96" t="s">
        <v>571</v>
      </c>
      <c r="P50" s="87" t="s">
        <v>530</v>
      </c>
      <c r="Q50" s="87"/>
      <c r="R50" s="87"/>
      <c r="S50" s="87" t="s">
        <v>228</v>
      </c>
      <c r="T50" s="94">
        <v>8.0</v>
      </c>
      <c r="U50" s="94">
        <v>8.0</v>
      </c>
      <c r="V50" s="98">
        <v>1.0</v>
      </c>
      <c r="W50" s="99">
        <v>46141.0</v>
      </c>
      <c r="X50" s="99"/>
      <c r="Y50" s="99">
        <v>46163.0</v>
      </c>
      <c r="Z50" s="99">
        <v>46164.0</v>
      </c>
      <c r="AA50" s="99">
        <v>46164.0</v>
      </c>
      <c r="AB50" s="94" t="s">
        <v>575</v>
      </c>
    </row>
    <row r="51" ht="22.5" customHeight="1">
      <c r="A51" s="119" t="s">
        <v>251</v>
      </c>
      <c r="B51" s="85">
        <f t="array" ref="B51">IF(EXACT(A51, ""), "", XLOOKUP(A51, Proyectos[nombre], Proyectos[id]))</f>
        <v>1004</v>
      </c>
      <c r="C51" s="85"/>
      <c r="D51" s="154" t="s">
        <v>262</v>
      </c>
      <c r="E51" s="156" t="s">
        <v>660</v>
      </c>
      <c r="F51" s="155" t="s">
        <v>661</v>
      </c>
      <c r="G51" s="157" t="s">
        <v>283</v>
      </c>
      <c r="H51" s="128" t="s">
        <v>623</v>
      </c>
      <c r="I51" s="156" t="s">
        <v>662</v>
      </c>
      <c r="J51" s="91" t="str">
        <f t="array" ref="J51">IF(EXACT(G51, ""), "", XLOOKUP(G51, Equipo[nickname], Equipo[user]))</f>
        <v>etorres</v>
      </c>
      <c r="K51" s="152" t="s">
        <v>542</v>
      </c>
      <c r="L51" s="124" t="s">
        <v>527</v>
      </c>
      <c r="M51" s="156" t="s">
        <v>528</v>
      </c>
      <c r="N51" s="89" t="s">
        <v>244</v>
      </c>
      <c r="O51" s="106" t="s">
        <v>571</v>
      </c>
      <c r="P51" s="156" t="s">
        <v>566</v>
      </c>
      <c r="Q51" s="156" t="s">
        <v>663</v>
      </c>
      <c r="R51" s="156"/>
      <c r="S51" s="156" t="s">
        <v>228</v>
      </c>
      <c r="T51" s="158">
        <v>1.0</v>
      </c>
      <c r="U51" s="116">
        <v>0.0</v>
      </c>
      <c r="V51" s="98">
        <v>0.0</v>
      </c>
      <c r="W51" s="140">
        <v>46167.0</v>
      </c>
      <c r="X51" s="140">
        <v>46174.0</v>
      </c>
      <c r="Y51" s="140">
        <v>46174.0</v>
      </c>
      <c r="Z51" s="140">
        <v>46192.0</v>
      </c>
      <c r="AA51" s="94" t="s">
        <v>630</v>
      </c>
      <c r="AB51" s="105"/>
    </row>
    <row r="52" ht="22.5" customHeight="1">
      <c r="A52" s="119" t="s">
        <v>495</v>
      </c>
      <c r="B52" s="85">
        <f t="array" ref="B52">IF(EXACT(A52, ""), "", XLOOKUP(A52, Proyectos[nombre], Proyectos[id]))</f>
        <v>1046</v>
      </c>
      <c r="C52" s="85"/>
      <c r="D52" s="154" t="s">
        <v>262</v>
      </c>
      <c r="E52" s="156" t="s">
        <v>664</v>
      </c>
      <c r="F52" s="155" t="s">
        <v>665</v>
      </c>
      <c r="G52" s="157" t="s">
        <v>283</v>
      </c>
      <c r="H52" s="128" t="s">
        <v>623</v>
      </c>
      <c r="I52" s="156" t="s">
        <v>666</v>
      </c>
      <c r="J52" s="91" t="str">
        <f t="array" ref="J52">IF(EXACT(G52, ""), "", XLOOKUP(G52, Equipo[nickname], Equipo[user]))</f>
        <v>etorres</v>
      </c>
      <c r="K52" s="152" t="s">
        <v>542</v>
      </c>
      <c r="L52" s="124" t="s">
        <v>527</v>
      </c>
      <c r="M52" s="156" t="s">
        <v>528</v>
      </c>
      <c r="N52" s="89" t="s">
        <v>269</v>
      </c>
      <c r="O52" s="106" t="s">
        <v>529</v>
      </c>
      <c r="P52" s="156" t="s">
        <v>667</v>
      </c>
      <c r="Q52" s="156" t="s">
        <v>668</v>
      </c>
      <c r="R52" s="156"/>
      <c r="S52" s="156" t="s">
        <v>228</v>
      </c>
      <c r="T52" s="158">
        <v>28.0</v>
      </c>
      <c r="U52" s="116">
        <v>0.0</v>
      </c>
      <c r="V52" s="98">
        <v>0.0</v>
      </c>
      <c r="W52" s="140">
        <v>46167.0</v>
      </c>
      <c r="X52" s="140">
        <v>46174.0</v>
      </c>
      <c r="Y52" s="140">
        <v>46174.0</v>
      </c>
      <c r="Z52" s="140">
        <v>46192.0</v>
      </c>
      <c r="AA52" s="94" t="s">
        <v>630</v>
      </c>
      <c r="AB52" s="105"/>
    </row>
    <row r="53" ht="22.5" hidden="1" customHeight="1">
      <c r="A53" s="84"/>
      <c r="B53" s="85" t="str">
        <f t="array" ref="B53">IF(EXACT(A53, ""), "", XLOOKUP(A53, Proyectos[nombre], Proyectos[id]))</f>
        <v/>
      </c>
      <c r="C53" s="85" t="s">
        <v>226</v>
      </c>
      <c r="D53" s="86" t="s">
        <v>233</v>
      </c>
      <c r="E53" s="100" t="s">
        <v>550</v>
      </c>
      <c r="F53" s="100" t="s">
        <v>550</v>
      </c>
      <c r="G53" s="89" t="s">
        <v>235</v>
      </c>
      <c r="H53" s="128" t="s">
        <v>641</v>
      </c>
      <c r="I53" s="100" t="s">
        <v>669</v>
      </c>
      <c r="J53" s="91" t="str">
        <f t="array" ref="J53">IF(EXACT(G53, ""), "", XLOOKUP(G53, Equipo[nickname], Equipo[user]))</f>
        <v>lbernal</v>
      </c>
      <c r="K53" s="167" t="s">
        <v>549</v>
      </c>
      <c r="L53" s="146" t="s">
        <v>617</v>
      </c>
      <c r="M53" s="105" t="s">
        <v>552</v>
      </c>
      <c r="N53" s="114" t="s">
        <v>269</v>
      </c>
      <c r="O53" s="115" t="s">
        <v>529</v>
      </c>
      <c r="P53" s="100" t="s">
        <v>530</v>
      </c>
      <c r="Q53" s="100" t="s">
        <v>550</v>
      </c>
      <c r="R53" s="100"/>
      <c r="S53" s="100" t="s">
        <v>228</v>
      </c>
      <c r="T53" s="105">
        <v>3.0</v>
      </c>
      <c r="U53" s="105">
        <v>3.0</v>
      </c>
      <c r="V53" s="98">
        <v>0.5</v>
      </c>
      <c r="W53" s="107">
        <v>46141.0</v>
      </c>
      <c r="X53" s="107"/>
      <c r="Y53" s="107">
        <v>46156.0</v>
      </c>
      <c r="Z53" s="107">
        <v>46156.0</v>
      </c>
      <c r="AA53" s="105" t="s">
        <v>630</v>
      </c>
      <c r="AB53" s="105" t="s">
        <v>670</v>
      </c>
    </row>
    <row r="54" ht="22.5" hidden="1" customHeight="1">
      <c r="A54" s="84"/>
      <c r="B54" s="85" t="str">
        <f t="array" ref="B54">IF(EXACT(A54, ""), "", XLOOKUP(A54, Proyectos[nombre], Proyectos[id]))</f>
        <v/>
      </c>
      <c r="C54" s="85" t="s">
        <v>226</v>
      </c>
      <c r="D54" s="86" t="s">
        <v>233</v>
      </c>
      <c r="E54" s="87" t="s">
        <v>550</v>
      </c>
      <c r="F54" s="87" t="s">
        <v>550</v>
      </c>
      <c r="G54" s="89" t="s">
        <v>235</v>
      </c>
      <c r="H54" s="108" t="s">
        <v>641</v>
      </c>
      <c r="I54" s="87" t="s">
        <v>671</v>
      </c>
      <c r="J54" s="91" t="str">
        <f t="array" ref="J54">IF(EXACT(G54, ""), "", XLOOKUP(G54, Equipo[nickname], Equipo[user]))</f>
        <v>lbernal</v>
      </c>
      <c r="K54" s="131" t="s">
        <v>526</v>
      </c>
      <c r="L54" s="123" t="s">
        <v>643</v>
      </c>
      <c r="M54" s="94" t="s">
        <v>552</v>
      </c>
      <c r="N54" s="95" t="s">
        <v>231</v>
      </c>
      <c r="O54" s="96" t="s">
        <v>558</v>
      </c>
      <c r="P54" s="87" t="s">
        <v>530</v>
      </c>
      <c r="Q54" s="87" t="s">
        <v>550</v>
      </c>
      <c r="R54" s="87"/>
      <c r="S54" s="87" t="s">
        <v>228</v>
      </c>
      <c r="T54" s="94">
        <v>1.0</v>
      </c>
      <c r="U54" s="94">
        <v>1.0</v>
      </c>
      <c r="V54" s="98">
        <v>0.5</v>
      </c>
      <c r="W54" s="99">
        <v>46141.0</v>
      </c>
      <c r="X54" s="99"/>
      <c r="Y54" s="99">
        <v>46162.0</v>
      </c>
      <c r="Z54" s="99">
        <v>46162.0</v>
      </c>
      <c r="AA54" s="94" t="s">
        <v>630</v>
      </c>
      <c r="AB54" s="94" t="s">
        <v>670</v>
      </c>
    </row>
    <row r="55" ht="22.5" hidden="1" customHeight="1">
      <c r="A55" s="84"/>
      <c r="B55" s="85" t="str">
        <f t="array" ref="B55">IF(EXACT(A55, ""), "", XLOOKUP(A55, Proyectos[nombre], Proyectos[id]))</f>
        <v/>
      </c>
      <c r="C55" s="85" t="s">
        <v>226</v>
      </c>
      <c r="D55" s="86" t="s">
        <v>233</v>
      </c>
      <c r="E55" s="100" t="s">
        <v>550</v>
      </c>
      <c r="F55" s="100" t="s">
        <v>550</v>
      </c>
      <c r="G55" s="89" t="s">
        <v>235</v>
      </c>
      <c r="H55" s="153" t="s">
        <v>623</v>
      </c>
      <c r="I55" s="100" t="s">
        <v>672</v>
      </c>
      <c r="J55" s="91" t="str">
        <f t="array" ref="J55">IF(EXACT(G55, ""), "", XLOOKUP(G55, Equipo[nickname], Equipo[user]))</f>
        <v>lbernal</v>
      </c>
      <c r="K55" s="138" t="s">
        <v>549</v>
      </c>
      <c r="L55" s="139" t="s">
        <v>216</v>
      </c>
      <c r="M55" s="105" t="s">
        <v>552</v>
      </c>
      <c r="N55" s="104" t="s">
        <v>231</v>
      </c>
      <c r="O55" s="106" t="s">
        <v>571</v>
      </c>
      <c r="P55" s="100" t="s">
        <v>530</v>
      </c>
      <c r="Q55" s="100" t="s">
        <v>550</v>
      </c>
      <c r="R55" s="100"/>
      <c r="S55" s="100" t="s">
        <v>228</v>
      </c>
      <c r="T55" s="105">
        <v>3.0</v>
      </c>
      <c r="U55" s="105">
        <v>3.0</v>
      </c>
      <c r="V55" s="98">
        <v>0.5</v>
      </c>
      <c r="W55" s="107">
        <v>46141.0</v>
      </c>
      <c r="X55" s="107"/>
      <c r="Y55" s="107">
        <v>46161.0</v>
      </c>
      <c r="Z55" s="107">
        <v>46161.0</v>
      </c>
      <c r="AA55" s="105" t="s">
        <v>630</v>
      </c>
      <c r="AB55" s="105" t="s">
        <v>670</v>
      </c>
    </row>
    <row r="56" ht="22.5" customHeight="1">
      <c r="A56" s="84"/>
      <c r="B56" s="85" t="str">
        <f t="array" ref="B56">IF(EXACT(A56, ""), "", XLOOKUP(A56, Proyectos[nombre], Proyectos[id]))</f>
        <v/>
      </c>
      <c r="C56" s="85"/>
      <c r="D56" s="154" t="s">
        <v>262</v>
      </c>
      <c r="E56" s="100"/>
      <c r="F56" s="155" t="s">
        <v>673</v>
      </c>
      <c r="G56" s="89" t="s">
        <v>355</v>
      </c>
      <c r="H56" s="128" t="s">
        <v>623</v>
      </c>
      <c r="I56" s="156" t="s">
        <v>674</v>
      </c>
      <c r="J56" s="91" t="str">
        <f t="array" ref="J56">IF(EXACT(G56, ""), "", XLOOKUP(G56, Equipo[nickname], Equipo[user]))</f>
        <v>econtreras</v>
      </c>
      <c r="K56" s="152"/>
      <c r="L56" s="139"/>
      <c r="M56" s="105"/>
      <c r="N56" s="104"/>
      <c r="O56" s="106" t="s">
        <v>571</v>
      </c>
      <c r="P56" s="156" t="s">
        <v>530</v>
      </c>
      <c r="Q56" s="100"/>
      <c r="R56" s="100"/>
      <c r="S56" s="100"/>
      <c r="T56" s="116">
        <v>8.0</v>
      </c>
      <c r="U56" s="116">
        <v>0.0</v>
      </c>
      <c r="V56" s="98">
        <v>0.0</v>
      </c>
      <c r="W56" s="140">
        <v>46167.0</v>
      </c>
      <c r="X56" s="140">
        <v>46174.0</v>
      </c>
      <c r="Y56" s="140">
        <v>46174.0</v>
      </c>
      <c r="Z56" s="140">
        <v>46174.0</v>
      </c>
      <c r="AA56" s="94" t="s">
        <v>630</v>
      </c>
      <c r="AB56" s="105"/>
    </row>
    <row r="57" ht="22.5" hidden="1" customHeight="1">
      <c r="A57" s="84"/>
      <c r="B57" s="85" t="str">
        <f t="array" ref="B57">IF(EXACT(A57, ""), "", XLOOKUP(A57, Proyectos[nombre], Proyectos[id]))</f>
        <v/>
      </c>
      <c r="C57" s="85" t="s">
        <v>226</v>
      </c>
      <c r="D57" s="154" t="s">
        <v>262</v>
      </c>
      <c r="E57" s="100" t="s">
        <v>550</v>
      </c>
      <c r="F57" s="100" t="s">
        <v>550</v>
      </c>
      <c r="G57" s="106" t="s">
        <v>559</v>
      </c>
      <c r="H57" s="168" t="s">
        <v>623</v>
      </c>
      <c r="I57" s="100" t="s">
        <v>675</v>
      </c>
      <c r="J57" s="91" t="str">
        <f t="array" ref="J57">IF(EXACT(G57, ""), "", XLOOKUP(G57, Equipo[nickname], Equipo[user]))</f>
        <v>dperez</v>
      </c>
      <c r="K57" s="152" t="s">
        <v>542</v>
      </c>
      <c r="L57" s="114" t="s">
        <v>561</v>
      </c>
      <c r="M57" s="105" t="s">
        <v>552</v>
      </c>
      <c r="N57" s="104" t="s">
        <v>231</v>
      </c>
      <c r="O57" s="169"/>
      <c r="P57" s="100" t="s">
        <v>530</v>
      </c>
      <c r="Q57" s="100" t="s">
        <v>550</v>
      </c>
      <c r="R57" s="100"/>
      <c r="S57" s="100" t="s">
        <v>228</v>
      </c>
      <c r="T57" s="105">
        <v>8.0</v>
      </c>
      <c r="U57" s="105">
        <v>8.0</v>
      </c>
      <c r="V57" s="98">
        <v>0.5</v>
      </c>
      <c r="W57" s="107">
        <v>46143.0</v>
      </c>
      <c r="X57" s="107"/>
      <c r="Y57" s="107">
        <v>46164.0</v>
      </c>
      <c r="Z57" s="107">
        <v>46164.0</v>
      </c>
      <c r="AA57" s="105" t="s">
        <v>630</v>
      </c>
      <c r="AB57" s="105" t="s">
        <v>562</v>
      </c>
    </row>
    <row r="58" ht="22.5" hidden="1" customHeight="1">
      <c r="A58" s="84"/>
      <c r="B58" s="85" t="str">
        <f t="array" ref="B58">IF(EXACT(A58, ""), "", XLOOKUP(A58, Proyectos[nombre], Proyectos[id]))</f>
        <v/>
      </c>
      <c r="C58" s="85" t="s">
        <v>226</v>
      </c>
      <c r="D58" s="154" t="s">
        <v>262</v>
      </c>
      <c r="E58" s="87" t="s">
        <v>550</v>
      </c>
      <c r="F58" s="87" t="s">
        <v>550</v>
      </c>
      <c r="G58" s="106" t="s">
        <v>559</v>
      </c>
      <c r="H58" s="170" t="s">
        <v>623</v>
      </c>
      <c r="I58" s="87" t="s">
        <v>676</v>
      </c>
      <c r="J58" s="91" t="str">
        <f t="array" ref="J58">IF(EXACT(G58, ""), "", XLOOKUP(G58, Equipo[nickname], Equipo[user]))</f>
        <v>dperez</v>
      </c>
      <c r="K58" s="120" t="s">
        <v>542</v>
      </c>
      <c r="L58" s="123" t="s">
        <v>643</v>
      </c>
      <c r="M58" s="94" t="s">
        <v>552</v>
      </c>
      <c r="N58" s="95" t="s">
        <v>231</v>
      </c>
      <c r="O58" s="171"/>
      <c r="P58" s="87" t="s">
        <v>530</v>
      </c>
      <c r="Q58" s="87" t="s">
        <v>550</v>
      </c>
      <c r="R58" s="87"/>
      <c r="S58" s="87" t="s">
        <v>228</v>
      </c>
      <c r="T58" s="94">
        <v>8.0</v>
      </c>
      <c r="U58" s="94">
        <v>8.0</v>
      </c>
      <c r="V58" s="98">
        <v>0.5</v>
      </c>
      <c r="W58" s="99">
        <v>46143.0</v>
      </c>
      <c r="X58" s="99"/>
      <c r="Y58" s="99">
        <v>46174.0</v>
      </c>
      <c r="Z58" s="99">
        <v>46190.0</v>
      </c>
      <c r="AA58" s="94" t="s">
        <v>630</v>
      </c>
      <c r="AB58" s="94" t="s">
        <v>562</v>
      </c>
    </row>
    <row r="59" ht="22.5" customHeight="1">
      <c r="A59" s="119" t="s">
        <v>499</v>
      </c>
      <c r="B59" s="85">
        <f t="array" ref="B59">IF(EXACT(A59, ""), "", XLOOKUP(A59, Proyectos[nombre], Proyectos[id]))</f>
        <v>1048</v>
      </c>
      <c r="C59" s="85"/>
      <c r="D59" s="154" t="s">
        <v>262</v>
      </c>
      <c r="E59" s="156" t="s">
        <v>677</v>
      </c>
      <c r="F59" s="155" t="s">
        <v>678</v>
      </c>
      <c r="G59" s="172" t="s">
        <v>355</v>
      </c>
      <c r="H59" s="128" t="s">
        <v>623</v>
      </c>
      <c r="I59" s="156" t="s">
        <v>679</v>
      </c>
      <c r="J59" s="91" t="str">
        <f t="array" ref="J59">IF(EXACT(G59, ""), "", XLOOKUP(G59, Equipo[nickname], Equipo[user]))</f>
        <v>econtreras</v>
      </c>
      <c r="K59" s="152" t="s">
        <v>542</v>
      </c>
      <c r="L59" s="124" t="s">
        <v>527</v>
      </c>
      <c r="M59" s="156" t="s">
        <v>537</v>
      </c>
      <c r="N59" s="89" t="s">
        <v>231</v>
      </c>
      <c r="O59" s="106" t="s">
        <v>571</v>
      </c>
      <c r="P59" s="156" t="s">
        <v>566</v>
      </c>
      <c r="Q59" s="156" t="s">
        <v>550</v>
      </c>
      <c r="R59" s="156"/>
      <c r="S59" s="156" t="s">
        <v>228</v>
      </c>
      <c r="T59" s="158">
        <v>17.0</v>
      </c>
      <c r="U59" s="116">
        <v>0.0</v>
      </c>
      <c r="V59" s="98">
        <v>0.0</v>
      </c>
      <c r="W59" s="140">
        <v>46167.0</v>
      </c>
      <c r="X59" s="140">
        <v>46174.0</v>
      </c>
      <c r="Y59" s="140">
        <v>46174.0</v>
      </c>
      <c r="Z59" s="140">
        <v>46192.0</v>
      </c>
      <c r="AA59" s="94" t="s">
        <v>630</v>
      </c>
      <c r="AB59" s="105"/>
    </row>
    <row r="60" ht="22.5" hidden="1" customHeight="1">
      <c r="A60" s="84"/>
      <c r="B60" s="85" t="str">
        <f t="array" ref="B60">IF(EXACT(A60, ""), "", XLOOKUP(A60, Proyectos[nombre], Proyectos[id]))</f>
        <v/>
      </c>
      <c r="C60" s="85" t="s">
        <v>226</v>
      </c>
      <c r="D60" s="154" t="s">
        <v>262</v>
      </c>
      <c r="E60" s="87" t="s">
        <v>550</v>
      </c>
      <c r="F60" s="87" t="s">
        <v>550</v>
      </c>
      <c r="G60" s="106" t="s">
        <v>425</v>
      </c>
      <c r="H60" s="170" t="s">
        <v>623</v>
      </c>
      <c r="I60" s="87" t="s">
        <v>680</v>
      </c>
      <c r="J60" s="91" t="str">
        <f t="array" ref="J60">IF(EXACT(G60, ""), "", XLOOKUP(G60, Equipo[nickname], Equipo[user]))</f>
        <v>eramirez</v>
      </c>
      <c r="K60" s="120" t="s">
        <v>542</v>
      </c>
      <c r="L60" s="145" t="s">
        <v>216</v>
      </c>
      <c r="M60" s="94" t="s">
        <v>552</v>
      </c>
      <c r="N60" s="95" t="s">
        <v>231</v>
      </c>
      <c r="O60" s="171"/>
      <c r="P60" s="87" t="s">
        <v>530</v>
      </c>
      <c r="Q60" s="87" t="s">
        <v>550</v>
      </c>
      <c r="R60" s="87"/>
      <c r="S60" s="87" t="s">
        <v>228</v>
      </c>
      <c r="T60" s="94">
        <v>8.0</v>
      </c>
      <c r="U60" s="94">
        <v>8.0</v>
      </c>
      <c r="V60" s="98">
        <v>0.5</v>
      </c>
      <c r="W60" s="99">
        <v>46143.0</v>
      </c>
      <c r="X60" s="99"/>
      <c r="Y60" s="99">
        <v>46184.0</v>
      </c>
      <c r="Z60" s="99">
        <v>46190.0</v>
      </c>
      <c r="AA60" s="94" t="s">
        <v>630</v>
      </c>
      <c r="AB60" s="94" t="s">
        <v>423</v>
      </c>
    </row>
    <row r="61" ht="22.5" customHeight="1">
      <c r="A61" s="119" t="s">
        <v>500</v>
      </c>
      <c r="B61" s="85">
        <f t="array" ref="B61">IF(EXACT(A61, ""), "", XLOOKUP(A61, Proyectos[nombre], Proyectos[id]))</f>
        <v>1049</v>
      </c>
      <c r="C61" s="85"/>
      <c r="D61" s="154" t="s">
        <v>262</v>
      </c>
      <c r="E61" s="156" t="s">
        <v>681</v>
      </c>
      <c r="F61" s="155" t="s">
        <v>682</v>
      </c>
      <c r="G61" s="172" t="s">
        <v>355</v>
      </c>
      <c r="H61" s="128" t="s">
        <v>623</v>
      </c>
      <c r="I61" s="156" t="s">
        <v>683</v>
      </c>
      <c r="J61" s="91" t="str">
        <f t="array" ref="J61">IF(EXACT(G61, ""), "", XLOOKUP(G61, Equipo[nickname], Equipo[user]))</f>
        <v>econtreras</v>
      </c>
      <c r="K61" s="152" t="s">
        <v>542</v>
      </c>
      <c r="L61" s="124" t="s">
        <v>527</v>
      </c>
      <c r="M61" s="156" t="s">
        <v>528</v>
      </c>
      <c r="N61" s="89" t="s">
        <v>252</v>
      </c>
      <c r="O61" s="106" t="s">
        <v>529</v>
      </c>
      <c r="P61" s="156" t="s">
        <v>684</v>
      </c>
      <c r="Q61" s="156" t="s">
        <v>668</v>
      </c>
      <c r="R61" s="156"/>
      <c r="S61" s="156" t="s">
        <v>228</v>
      </c>
      <c r="T61" s="158">
        <v>17.0</v>
      </c>
      <c r="U61" s="116">
        <v>0.0</v>
      </c>
      <c r="V61" s="98">
        <v>0.0</v>
      </c>
      <c r="W61" s="140">
        <v>46167.0</v>
      </c>
      <c r="X61" s="140">
        <v>46174.0</v>
      </c>
      <c r="Y61" s="140">
        <v>46174.0</v>
      </c>
      <c r="Z61" s="140">
        <v>46192.0</v>
      </c>
      <c r="AA61" s="94" t="s">
        <v>630</v>
      </c>
      <c r="AB61" s="105"/>
    </row>
    <row r="62" ht="22.5" hidden="1" customHeight="1">
      <c r="A62" s="84"/>
      <c r="B62" s="85" t="str">
        <f t="array" ref="B62">IF(EXACT(A62, ""), "", XLOOKUP(A62, Proyectos[nombre], Proyectos[id]))</f>
        <v/>
      </c>
      <c r="C62" s="85" t="s">
        <v>226</v>
      </c>
      <c r="D62" s="154" t="s">
        <v>262</v>
      </c>
      <c r="E62" s="100" t="s">
        <v>550</v>
      </c>
      <c r="F62" s="100" t="s">
        <v>550</v>
      </c>
      <c r="G62" s="106" t="s">
        <v>237</v>
      </c>
      <c r="H62" s="168" t="s">
        <v>623</v>
      </c>
      <c r="I62" s="100" t="s">
        <v>685</v>
      </c>
      <c r="J62" s="91" t="str">
        <f t="array" ref="J62">IF(EXACT(G62, ""), "", XLOOKUP(G62, Equipo[nickname], Equipo[user]))</f>
        <v>egonzalez</v>
      </c>
      <c r="K62" s="152" t="s">
        <v>542</v>
      </c>
      <c r="L62" s="139" t="s">
        <v>216</v>
      </c>
      <c r="M62" s="105" t="s">
        <v>552</v>
      </c>
      <c r="N62" s="113" t="s">
        <v>244</v>
      </c>
      <c r="O62" s="112"/>
      <c r="P62" s="100" t="s">
        <v>530</v>
      </c>
      <c r="Q62" s="100" t="s">
        <v>550</v>
      </c>
      <c r="R62" s="100"/>
      <c r="S62" s="100" t="s">
        <v>228</v>
      </c>
      <c r="T62" s="105">
        <v>8.0</v>
      </c>
      <c r="U62" s="105">
        <v>8.0</v>
      </c>
      <c r="V62" s="98">
        <v>0.5</v>
      </c>
      <c r="W62" s="107">
        <v>46143.0</v>
      </c>
      <c r="X62" s="107"/>
      <c r="Y62" s="107">
        <v>46189.0</v>
      </c>
      <c r="Z62" s="107">
        <v>46189.0</v>
      </c>
      <c r="AA62" s="105" t="s">
        <v>630</v>
      </c>
      <c r="AB62" s="105" t="s">
        <v>216</v>
      </c>
    </row>
    <row r="63" ht="22.5" hidden="1" customHeight="1">
      <c r="A63" s="84"/>
      <c r="B63" s="85" t="str">
        <f t="array" ref="B63">IF(EXACT(A63, ""), "", XLOOKUP(A63, Proyectos[nombre], Proyectos[id]))</f>
        <v/>
      </c>
      <c r="C63" s="85" t="s">
        <v>226</v>
      </c>
      <c r="D63" s="154" t="s">
        <v>262</v>
      </c>
      <c r="E63" s="100" t="s">
        <v>550</v>
      </c>
      <c r="F63" s="100" t="s">
        <v>550</v>
      </c>
      <c r="G63" s="106" t="s">
        <v>237</v>
      </c>
      <c r="H63" s="168" t="s">
        <v>623</v>
      </c>
      <c r="I63" s="100" t="s">
        <v>686</v>
      </c>
      <c r="J63" s="91" t="str">
        <f t="array" ref="J63">IF(EXACT(G63, ""), "", XLOOKUP(G63, Equipo[nickname], Equipo[user]))</f>
        <v>egonzalez</v>
      </c>
      <c r="K63" s="152" t="s">
        <v>542</v>
      </c>
      <c r="L63" s="139" t="s">
        <v>216</v>
      </c>
      <c r="M63" s="105" t="s">
        <v>552</v>
      </c>
      <c r="N63" s="114" t="s">
        <v>269</v>
      </c>
      <c r="O63" s="173"/>
      <c r="P63" s="100" t="s">
        <v>530</v>
      </c>
      <c r="Q63" s="100" t="s">
        <v>550</v>
      </c>
      <c r="R63" s="100"/>
      <c r="S63" s="100" t="s">
        <v>228</v>
      </c>
      <c r="T63" s="105">
        <v>16.0</v>
      </c>
      <c r="U63" s="105">
        <v>16.0</v>
      </c>
      <c r="V63" s="98">
        <v>0.5</v>
      </c>
      <c r="W63" s="107">
        <v>46143.0</v>
      </c>
      <c r="X63" s="107"/>
      <c r="Y63" s="107">
        <v>46188.0</v>
      </c>
      <c r="Z63" s="107">
        <v>46188.0</v>
      </c>
      <c r="AA63" s="105" t="s">
        <v>630</v>
      </c>
      <c r="AB63" s="105" t="s">
        <v>216</v>
      </c>
    </row>
    <row r="64" ht="22.5" hidden="1" customHeight="1">
      <c r="A64" s="84"/>
      <c r="B64" s="85" t="str">
        <f t="array" ref="B64">IF(EXACT(A64, ""), "", XLOOKUP(A64, Proyectos[nombre], Proyectos[id]))</f>
        <v/>
      </c>
      <c r="C64" s="85" t="s">
        <v>226</v>
      </c>
      <c r="D64" s="154" t="s">
        <v>262</v>
      </c>
      <c r="E64" s="87" t="s">
        <v>550</v>
      </c>
      <c r="F64" s="87" t="s">
        <v>550</v>
      </c>
      <c r="G64" s="106" t="s">
        <v>237</v>
      </c>
      <c r="H64" s="170" t="s">
        <v>623</v>
      </c>
      <c r="I64" s="87" t="s">
        <v>687</v>
      </c>
      <c r="J64" s="91" t="str">
        <f t="array" ref="J64">IF(EXACT(G64, ""), "", XLOOKUP(G64, Equipo[nickname], Equipo[user]))</f>
        <v>egonzalez</v>
      </c>
      <c r="K64" s="120" t="s">
        <v>542</v>
      </c>
      <c r="L64" s="132" t="s">
        <v>561</v>
      </c>
      <c r="M64" s="94" t="s">
        <v>552</v>
      </c>
      <c r="N64" s="95" t="s">
        <v>231</v>
      </c>
      <c r="O64" s="171"/>
      <c r="P64" s="87" t="s">
        <v>530</v>
      </c>
      <c r="Q64" s="87" t="s">
        <v>550</v>
      </c>
      <c r="R64" s="87"/>
      <c r="S64" s="87" t="s">
        <v>228</v>
      </c>
      <c r="T64" s="94">
        <v>8.0</v>
      </c>
      <c r="U64" s="94">
        <v>8.0</v>
      </c>
      <c r="V64" s="98">
        <v>0.5</v>
      </c>
      <c r="W64" s="99">
        <v>46143.0</v>
      </c>
      <c r="X64" s="99"/>
      <c r="Y64" s="99">
        <v>46164.0</v>
      </c>
      <c r="Z64" s="99">
        <v>46164.0</v>
      </c>
      <c r="AA64" s="94" t="s">
        <v>630</v>
      </c>
      <c r="AB64" s="94" t="s">
        <v>216</v>
      </c>
    </row>
    <row r="65" ht="22.5" hidden="1" customHeight="1">
      <c r="A65" s="84"/>
      <c r="B65" s="85" t="str">
        <f t="array" ref="B65">IF(EXACT(A65, ""), "", XLOOKUP(A65, Proyectos[nombre], Proyectos[id]))</f>
        <v/>
      </c>
      <c r="C65" s="85" t="s">
        <v>226</v>
      </c>
      <c r="D65" s="154" t="s">
        <v>262</v>
      </c>
      <c r="E65" s="100" t="s">
        <v>550</v>
      </c>
      <c r="F65" s="100" t="s">
        <v>550</v>
      </c>
      <c r="G65" s="106" t="s">
        <v>237</v>
      </c>
      <c r="H65" s="168" t="s">
        <v>623</v>
      </c>
      <c r="I65" s="100" t="s">
        <v>688</v>
      </c>
      <c r="J65" s="91" t="str">
        <f t="array" ref="J65">IF(EXACT(G65, ""), "", XLOOKUP(G65, Equipo[nickname], Equipo[user]))</f>
        <v>egonzalez</v>
      </c>
      <c r="K65" s="152" t="s">
        <v>542</v>
      </c>
      <c r="L65" s="139" t="s">
        <v>216</v>
      </c>
      <c r="M65" s="105" t="s">
        <v>552</v>
      </c>
      <c r="N65" s="139" t="s">
        <v>252</v>
      </c>
      <c r="O65" s="174"/>
      <c r="P65" s="100" t="s">
        <v>530</v>
      </c>
      <c r="Q65" s="100" t="s">
        <v>550</v>
      </c>
      <c r="R65" s="100"/>
      <c r="S65" s="100" t="s">
        <v>228</v>
      </c>
      <c r="T65" s="105">
        <v>8.0</v>
      </c>
      <c r="U65" s="105">
        <v>8.0</v>
      </c>
      <c r="V65" s="98">
        <v>0.5</v>
      </c>
      <c r="W65" s="107">
        <v>46143.0</v>
      </c>
      <c r="X65" s="107"/>
      <c r="Y65" s="107">
        <v>46174.0</v>
      </c>
      <c r="Z65" s="107">
        <v>46190.0</v>
      </c>
      <c r="AA65" s="105" t="s">
        <v>630</v>
      </c>
      <c r="AB65" s="105" t="s">
        <v>216</v>
      </c>
    </row>
    <row r="66" ht="22.5" hidden="1" customHeight="1">
      <c r="A66" s="84"/>
      <c r="B66" s="85" t="str">
        <f t="array" ref="B66">IF(EXACT(A66, ""), "", XLOOKUP(A66, Proyectos[nombre], Proyectos[id]))</f>
        <v/>
      </c>
      <c r="C66" s="85" t="s">
        <v>226</v>
      </c>
      <c r="D66" s="154" t="s">
        <v>262</v>
      </c>
      <c r="E66" s="87" t="s">
        <v>550</v>
      </c>
      <c r="F66" s="87" t="s">
        <v>550</v>
      </c>
      <c r="G66" s="106" t="s">
        <v>237</v>
      </c>
      <c r="H66" s="170" t="s">
        <v>623</v>
      </c>
      <c r="I66" s="87" t="s">
        <v>689</v>
      </c>
      <c r="J66" s="91" t="str">
        <f t="array" ref="J66">IF(EXACT(G66, ""), "", XLOOKUP(G66, Equipo[nickname], Equipo[user]))</f>
        <v>egonzalez</v>
      </c>
      <c r="K66" s="120" t="s">
        <v>542</v>
      </c>
      <c r="L66" s="145" t="s">
        <v>216</v>
      </c>
      <c r="M66" s="94" t="s">
        <v>552</v>
      </c>
      <c r="N66" s="132" t="s">
        <v>269</v>
      </c>
      <c r="O66" s="175"/>
      <c r="P66" s="87" t="s">
        <v>530</v>
      </c>
      <c r="Q66" s="87" t="s">
        <v>550</v>
      </c>
      <c r="R66" s="87"/>
      <c r="S66" s="87" t="s">
        <v>228</v>
      </c>
      <c r="T66" s="94">
        <v>16.0</v>
      </c>
      <c r="U66" s="94">
        <v>16.0</v>
      </c>
      <c r="V66" s="98">
        <v>0.5</v>
      </c>
      <c r="W66" s="99">
        <v>46143.0</v>
      </c>
      <c r="X66" s="99"/>
      <c r="Y66" s="99">
        <v>46174.0</v>
      </c>
      <c r="Z66" s="99">
        <v>46188.0</v>
      </c>
      <c r="AA66" s="94" t="s">
        <v>630</v>
      </c>
      <c r="AB66" s="94" t="s">
        <v>216</v>
      </c>
    </row>
    <row r="67" ht="22.5" hidden="1" customHeight="1">
      <c r="A67" s="84"/>
      <c r="B67" s="85" t="str">
        <f t="array" ref="B67">IF(EXACT(A67, ""), "", XLOOKUP(A67, Proyectos[nombre], Proyectos[id]))</f>
        <v/>
      </c>
      <c r="C67" s="85" t="s">
        <v>226</v>
      </c>
      <c r="D67" s="154" t="s">
        <v>262</v>
      </c>
      <c r="E67" s="87" t="s">
        <v>550</v>
      </c>
      <c r="F67" s="87" t="s">
        <v>550</v>
      </c>
      <c r="G67" s="106" t="s">
        <v>237</v>
      </c>
      <c r="H67" s="170" t="s">
        <v>623</v>
      </c>
      <c r="I67" s="87" t="s">
        <v>690</v>
      </c>
      <c r="J67" s="91" t="str">
        <f t="array" ref="J67">IF(EXACT(G67, ""), "", XLOOKUP(G67, Equipo[nickname], Equipo[user]))</f>
        <v>egonzalez</v>
      </c>
      <c r="K67" s="120" t="s">
        <v>542</v>
      </c>
      <c r="L67" s="145" t="s">
        <v>216</v>
      </c>
      <c r="M67" s="94" t="s">
        <v>552</v>
      </c>
      <c r="N67" s="95" t="s">
        <v>231</v>
      </c>
      <c r="O67" s="171"/>
      <c r="P67" s="87" t="s">
        <v>530</v>
      </c>
      <c r="Q67" s="87" t="s">
        <v>550</v>
      </c>
      <c r="R67" s="87"/>
      <c r="S67" s="87" t="s">
        <v>228</v>
      </c>
      <c r="T67" s="94">
        <v>8.0</v>
      </c>
      <c r="U67" s="94">
        <v>8.0</v>
      </c>
      <c r="V67" s="98">
        <v>0.5</v>
      </c>
      <c r="W67" s="99">
        <v>46143.0</v>
      </c>
      <c r="X67" s="99"/>
      <c r="Y67" s="99">
        <v>46188.0</v>
      </c>
      <c r="Z67" s="99">
        <v>46189.0</v>
      </c>
      <c r="AA67" s="94" t="s">
        <v>630</v>
      </c>
      <c r="AB67" s="94" t="s">
        <v>216</v>
      </c>
    </row>
    <row r="68" ht="22.5" hidden="1" customHeight="1">
      <c r="A68" s="84"/>
      <c r="B68" s="85" t="str">
        <f t="array" ref="B68">IF(EXACT(A68, ""), "", XLOOKUP(A68, Proyectos[nombre], Proyectos[folio]))</f>
        <v/>
      </c>
      <c r="C68" s="85" t="s">
        <v>226</v>
      </c>
      <c r="D68" s="86" t="s">
        <v>233</v>
      </c>
      <c r="E68" s="100" t="s">
        <v>691</v>
      </c>
      <c r="F68" s="101" t="s">
        <v>692</v>
      </c>
      <c r="G68" s="89" t="s">
        <v>462</v>
      </c>
      <c r="H68" s="102" t="s">
        <v>276</v>
      </c>
      <c r="I68" s="100" t="s">
        <v>693</v>
      </c>
      <c r="J68" s="91" t="str">
        <f t="array" ref="J68">IF(EXACT(G68, ""), "", XLOOKUP(G68, Equipo[nickname], Equipo[user]))</f>
        <v>jlopez</v>
      </c>
      <c r="K68" s="103" t="s">
        <v>535</v>
      </c>
      <c r="L68" s="104" t="s">
        <v>536</v>
      </c>
      <c r="M68" s="105" t="s">
        <v>537</v>
      </c>
      <c r="N68" s="104" t="s">
        <v>231</v>
      </c>
      <c r="O68" s="106" t="s">
        <v>529</v>
      </c>
      <c r="P68" s="100" t="s">
        <v>530</v>
      </c>
      <c r="Q68" s="100" t="s">
        <v>550</v>
      </c>
      <c r="R68" s="100"/>
      <c r="S68" s="100" t="s">
        <v>228</v>
      </c>
      <c r="T68" s="105">
        <v>8.0</v>
      </c>
      <c r="U68" s="105"/>
      <c r="V68" s="98">
        <v>1.0</v>
      </c>
      <c r="W68" s="107">
        <v>46141.0</v>
      </c>
      <c r="X68" s="107"/>
      <c r="Y68" s="107">
        <v>46141.0</v>
      </c>
      <c r="Z68" s="107">
        <v>46141.0</v>
      </c>
      <c r="AA68" s="107">
        <v>46141.0</v>
      </c>
      <c r="AB68" s="105" t="s">
        <v>531</v>
      </c>
    </row>
    <row r="69" ht="22.5" hidden="1" customHeight="1">
      <c r="A69" s="84"/>
      <c r="B69" s="85" t="str">
        <f t="array" ref="B69">IF(EXACT(A69, ""), "", XLOOKUP(A69, Proyectos[nombre], Proyectos[id]))</f>
        <v/>
      </c>
      <c r="C69" s="85" t="s">
        <v>226</v>
      </c>
      <c r="D69" s="154" t="s">
        <v>262</v>
      </c>
      <c r="E69" s="100" t="s">
        <v>550</v>
      </c>
      <c r="F69" s="100" t="s">
        <v>550</v>
      </c>
      <c r="G69" s="106" t="s">
        <v>151</v>
      </c>
      <c r="H69" s="168" t="s">
        <v>623</v>
      </c>
      <c r="I69" s="100" t="s">
        <v>694</v>
      </c>
      <c r="J69" s="91" t="str">
        <f t="array" ref="J69">IF(EXACT(G69, ""), "", XLOOKUP(G69, Equipo[nickname], Equipo[user]))</f>
        <v>hloredo</v>
      </c>
      <c r="K69" s="152" t="s">
        <v>542</v>
      </c>
      <c r="L69" s="146" t="s">
        <v>617</v>
      </c>
      <c r="M69" s="105" t="s">
        <v>552</v>
      </c>
      <c r="N69" s="104" t="s">
        <v>231</v>
      </c>
      <c r="O69" s="169"/>
      <c r="P69" s="100" t="s">
        <v>530</v>
      </c>
      <c r="Q69" s="100" t="s">
        <v>550</v>
      </c>
      <c r="R69" s="100"/>
      <c r="S69" s="100" t="s">
        <v>228</v>
      </c>
      <c r="T69" s="105">
        <v>1.0</v>
      </c>
      <c r="U69" s="105">
        <v>1.0</v>
      </c>
      <c r="V69" s="98">
        <v>0.5</v>
      </c>
      <c r="W69" s="107">
        <v>46143.0</v>
      </c>
      <c r="X69" s="107"/>
      <c r="Y69" s="107">
        <v>46188.0</v>
      </c>
      <c r="Z69" s="107">
        <v>46188.0</v>
      </c>
      <c r="AA69" s="105" t="s">
        <v>630</v>
      </c>
      <c r="AB69" s="105" t="s">
        <v>208</v>
      </c>
    </row>
    <row r="70" ht="22.5" hidden="1" customHeight="1">
      <c r="A70" s="84"/>
      <c r="B70" s="85" t="str">
        <f t="array" ref="B70">IF(EXACT(A70, ""), "", XLOOKUP(A70, Proyectos[nombre], Proyectos[id]))</f>
        <v/>
      </c>
      <c r="C70" s="85" t="s">
        <v>226</v>
      </c>
      <c r="D70" s="154" t="s">
        <v>262</v>
      </c>
      <c r="E70" s="100" t="s">
        <v>550</v>
      </c>
      <c r="F70" s="100" t="s">
        <v>550</v>
      </c>
      <c r="G70" s="106" t="s">
        <v>151</v>
      </c>
      <c r="H70" s="168" t="s">
        <v>623</v>
      </c>
      <c r="I70" s="100" t="s">
        <v>695</v>
      </c>
      <c r="J70" s="91" t="str">
        <f t="array" ref="J70">IF(EXACT(G70, ""), "", XLOOKUP(G70, Equipo[nickname], Equipo[user]))</f>
        <v>hloredo</v>
      </c>
      <c r="K70" s="152" t="s">
        <v>542</v>
      </c>
      <c r="L70" s="114" t="s">
        <v>561</v>
      </c>
      <c r="M70" s="105" t="s">
        <v>552</v>
      </c>
      <c r="N70" s="113" t="s">
        <v>244</v>
      </c>
      <c r="O70" s="112"/>
      <c r="P70" s="100" t="s">
        <v>530</v>
      </c>
      <c r="Q70" s="100" t="s">
        <v>550</v>
      </c>
      <c r="R70" s="100"/>
      <c r="S70" s="100" t="s">
        <v>228</v>
      </c>
      <c r="T70" s="105">
        <v>8.0</v>
      </c>
      <c r="U70" s="105">
        <v>8.0</v>
      </c>
      <c r="V70" s="98">
        <v>0.5</v>
      </c>
      <c r="W70" s="107">
        <v>46143.0</v>
      </c>
      <c r="X70" s="107"/>
      <c r="Y70" s="107">
        <v>46183.0</v>
      </c>
      <c r="Z70" s="107">
        <v>46183.0</v>
      </c>
      <c r="AA70" s="105" t="s">
        <v>630</v>
      </c>
      <c r="AB70" s="105" t="s">
        <v>208</v>
      </c>
    </row>
    <row r="71" ht="22.5" hidden="1" customHeight="1">
      <c r="A71" s="84"/>
      <c r="B71" s="85" t="str">
        <f t="array" ref="B71">IF(EXACT(A71, ""), "", XLOOKUP(A71, Proyectos[nombre], Proyectos[id]))</f>
        <v/>
      </c>
      <c r="C71" s="85" t="s">
        <v>226</v>
      </c>
      <c r="D71" s="154" t="s">
        <v>262</v>
      </c>
      <c r="E71" s="100" t="s">
        <v>550</v>
      </c>
      <c r="F71" s="100" t="s">
        <v>550</v>
      </c>
      <c r="G71" s="106" t="s">
        <v>151</v>
      </c>
      <c r="H71" s="168" t="s">
        <v>623</v>
      </c>
      <c r="I71" s="100" t="s">
        <v>696</v>
      </c>
      <c r="J71" s="91" t="str">
        <f t="array" ref="J71">IF(EXACT(G71, ""), "", XLOOKUP(G71, Equipo[nickname], Equipo[user]))</f>
        <v>hloredo</v>
      </c>
      <c r="K71" s="152" t="s">
        <v>542</v>
      </c>
      <c r="L71" s="126" t="s">
        <v>643</v>
      </c>
      <c r="M71" s="105" t="s">
        <v>552</v>
      </c>
      <c r="N71" s="114" t="s">
        <v>269</v>
      </c>
      <c r="O71" s="173"/>
      <c r="P71" s="100" t="s">
        <v>530</v>
      </c>
      <c r="Q71" s="100" t="s">
        <v>550</v>
      </c>
      <c r="R71" s="100"/>
      <c r="S71" s="100" t="s">
        <v>228</v>
      </c>
      <c r="T71" s="105">
        <v>2.0</v>
      </c>
      <c r="U71" s="105">
        <v>2.0</v>
      </c>
      <c r="V71" s="98">
        <v>0.5</v>
      </c>
      <c r="W71" s="107">
        <v>46143.0</v>
      </c>
      <c r="X71" s="107"/>
      <c r="Y71" s="107">
        <v>46183.0</v>
      </c>
      <c r="Z71" s="107">
        <v>46183.0</v>
      </c>
      <c r="AA71" s="105" t="s">
        <v>630</v>
      </c>
      <c r="AB71" s="105" t="s">
        <v>208</v>
      </c>
    </row>
    <row r="72" ht="22.5" hidden="1" customHeight="1">
      <c r="A72" s="84"/>
      <c r="B72" s="85" t="str">
        <f t="array" ref="B72">IF(EXACT(A72, ""), "", XLOOKUP(A72, Proyectos[nombre], Proyectos[id]))</f>
        <v/>
      </c>
      <c r="C72" s="85" t="s">
        <v>226</v>
      </c>
      <c r="D72" s="154" t="s">
        <v>262</v>
      </c>
      <c r="E72" s="87" t="s">
        <v>550</v>
      </c>
      <c r="F72" s="87" t="s">
        <v>550</v>
      </c>
      <c r="G72" s="106" t="s">
        <v>151</v>
      </c>
      <c r="H72" s="170" t="s">
        <v>623</v>
      </c>
      <c r="I72" s="87" t="s">
        <v>697</v>
      </c>
      <c r="J72" s="91" t="str">
        <f t="array" ref="J72">IF(EXACT(G72, ""), "", XLOOKUP(G72, Equipo[nickname], Equipo[user]))</f>
        <v>hloredo</v>
      </c>
      <c r="K72" s="120" t="s">
        <v>542</v>
      </c>
      <c r="L72" s="123" t="s">
        <v>643</v>
      </c>
      <c r="M72" s="94" t="s">
        <v>552</v>
      </c>
      <c r="N72" s="132" t="s">
        <v>269</v>
      </c>
      <c r="O72" s="175"/>
      <c r="P72" s="87" t="s">
        <v>530</v>
      </c>
      <c r="Q72" s="87" t="s">
        <v>550</v>
      </c>
      <c r="R72" s="87"/>
      <c r="S72" s="87" t="s">
        <v>228</v>
      </c>
      <c r="T72" s="94">
        <v>2.0</v>
      </c>
      <c r="U72" s="94">
        <v>2.0</v>
      </c>
      <c r="V72" s="98">
        <v>0.5</v>
      </c>
      <c r="W72" s="99">
        <v>46143.0</v>
      </c>
      <c r="X72" s="99"/>
      <c r="Y72" s="99">
        <v>46174.0</v>
      </c>
      <c r="Z72" s="99">
        <v>46174.0</v>
      </c>
      <c r="AA72" s="94" t="s">
        <v>630</v>
      </c>
      <c r="AB72" s="94" t="s">
        <v>208</v>
      </c>
    </row>
    <row r="73" ht="22.5" hidden="1" customHeight="1">
      <c r="A73" s="84"/>
      <c r="B73" s="85" t="str">
        <f t="array" ref="B73">IF(EXACT(A73, ""), "", XLOOKUP(A73, Proyectos[nombre], Proyectos[id]))</f>
        <v/>
      </c>
      <c r="C73" s="85" t="s">
        <v>226</v>
      </c>
      <c r="D73" s="154" t="s">
        <v>262</v>
      </c>
      <c r="E73" s="176"/>
      <c r="F73" s="176"/>
      <c r="G73" s="106" t="s">
        <v>151</v>
      </c>
      <c r="H73" s="170" t="s">
        <v>623</v>
      </c>
      <c r="I73" s="87" t="s">
        <v>698</v>
      </c>
      <c r="J73" s="91" t="str">
        <f t="array" ref="J73">IF(EXACT(G73, ""), "", XLOOKUP(G73, Equipo[nickname], Equipo[user]))</f>
        <v>hloredo</v>
      </c>
      <c r="K73" s="120" t="s">
        <v>542</v>
      </c>
      <c r="L73" s="123" t="s">
        <v>643</v>
      </c>
      <c r="M73" s="94" t="s">
        <v>552</v>
      </c>
      <c r="N73" s="95" t="s">
        <v>231</v>
      </c>
      <c r="O73" s="171"/>
      <c r="P73" s="87" t="s">
        <v>530</v>
      </c>
      <c r="Q73" s="87" t="s">
        <v>550</v>
      </c>
      <c r="R73" s="87"/>
      <c r="S73" s="87" t="s">
        <v>228</v>
      </c>
      <c r="T73" s="94">
        <v>1.0</v>
      </c>
      <c r="U73" s="94">
        <v>1.0</v>
      </c>
      <c r="V73" s="98">
        <v>0.5</v>
      </c>
      <c r="W73" s="99">
        <v>46143.0</v>
      </c>
      <c r="X73" s="99"/>
      <c r="Y73" s="99">
        <v>46191.0</v>
      </c>
      <c r="Z73" s="99">
        <v>46191.0</v>
      </c>
      <c r="AA73" s="94" t="s">
        <v>630</v>
      </c>
      <c r="AB73" s="94" t="s">
        <v>208</v>
      </c>
    </row>
    <row r="74" ht="22.5" customHeight="1">
      <c r="A74" s="119" t="s">
        <v>500</v>
      </c>
      <c r="B74" s="85">
        <f t="array" ref="B74">IF(EXACT(A74, ""), "", XLOOKUP(A74, Proyectos[nombre], Proyectos[id]))</f>
        <v>1049</v>
      </c>
      <c r="C74" s="85"/>
      <c r="D74" s="154" t="s">
        <v>262</v>
      </c>
      <c r="E74" s="156" t="s">
        <v>699</v>
      </c>
      <c r="F74" s="155" t="s">
        <v>700</v>
      </c>
      <c r="G74" s="172" t="s">
        <v>355</v>
      </c>
      <c r="H74" s="128" t="s">
        <v>623</v>
      </c>
      <c r="I74" s="156" t="s">
        <v>701</v>
      </c>
      <c r="J74" s="91" t="str">
        <f t="array" ref="J74">IF(EXACT(G74, ""), "", XLOOKUP(G74, Equipo[nickname], Equipo[user]))</f>
        <v>econtreras</v>
      </c>
      <c r="K74" s="152" t="s">
        <v>542</v>
      </c>
      <c r="L74" s="124" t="s">
        <v>527</v>
      </c>
      <c r="M74" s="156" t="s">
        <v>557</v>
      </c>
      <c r="N74" s="89" t="s">
        <v>252</v>
      </c>
      <c r="O74" s="106" t="s">
        <v>529</v>
      </c>
      <c r="P74" s="156" t="s">
        <v>684</v>
      </c>
      <c r="Q74" s="156" t="s">
        <v>668</v>
      </c>
      <c r="R74" s="156"/>
      <c r="S74" s="156" t="s">
        <v>228</v>
      </c>
      <c r="T74" s="158">
        <v>13.0</v>
      </c>
      <c r="U74" s="116">
        <v>0.0</v>
      </c>
      <c r="V74" s="98">
        <v>0.0</v>
      </c>
      <c r="W74" s="140">
        <v>46167.0</v>
      </c>
      <c r="X74" s="140">
        <v>46174.0</v>
      </c>
      <c r="Y74" s="140">
        <v>46174.0</v>
      </c>
      <c r="Z74" s="140">
        <v>46192.0</v>
      </c>
      <c r="AA74" s="94" t="s">
        <v>630</v>
      </c>
      <c r="AB74" s="177"/>
    </row>
    <row r="75" ht="22.5" customHeight="1">
      <c r="A75" s="119" t="s">
        <v>500</v>
      </c>
      <c r="B75" s="85">
        <f t="array" ref="B75">IF(EXACT(A75, ""), "", XLOOKUP(A75, Proyectos[nombre], Proyectos[id]))</f>
        <v>1049</v>
      </c>
      <c r="C75" s="85"/>
      <c r="D75" s="154" t="s">
        <v>262</v>
      </c>
      <c r="E75" s="156" t="s">
        <v>702</v>
      </c>
      <c r="F75" s="155" t="s">
        <v>703</v>
      </c>
      <c r="G75" s="172" t="s">
        <v>355</v>
      </c>
      <c r="H75" s="128" t="s">
        <v>623</v>
      </c>
      <c r="I75" s="156" t="s">
        <v>704</v>
      </c>
      <c r="J75" s="91" t="str">
        <f t="array" ref="J75">IF(EXACT(G75, ""), "", XLOOKUP(G75, Equipo[nickname], Equipo[user]))</f>
        <v>econtreras</v>
      </c>
      <c r="K75" s="152" t="s">
        <v>542</v>
      </c>
      <c r="L75" s="124" t="s">
        <v>527</v>
      </c>
      <c r="M75" s="156" t="s">
        <v>557</v>
      </c>
      <c r="N75" s="89" t="s">
        <v>252</v>
      </c>
      <c r="O75" s="106" t="s">
        <v>529</v>
      </c>
      <c r="P75" s="156" t="s">
        <v>684</v>
      </c>
      <c r="Q75" s="156" t="s">
        <v>668</v>
      </c>
      <c r="R75" s="156"/>
      <c r="S75" s="156" t="s">
        <v>228</v>
      </c>
      <c r="T75" s="158">
        <v>28.0</v>
      </c>
      <c r="U75" s="116">
        <v>0.0</v>
      </c>
      <c r="V75" s="98">
        <v>0.0</v>
      </c>
      <c r="W75" s="140">
        <v>46167.0</v>
      </c>
      <c r="X75" s="140">
        <v>46174.0</v>
      </c>
      <c r="Y75" s="140">
        <v>46174.0</v>
      </c>
      <c r="Z75" s="140">
        <v>46192.0</v>
      </c>
      <c r="AA75" s="94" t="s">
        <v>630</v>
      </c>
      <c r="AB75" s="178"/>
    </row>
    <row r="76" ht="22.5" hidden="1" customHeight="1">
      <c r="A76" s="84"/>
      <c r="B76" s="85" t="str">
        <f t="array" ref="B76">IF(EXACT(A76, ""), "", XLOOKUP(A76, Proyectos[nombre], Proyectos[id]))</f>
        <v/>
      </c>
      <c r="C76" s="85" t="s">
        <v>226</v>
      </c>
      <c r="D76" s="154" t="s">
        <v>262</v>
      </c>
      <c r="E76" s="100" t="s">
        <v>550</v>
      </c>
      <c r="F76" s="100" t="s">
        <v>550</v>
      </c>
      <c r="G76" s="106" t="s">
        <v>235</v>
      </c>
      <c r="H76" s="168" t="s">
        <v>623</v>
      </c>
      <c r="I76" s="100" t="s">
        <v>705</v>
      </c>
      <c r="J76" s="91" t="str">
        <f t="array" ref="J76">IF(EXACT(G76, ""), "", XLOOKUP(G76, Equipo[nickname], Equipo[user]))</f>
        <v>lbernal</v>
      </c>
      <c r="K76" s="152" t="s">
        <v>542</v>
      </c>
      <c r="L76" s="113" t="s">
        <v>527</v>
      </c>
      <c r="M76" s="105" t="s">
        <v>552</v>
      </c>
      <c r="N76" s="104" t="s">
        <v>231</v>
      </c>
      <c r="O76" s="169"/>
      <c r="P76" s="100" t="s">
        <v>530</v>
      </c>
      <c r="Q76" s="100" t="s">
        <v>550</v>
      </c>
      <c r="R76" s="100"/>
      <c r="S76" s="100" t="s">
        <v>228</v>
      </c>
      <c r="T76" s="105">
        <v>100.0</v>
      </c>
      <c r="U76" s="105">
        <v>100.0</v>
      </c>
      <c r="V76" s="98">
        <v>0.5</v>
      </c>
      <c r="W76" s="107">
        <v>46143.0</v>
      </c>
      <c r="X76" s="107"/>
      <c r="Y76" s="107">
        <v>46167.0</v>
      </c>
      <c r="Z76" s="107">
        <v>46185.0</v>
      </c>
      <c r="AA76" s="94" t="s">
        <v>630</v>
      </c>
      <c r="AB76" s="178" t="s">
        <v>670</v>
      </c>
    </row>
    <row r="77" ht="22.5" hidden="1" customHeight="1">
      <c r="A77" s="84"/>
      <c r="B77" s="85" t="str">
        <f t="array" ref="B77">IF(EXACT(A77, ""), "", XLOOKUP(A77, Proyectos[nombre], Proyectos[id]))</f>
        <v/>
      </c>
      <c r="C77" s="85" t="s">
        <v>226</v>
      </c>
      <c r="D77" s="154" t="s">
        <v>262</v>
      </c>
      <c r="E77" s="87" t="s">
        <v>550</v>
      </c>
      <c r="F77" s="87" t="s">
        <v>550</v>
      </c>
      <c r="G77" s="106" t="s">
        <v>235</v>
      </c>
      <c r="H77" s="170" t="s">
        <v>623</v>
      </c>
      <c r="I77" s="87" t="s">
        <v>706</v>
      </c>
      <c r="J77" s="91" t="str">
        <f t="array" ref="J77">IF(EXACT(G77, ""), "", XLOOKUP(G77, Equipo[nickname], Equipo[user]))</f>
        <v>lbernal</v>
      </c>
      <c r="K77" s="120" t="s">
        <v>542</v>
      </c>
      <c r="L77" s="143" t="s">
        <v>617</v>
      </c>
      <c r="M77" s="94" t="s">
        <v>552</v>
      </c>
      <c r="N77" s="132" t="s">
        <v>269</v>
      </c>
      <c r="O77" s="175"/>
      <c r="P77" s="87" t="s">
        <v>530</v>
      </c>
      <c r="Q77" s="87" t="s">
        <v>550</v>
      </c>
      <c r="R77" s="87"/>
      <c r="S77" s="87" t="s">
        <v>228</v>
      </c>
      <c r="T77" s="94">
        <v>3.0</v>
      </c>
      <c r="U77" s="94">
        <v>3.0</v>
      </c>
      <c r="V77" s="98">
        <v>0.5</v>
      </c>
      <c r="W77" s="99">
        <v>46143.0</v>
      </c>
      <c r="X77" s="99"/>
      <c r="Y77" s="99">
        <v>46184.0</v>
      </c>
      <c r="Z77" s="99">
        <v>46185.0</v>
      </c>
      <c r="AA77" s="94" t="s">
        <v>630</v>
      </c>
      <c r="AB77" s="179" t="s">
        <v>670</v>
      </c>
    </row>
    <row r="78" ht="22.5" hidden="1" customHeight="1">
      <c r="A78" s="84"/>
      <c r="B78" s="85" t="str">
        <f t="array" ref="B78">IF(EXACT(A78, ""), "", XLOOKUP(A78, Proyectos[nombre], Proyectos[id]))</f>
        <v/>
      </c>
      <c r="C78" s="85" t="s">
        <v>226</v>
      </c>
      <c r="D78" s="154" t="s">
        <v>262</v>
      </c>
      <c r="E78" s="87" t="s">
        <v>550</v>
      </c>
      <c r="F78" s="87" t="s">
        <v>550</v>
      </c>
      <c r="G78" s="106" t="s">
        <v>235</v>
      </c>
      <c r="H78" s="170" t="s">
        <v>623</v>
      </c>
      <c r="I78" s="87" t="s">
        <v>707</v>
      </c>
      <c r="J78" s="91" t="str">
        <f t="array" ref="J78">IF(EXACT(G78, ""), "", XLOOKUP(G78, Equipo[nickname], Equipo[user]))</f>
        <v>lbernal</v>
      </c>
      <c r="K78" s="120" t="s">
        <v>542</v>
      </c>
      <c r="L78" s="123" t="s">
        <v>643</v>
      </c>
      <c r="M78" s="94" t="s">
        <v>552</v>
      </c>
      <c r="N78" s="95" t="s">
        <v>231</v>
      </c>
      <c r="O78" s="171"/>
      <c r="P78" s="87" t="s">
        <v>530</v>
      </c>
      <c r="Q78" s="87" t="s">
        <v>550</v>
      </c>
      <c r="R78" s="87"/>
      <c r="S78" s="87" t="s">
        <v>228</v>
      </c>
      <c r="T78" s="94">
        <v>1.0</v>
      </c>
      <c r="U78" s="94">
        <v>1.0</v>
      </c>
      <c r="V78" s="98">
        <v>0.5</v>
      </c>
      <c r="W78" s="99">
        <v>46143.0</v>
      </c>
      <c r="X78" s="99"/>
      <c r="Y78" s="99">
        <v>46189.0</v>
      </c>
      <c r="Z78" s="99">
        <v>46190.0</v>
      </c>
      <c r="AA78" s="94" t="s">
        <v>630</v>
      </c>
      <c r="AB78" s="179" t="s">
        <v>670</v>
      </c>
    </row>
    <row r="79" ht="22.5" hidden="1" customHeight="1">
      <c r="A79" s="84"/>
      <c r="B79" s="85" t="str">
        <f t="array" ref="B79">IF(EXACT(A79, ""), "", XLOOKUP(A79, Proyectos[nombre], Proyectos[id]))</f>
        <v/>
      </c>
      <c r="C79" s="85" t="s">
        <v>226</v>
      </c>
      <c r="D79" s="154" t="s">
        <v>262</v>
      </c>
      <c r="E79" s="100" t="s">
        <v>550</v>
      </c>
      <c r="F79" s="100" t="s">
        <v>550</v>
      </c>
      <c r="G79" s="106" t="s">
        <v>235</v>
      </c>
      <c r="H79" s="168" t="s">
        <v>623</v>
      </c>
      <c r="I79" s="100" t="s">
        <v>708</v>
      </c>
      <c r="J79" s="91" t="str">
        <f t="array" ref="J79">IF(EXACT(G79, ""), "", XLOOKUP(G79, Equipo[nickname], Equipo[user]))</f>
        <v>lbernal</v>
      </c>
      <c r="K79" s="152" t="s">
        <v>542</v>
      </c>
      <c r="L79" s="139" t="s">
        <v>216</v>
      </c>
      <c r="M79" s="105" t="s">
        <v>552</v>
      </c>
      <c r="N79" s="104" t="s">
        <v>231</v>
      </c>
      <c r="O79" s="106" t="s">
        <v>571</v>
      </c>
      <c r="P79" s="100" t="s">
        <v>530</v>
      </c>
      <c r="Q79" s="100" t="s">
        <v>550</v>
      </c>
      <c r="R79" s="100"/>
      <c r="S79" s="100" t="s">
        <v>228</v>
      </c>
      <c r="T79" s="105">
        <v>3.0</v>
      </c>
      <c r="U79" s="105">
        <v>3.0</v>
      </c>
      <c r="V79" s="98">
        <v>0.5</v>
      </c>
      <c r="W79" s="107">
        <v>46143.0</v>
      </c>
      <c r="X79" s="107"/>
      <c r="Y79" s="107">
        <v>46189.0</v>
      </c>
      <c r="Z79" s="107">
        <v>46189.0</v>
      </c>
      <c r="AA79" s="94" t="s">
        <v>630</v>
      </c>
      <c r="AB79" s="178" t="s">
        <v>670</v>
      </c>
    </row>
    <row r="80" ht="22.5" hidden="1" customHeight="1">
      <c r="A80" s="84"/>
      <c r="B80" s="85" t="str">
        <f t="array" ref="B80">IF(EXACT(A80, ""), "", XLOOKUP(A80, Proyectos[nombre], Proyectos[id]))</f>
        <v/>
      </c>
      <c r="C80" s="85" t="s">
        <v>226</v>
      </c>
      <c r="D80" s="154" t="s">
        <v>262</v>
      </c>
      <c r="E80" s="100" t="s">
        <v>550</v>
      </c>
      <c r="F80" s="100" t="s">
        <v>550</v>
      </c>
      <c r="G80" s="106" t="s">
        <v>235</v>
      </c>
      <c r="H80" s="168" t="s">
        <v>623</v>
      </c>
      <c r="I80" s="100" t="s">
        <v>709</v>
      </c>
      <c r="J80" s="91" t="str">
        <f t="array" ref="J80">IF(EXACT(G80, ""), "", XLOOKUP(G80, Equipo[nickname], Equipo[user]))</f>
        <v>lbernal</v>
      </c>
      <c r="K80" s="152" t="s">
        <v>542</v>
      </c>
      <c r="L80" s="146" t="s">
        <v>617</v>
      </c>
      <c r="M80" s="105" t="s">
        <v>552</v>
      </c>
      <c r="N80" s="104" t="s">
        <v>231</v>
      </c>
      <c r="O80" s="169"/>
      <c r="P80" s="100" t="s">
        <v>530</v>
      </c>
      <c r="Q80" s="100" t="s">
        <v>550</v>
      </c>
      <c r="R80" s="100"/>
      <c r="S80" s="100" t="s">
        <v>228</v>
      </c>
      <c r="T80" s="105">
        <v>8.0</v>
      </c>
      <c r="U80" s="105">
        <v>8.0</v>
      </c>
      <c r="V80" s="98">
        <v>0.5</v>
      </c>
      <c r="W80" s="107">
        <v>46141.0</v>
      </c>
      <c r="X80" s="107"/>
      <c r="Y80" s="107">
        <v>46164.0</v>
      </c>
      <c r="Z80" s="107">
        <v>46167.0</v>
      </c>
      <c r="AA80" s="94" t="s">
        <v>630</v>
      </c>
      <c r="AB80" s="178" t="s">
        <v>670</v>
      </c>
    </row>
    <row r="81" ht="22.5" hidden="1" customHeight="1">
      <c r="A81" s="84"/>
      <c r="B81" s="85" t="str">
        <f t="array" ref="B81">IF(EXACT(A81, ""), "", XLOOKUP(A81, Proyectos[nombre], Proyectos[folio]))</f>
        <v/>
      </c>
      <c r="C81" s="85" t="s">
        <v>226</v>
      </c>
      <c r="D81" s="86" t="s">
        <v>233</v>
      </c>
      <c r="E81" s="87" t="s">
        <v>550</v>
      </c>
      <c r="F81" s="87" t="s">
        <v>550</v>
      </c>
      <c r="G81" s="89" t="s">
        <v>462</v>
      </c>
      <c r="H81" s="108" t="s">
        <v>276</v>
      </c>
      <c r="I81" s="87" t="s">
        <v>551</v>
      </c>
      <c r="J81" s="91" t="str">
        <f t="array" ref="J81">IF(EXACT(G81, ""), "", XLOOKUP(G81, Equipo[nickname], Equipo[user]))</f>
        <v>jlopez</v>
      </c>
      <c r="K81" s="163" t="s">
        <v>535</v>
      </c>
      <c r="L81" s="121" t="s">
        <v>438</v>
      </c>
      <c r="M81" s="94" t="s">
        <v>552</v>
      </c>
      <c r="N81" s="95" t="s">
        <v>231</v>
      </c>
      <c r="O81" s="96" t="s">
        <v>571</v>
      </c>
      <c r="P81" s="87" t="s">
        <v>530</v>
      </c>
      <c r="Q81" s="87" t="s">
        <v>550</v>
      </c>
      <c r="R81" s="87"/>
      <c r="S81" s="87" t="s">
        <v>228</v>
      </c>
      <c r="T81" s="94">
        <v>8.0</v>
      </c>
      <c r="U81" s="94">
        <v>8.0</v>
      </c>
      <c r="V81" s="98">
        <v>1.0</v>
      </c>
      <c r="W81" s="99">
        <v>46141.0</v>
      </c>
      <c r="X81" s="99"/>
      <c r="Y81" s="99">
        <v>46163.0</v>
      </c>
      <c r="Z81" s="99">
        <v>46164.0</v>
      </c>
      <c r="AA81" s="99">
        <v>46164.0</v>
      </c>
      <c r="AB81" s="179" t="s">
        <v>531</v>
      </c>
    </row>
    <row r="82" ht="22.5" customHeight="1">
      <c r="A82" s="84"/>
      <c r="B82" s="85" t="str">
        <f t="array" ref="B82">IF(EXACT(A82, ""), "", XLOOKUP(A82, Proyectos[nombre], Proyectos[id]))</f>
        <v/>
      </c>
      <c r="C82" s="85"/>
      <c r="D82" s="154" t="s">
        <v>262</v>
      </c>
      <c r="E82" s="100"/>
      <c r="F82" s="155" t="s">
        <v>710</v>
      </c>
      <c r="G82" s="89" t="s">
        <v>236</v>
      </c>
      <c r="H82" s="128" t="s">
        <v>623</v>
      </c>
      <c r="I82" s="156" t="s">
        <v>711</v>
      </c>
      <c r="J82" s="91" t="str">
        <f t="array" ref="J82">IF(EXACT(G82, ""), "", XLOOKUP(G82, Equipo[nickname], Equipo[user]))</f>
        <v>gguadarrama</v>
      </c>
      <c r="K82" s="152"/>
      <c r="L82" s="139"/>
      <c r="M82" s="105"/>
      <c r="N82" s="104"/>
      <c r="O82" s="106" t="s">
        <v>571</v>
      </c>
      <c r="P82" s="156" t="s">
        <v>530</v>
      </c>
      <c r="Q82" s="100"/>
      <c r="R82" s="100"/>
      <c r="S82" s="100"/>
      <c r="T82" s="116">
        <v>8.0</v>
      </c>
      <c r="U82" s="116">
        <v>0.0</v>
      </c>
      <c r="V82" s="98">
        <v>0.0</v>
      </c>
      <c r="W82" s="140">
        <v>46167.0</v>
      </c>
      <c r="X82" s="140">
        <v>46174.0</v>
      </c>
      <c r="Y82" s="140">
        <v>46174.0</v>
      </c>
      <c r="Z82" s="140">
        <v>46174.0</v>
      </c>
      <c r="AA82" s="94" t="s">
        <v>630</v>
      </c>
      <c r="AB82" s="178"/>
    </row>
    <row r="83" ht="22.5" customHeight="1">
      <c r="A83" s="119" t="s">
        <v>480</v>
      </c>
      <c r="B83" s="85">
        <f t="array" ref="B83">IF(EXACT(A83, ""), "", XLOOKUP(A83, Proyectos[nombre], Proyectos[id]))</f>
        <v>1037</v>
      </c>
      <c r="C83" s="85"/>
      <c r="D83" s="154" t="s">
        <v>262</v>
      </c>
      <c r="E83" s="156" t="s">
        <v>712</v>
      </c>
      <c r="F83" s="155" t="s">
        <v>713</v>
      </c>
      <c r="G83" s="172" t="s">
        <v>236</v>
      </c>
      <c r="H83" s="128" t="s">
        <v>623</v>
      </c>
      <c r="I83" s="156" t="s">
        <v>714</v>
      </c>
      <c r="J83" s="91" t="str">
        <f t="array" ref="J83">IF(EXACT(G83, ""), "", XLOOKUP(G83, Equipo[nickname], Equipo[user]))</f>
        <v>gguadarrama</v>
      </c>
      <c r="K83" s="152" t="s">
        <v>542</v>
      </c>
      <c r="L83" s="124" t="s">
        <v>527</v>
      </c>
      <c r="M83" s="156" t="s">
        <v>528</v>
      </c>
      <c r="N83" s="89" t="s">
        <v>269</v>
      </c>
      <c r="O83" s="106" t="s">
        <v>529</v>
      </c>
      <c r="P83" s="156" t="s">
        <v>566</v>
      </c>
      <c r="Q83" s="156" t="s">
        <v>663</v>
      </c>
      <c r="R83" s="156"/>
      <c r="S83" s="156" t="s">
        <v>228</v>
      </c>
      <c r="T83" s="158">
        <v>21.0</v>
      </c>
      <c r="U83" s="116">
        <v>0.0</v>
      </c>
      <c r="V83" s="98">
        <v>0.0</v>
      </c>
      <c r="W83" s="140">
        <v>46167.0</v>
      </c>
      <c r="X83" s="140">
        <v>46174.0</v>
      </c>
      <c r="Y83" s="140">
        <v>46174.0</v>
      </c>
      <c r="Z83" s="140">
        <v>46192.0</v>
      </c>
      <c r="AA83" s="94" t="s">
        <v>630</v>
      </c>
      <c r="AB83" s="178"/>
    </row>
    <row r="84" ht="22.5" customHeight="1">
      <c r="A84" s="119" t="s">
        <v>490</v>
      </c>
      <c r="B84" s="85">
        <f t="array" ref="B84">IF(EXACT(A84, ""), "", XLOOKUP(A84, Proyectos[nombre], Proyectos[id]))</f>
        <v>1043</v>
      </c>
      <c r="C84" s="85"/>
      <c r="D84" s="154" t="s">
        <v>262</v>
      </c>
      <c r="E84" s="156" t="s">
        <v>715</v>
      </c>
      <c r="F84" s="155" t="s">
        <v>716</v>
      </c>
      <c r="G84" s="172" t="s">
        <v>236</v>
      </c>
      <c r="H84" s="128" t="s">
        <v>623</v>
      </c>
      <c r="I84" s="156" t="s">
        <v>717</v>
      </c>
      <c r="J84" s="91" t="str">
        <f t="array" ref="J84">IF(EXACT(G84, ""), "", XLOOKUP(G84, Equipo[nickname], Equipo[user]))</f>
        <v>gguadarrama</v>
      </c>
      <c r="K84" s="152" t="s">
        <v>542</v>
      </c>
      <c r="L84" s="124" t="s">
        <v>527</v>
      </c>
      <c r="M84" s="156" t="s">
        <v>528</v>
      </c>
      <c r="N84" s="89" t="s">
        <v>252</v>
      </c>
      <c r="O84" s="106" t="s">
        <v>571</v>
      </c>
      <c r="P84" s="156" t="s">
        <v>530</v>
      </c>
      <c r="Q84" s="156" t="s">
        <v>629</v>
      </c>
      <c r="R84" s="156"/>
      <c r="S84" s="156" t="s">
        <v>228</v>
      </c>
      <c r="T84" s="158">
        <v>8.0</v>
      </c>
      <c r="U84" s="116">
        <v>0.0</v>
      </c>
      <c r="V84" s="98">
        <v>0.0</v>
      </c>
      <c r="W84" s="140">
        <v>46167.0</v>
      </c>
      <c r="X84" s="140">
        <v>46174.0</v>
      </c>
      <c r="Y84" s="140">
        <v>46174.0</v>
      </c>
      <c r="Z84" s="140">
        <v>46192.0</v>
      </c>
      <c r="AA84" s="94" t="s">
        <v>630</v>
      </c>
      <c r="AB84" s="178"/>
    </row>
    <row r="85" ht="22.5" customHeight="1">
      <c r="A85" s="84"/>
      <c r="B85" s="85" t="str">
        <f t="array" ref="B85">IF(EXACT(A85, ""), "", XLOOKUP(A85, Proyectos[nombre], Proyectos[id]))</f>
        <v/>
      </c>
      <c r="C85" s="85" t="s">
        <v>226</v>
      </c>
      <c r="D85" s="86" t="s">
        <v>233</v>
      </c>
      <c r="E85" s="87" t="s">
        <v>718</v>
      </c>
      <c r="F85" s="88" t="s">
        <v>719</v>
      </c>
      <c r="G85" s="89" t="s">
        <v>462</v>
      </c>
      <c r="H85" s="108" t="s">
        <v>641</v>
      </c>
      <c r="I85" s="87" t="s">
        <v>720</v>
      </c>
      <c r="J85" s="91" t="str">
        <f t="array" ref="J85">IF(EXACT(G85, ""), "", XLOOKUP(G85, Equipo[nickname], Equipo[user]))</f>
        <v>jlopez</v>
      </c>
      <c r="K85" s="108" t="s">
        <v>526</v>
      </c>
      <c r="L85" s="93" t="s">
        <v>527</v>
      </c>
      <c r="M85" s="94" t="s">
        <v>557</v>
      </c>
      <c r="N85" s="93" t="s">
        <v>244</v>
      </c>
      <c r="O85" s="110" t="s">
        <v>558</v>
      </c>
      <c r="P85" s="87" t="s">
        <v>628</v>
      </c>
      <c r="Q85" s="87" t="s">
        <v>550</v>
      </c>
      <c r="R85" s="87"/>
      <c r="S85" s="87" t="s">
        <v>228</v>
      </c>
      <c r="T85" s="94">
        <v>34.0</v>
      </c>
      <c r="U85" s="94">
        <v>34.0</v>
      </c>
      <c r="V85" s="98">
        <v>0.5</v>
      </c>
      <c r="W85" s="99">
        <v>46133.0</v>
      </c>
      <c r="X85" s="99">
        <v>46153.0</v>
      </c>
      <c r="Y85" s="99">
        <v>46153.0</v>
      </c>
      <c r="Z85" s="99">
        <v>46157.0</v>
      </c>
      <c r="AA85" s="94" t="s">
        <v>630</v>
      </c>
      <c r="AB85" s="179" t="s">
        <v>670</v>
      </c>
    </row>
    <row r="86" ht="22.5" hidden="1" customHeight="1">
      <c r="A86" s="84"/>
      <c r="B86" s="85" t="str">
        <f t="array" ref="B86">IF(EXACT(A86, ""), "", XLOOKUP(A86, Proyectos[nombre], Proyectos[id]))</f>
        <v/>
      </c>
      <c r="C86" s="85"/>
      <c r="D86" s="154" t="s">
        <v>262</v>
      </c>
      <c r="E86" s="156" t="s">
        <v>721</v>
      </c>
      <c r="F86" s="155" t="s">
        <v>722</v>
      </c>
      <c r="G86" s="180" t="s">
        <v>559</v>
      </c>
      <c r="H86" s="181" t="s">
        <v>623</v>
      </c>
      <c r="I86" s="156" t="s">
        <v>723</v>
      </c>
      <c r="J86" s="91" t="str">
        <f t="array" ref="J86">IF(EXACT(G86, ""), "", XLOOKUP(G86, Equipo[nickname], Equipo[user]))</f>
        <v>dperez</v>
      </c>
      <c r="K86" s="152" t="s">
        <v>542</v>
      </c>
      <c r="L86" s="124" t="s">
        <v>643</v>
      </c>
      <c r="M86" s="156" t="s">
        <v>724</v>
      </c>
      <c r="N86" s="89" t="s">
        <v>231</v>
      </c>
      <c r="O86" s="106" t="s">
        <v>571</v>
      </c>
      <c r="P86" s="156" t="s">
        <v>530</v>
      </c>
      <c r="Q86" s="156" t="s">
        <v>550</v>
      </c>
      <c r="R86" s="156"/>
      <c r="S86" s="156" t="s">
        <v>228</v>
      </c>
      <c r="T86" s="158">
        <v>8.0</v>
      </c>
      <c r="U86" s="116">
        <v>0.0</v>
      </c>
      <c r="V86" s="98">
        <v>0.0</v>
      </c>
      <c r="W86" s="140">
        <v>46167.0</v>
      </c>
      <c r="X86" s="140"/>
      <c r="Y86" s="140">
        <v>46174.0</v>
      </c>
      <c r="Z86" s="140">
        <v>46192.0</v>
      </c>
      <c r="AA86" s="94" t="s">
        <v>630</v>
      </c>
      <c r="AB86" s="178"/>
    </row>
    <row r="87" ht="22.5" hidden="1" customHeight="1">
      <c r="A87" s="84"/>
      <c r="B87" s="85" t="str">
        <f t="array" ref="B87">IF(EXACT(A87, ""), "", XLOOKUP(A87, Proyectos[nombre], Proyectos[id]))</f>
        <v/>
      </c>
      <c r="C87" s="85"/>
      <c r="D87" s="154" t="s">
        <v>262</v>
      </c>
      <c r="E87" s="156" t="s">
        <v>725</v>
      </c>
      <c r="F87" s="155" t="s">
        <v>726</v>
      </c>
      <c r="G87" s="180" t="s">
        <v>237</v>
      </c>
      <c r="H87" s="181" t="s">
        <v>623</v>
      </c>
      <c r="I87" s="156" t="s">
        <v>598</v>
      </c>
      <c r="J87" s="91" t="str">
        <f t="array" ref="J87">IF(EXACT(G87, ""), "", XLOOKUP(G87, Equipo[nickname], Equipo[user]))</f>
        <v>egonzalez</v>
      </c>
      <c r="K87" s="152" t="s">
        <v>542</v>
      </c>
      <c r="L87" s="124" t="s">
        <v>216</v>
      </c>
      <c r="M87" s="156" t="s">
        <v>724</v>
      </c>
      <c r="N87" s="89" t="s">
        <v>231</v>
      </c>
      <c r="O87" s="106" t="s">
        <v>571</v>
      </c>
      <c r="P87" s="156" t="s">
        <v>530</v>
      </c>
      <c r="Q87" s="156" t="s">
        <v>550</v>
      </c>
      <c r="R87" s="156"/>
      <c r="S87" s="156" t="s">
        <v>228</v>
      </c>
      <c r="T87" s="158">
        <v>8.0</v>
      </c>
      <c r="U87" s="116">
        <v>0.0</v>
      </c>
      <c r="V87" s="98">
        <v>0.0</v>
      </c>
      <c r="W87" s="140">
        <v>46167.0</v>
      </c>
      <c r="X87" s="140"/>
      <c r="Y87" s="140">
        <v>46174.0</v>
      </c>
      <c r="Z87" s="140">
        <v>46192.0</v>
      </c>
      <c r="AA87" s="94" t="s">
        <v>630</v>
      </c>
      <c r="AB87" s="178"/>
    </row>
    <row r="88" ht="22.5" customHeight="1">
      <c r="A88" s="84"/>
      <c r="B88" s="85" t="str">
        <f t="array" ref="B88">IF(EXACT(A88, ""), "", XLOOKUP(A88, Proyectos[nombre], Proyectos[id]))</f>
        <v/>
      </c>
      <c r="C88" s="85" t="s">
        <v>226</v>
      </c>
      <c r="D88" s="86" t="s">
        <v>233</v>
      </c>
      <c r="E88" s="100" t="s">
        <v>727</v>
      </c>
      <c r="F88" s="101" t="s">
        <v>728</v>
      </c>
      <c r="G88" s="89" t="s">
        <v>462</v>
      </c>
      <c r="H88" s="128" t="s">
        <v>641</v>
      </c>
      <c r="I88" s="100" t="s">
        <v>729</v>
      </c>
      <c r="J88" s="91" t="str">
        <f t="array" ref="J88">IF(EXACT(G88, ""), "", XLOOKUP(G88, Equipo[nickname], Equipo[user]))</f>
        <v>jlopez</v>
      </c>
      <c r="K88" s="108" t="s">
        <v>526</v>
      </c>
      <c r="L88" s="113" t="s">
        <v>527</v>
      </c>
      <c r="M88" s="105" t="s">
        <v>557</v>
      </c>
      <c r="N88" s="113" t="s">
        <v>244</v>
      </c>
      <c r="O88" s="110" t="s">
        <v>558</v>
      </c>
      <c r="P88" s="100" t="s">
        <v>628</v>
      </c>
      <c r="Q88" s="100" t="s">
        <v>550</v>
      </c>
      <c r="R88" s="100"/>
      <c r="S88" s="100" t="s">
        <v>228</v>
      </c>
      <c r="T88" s="105">
        <v>8.0</v>
      </c>
      <c r="U88" s="105">
        <v>8.0</v>
      </c>
      <c r="V88" s="98">
        <v>0.5</v>
      </c>
      <c r="W88" s="107">
        <v>46141.0</v>
      </c>
      <c r="X88" s="107">
        <v>46153.0</v>
      </c>
      <c r="Y88" s="107">
        <v>46153.0</v>
      </c>
      <c r="Z88" s="107">
        <v>46157.0</v>
      </c>
      <c r="AA88" s="105" t="s">
        <v>630</v>
      </c>
      <c r="AB88" s="178" t="s">
        <v>670</v>
      </c>
    </row>
    <row r="89" ht="22.5" customHeight="1">
      <c r="A89" s="84"/>
      <c r="B89" s="85" t="str">
        <f t="array" ref="B89">IF(EXACT(A89, ""), "", XLOOKUP(A89, Proyectos[nombre], Proyectos[id]))</f>
        <v/>
      </c>
      <c r="C89" s="85" t="s">
        <v>226</v>
      </c>
      <c r="D89" s="86" t="s">
        <v>233</v>
      </c>
      <c r="E89" s="100" t="s">
        <v>730</v>
      </c>
      <c r="F89" s="101" t="s">
        <v>731</v>
      </c>
      <c r="G89" s="89" t="s">
        <v>462</v>
      </c>
      <c r="H89" s="153" t="s">
        <v>623</v>
      </c>
      <c r="I89" s="100" t="s">
        <v>732</v>
      </c>
      <c r="J89" s="91" t="str">
        <f t="array" ref="J89">IF(EXACT(G89, ""), "", XLOOKUP(G89, Equipo[nickname], Equipo[user]))</f>
        <v>jlopez</v>
      </c>
      <c r="K89" s="153" t="s">
        <v>651</v>
      </c>
      <c r="L89" s="113" t="s">
        <v>527</v>
      </c>
      <c r="M89" s="105" t="s">
        <v>557</v>
      </c>
      <c r="N89" s="126" t="s">
        <v>299</v>
      </c>
      <c r="O89" s="127" t="s">
        <v>558</v>
      </c>
      <c r="P89" s="100" t="s">
        <v>488</v>
      </c>
      <c r="Q89" s="100" t="s">
        <v>550</v>
      </c>
      <c r="R89" s="100"/>
      <c r="S89" s="100" t="s">
        <v>228</v>
      </c>
      <c r="T89" s="105">
        <v>8.0</v>
      </c>
      <c r="U89" s="105">
        <v>8.0</v>
      </c>
      <c r="V89" s="98">
        <v>0.5</v>
      </c>
      <c r="W89" s="107">
        <v>46133.0</v>
      </c>
      <c r="X89" s="107">
        <v>46157.0</v>
      </c>
      <c r="Y89" s="107">
        <v>46157.0</v>
      </c>
      <c r="Z89" s="107">
        <v>46157.0</v>
      </c>
      <c r="AA89" s="150"/>
      <c r="AB89" s="178" t="s">
        <v>531</v>
      </c>
    </row>
    <row r="90" ht="22.5" customHeight="1">
      <c r="A90" s="84"/>
      <c r="B90" s="85" t="str">
        <f t="array" ref="B90">IF(EXACT(A90, ""), "", XLOOKUP(A90, Proyectos[nombre], Proyectos[id]))</f>
        <v/>
      </c>
      <c r="C90" s="85" t="s">
        <v>226</v>
      </c>
      <c r="D90" s="86" t="s">
        <v>233</v>
      </c>
      <c r="E90" s="87" t="s">
        <v>733</v>
      </c>
      <c r="F90" s="88" t="s">
        <v>734</v>
      </c>
      <c r="G90" s="89" t="s">
        <v>462</v>
      </c>
      <c r="H90" s="121" t="s">
        <v>623</v>
      </c>
      <c r="I90" s="87" t="s">
        <v>735</v>
      </c>
      <c r="J90" s="91" t="str">
        <f t="array" ref="J90">IF(EXACT(G90, ""), "", XLOOKUP(G90, Equipo[nickname], Equipo[user]))</f>
        <v>jlopez</v>
      </c>
      <c r="K90" s="108" t="s">
        <v>549</v>
      </c>
      <c r="L90" s="93" t="s">
        <v>527</v>
      </c>
      <c r="M90" s="94" t="s">
        <v>557</v>
      </c>
      <c r="N90" s="145" t="s">
        <v>252</v>
      </c>
      <c r="O90" s="110" t="s">
        <v>558</v>
      </c>
      <c r="P90" s="87" t="s">
        <v>628</v>
      </c>
      <c r="Q90" s="87" t="s">
        <v>550</v>
      </c>
      <c r="R90" s="87"/>
      <c r="S90" s="87" t="s">
        <v>228</v>
      </c>
      <c r="T90" s="94">
        <v>8.0</v>
      </c>
      <c r="U90" s="94">
        <v>8.0</v>
      </c>
      <c r="V90" s="98">
        <v>0.5</v>
      </c>
      <c r="W90" s="99">
        <v>46141.0</v>
      </c>
      <c r="X90" s="99">
        <v>46153.0</v>
      </c>
      <c r="Y90" s="99">
        <v>46153.0</v>
      </c>
      <c r="Z90" s="99">
        <v>46157.0</v>
      </c>
      <c r="AA90" s="94" t="s">
        <v>630</v>
      </c>
      <c r="AB90" s="179" t="s">
        <v>670</v>
      </c>
    </row>
    <row r="91" ht="22.5" customHeight="1">
      <c r="A91" s="84"/>
      <c r="B91" s="85" t="str">
        <f t="array" ref="B91">IF(EXACT(A91, ""), "", XLOOKUP(A91, Proyectos[nombre], Proyectos[id]))</f>
        <v/>
      </c>
      <c r="C91" s="85" t="s">
        <v>226</v>
      </c>
      <c r="D91" s="86" t="s">
        <v>233</v>
      </c>
      <c r="E91" s="100" t="s">
        <v>736</v>
      </c>
      <c r="F91" s="101" t="s">
        <v>737</v>
      </c>
      <c r="G91" s="89" t="s">
        <v>462</v>
      </c>
      <c r="H91" s="153" t="s">
        <v>623</v>
      </c>
      <c r="I91" s="100" t="s">
        <v>738</v>
      </c>
      <c r="J91" s="91" t="str">
        <f t="array" ref="J91">IF(EXACT(G91, ""), "", XLOOKUP(G91, Equipo[nickname], Equipo[user]))</f>
        <v>jlopez</v>
      </c>
      <c r="K91" s="108" t="s">
        <v>549</v>
      </c>
      <c r="L91" s="113" t="s">
        <v>527</v>
      </c>
      <c r="M91" s="105" t="s">
        <v>557</v>
      </c>
      <c r="N91" s="126" t="s">
        <v>299</v>
      </c>
      <c r="O91" s="127" t="s">
        <v>558</v>
      </c>
      <c r="P91" s="100" t="s">
        <v>628</v>
      </c>
      <c r="Q91" s="100" t="s">
        <v>550</v>
      </c>
      <c r="R91" s="100"/>
      <c r="S91" s="100" t="s">
        <v>228</v>
      </c>
      <c r="T91" s="105">
        <v>8.0</v>
      </c>
      <c r="U91" s="105">
        <v>8.0</v>
      </c>
      <c r="V91" s="98">
        <v>0.5</v>
      </c>
      <c r="W91" s="107">
        <v>46141.0</v>
      </c>
      <c r="X91" s="107">
        <v>46153.0</v>
      </c>
      <c r="Y91" s="107">
        <v>46153.0</v>
      </c>
      <c r="Z91" s="107">
        <v>46157.0</v>
      </c>
      <c r="AA91" s="105" t="s">
        <v>630</v>
      </c>
      <c r="AB91" s="178" t="s">
        <v>670</v>
      </c>
    </row>
    <row r="92" ht="22.5" customHeight="1">
      <c r="A92" s="119" t="s">
        <v>497</v>
      </c>
      <c r="B92" s="85">
        <f t="array" ref="B92">IF(EXACT(A92, ""), "", XLOOKUP(A92, Proyectos[nombre], Proyectos[id]))</f>
        <v>1047</v>
      </c>
      <c r="C92" s="85"/>
      <c r="D92" s="154" t="s">
        <v>262</v>
      </c>
      <c r="E92" s="156" t="s">
        <v>739</v>
      </c>
      <c r="F92" s="155" t="s">
        <v>740</v>
      </c>
      <c r="G92" s="172" t="s">
        <v>462</v>
      </c>
      <c r="H92" s="128" t="s">
        <v>623</v>
      </c>
      <c r="I92" s="156" t="s">
        <v>741</v>
      </c>
      <c r="J92" s="91" t="str">
        <f t="array" ref="J92">IF(EXACT(G92, ""), "", XLOOKUP(G92, Equipo[nickname], Equipo[user]))</f>
        <v>jlopez</v>
      </c>
      <c r="K92" s="152" t="s">
        <v>542</v>
      </c>
      <c r="L92" s="124" t="s">
        <v>527</v>
      </c>
      <c r="M92" s="156" t="s">
        <v>528</v>
      </c>
      <c r="N92" s="104" t="s">
        <v>231</v>
      </c>
      <c r="O92" s="106" t="s">
        <v>529</v>
      </c>
      <c r="P92" s="156" t="s">
        <v>628</v>
      </c>
      <c r="Q92" s="156" t="s">
        <v>497</v>
      </c>
      <c r="R92" s="156"/>
      <c r="S92" s="156" t="s">
        <v>228</v>
      </c>
      <c r="T92" s="158">
        <v>13.0</v>
      </c>
      <c r="U92" s="116">
        <v>0.0</v>
      </c>
      <c r="V92" s="98">
        <v>0.0</v>
      </c>
      <c r="W92" s="140">
        <v>46167.0</v>
      </c>
      <c r="X92" s="140">
        <v>46174.0</v>
      </c>
      <c r="Y92" s="140">
        <v>46174.0</v>
      </c>
      <c r="Z92" s="140">
        <v>46192.0</v>
      </c>
      <c r="AA92" s="94" t="s">
        <v>630</v>
      </c>
      <c r="AB92" s="178"/>
    </row>
    <row r="93" ht="22.5" customHeight="1">
      <c r="A93" s="119" t="s">
        <v>497</v>
      </c>
      <c r="B93" s="85">
        <f t="array" ref="B93">IF(EXACT(A93, ""), "", XLOOKUP(A93, Proyectos[nombre], Proyectos[id]))</f>
        <v>1047</v>
      </c>
      <c r="C93" s="85"/>
      <c r="D93" s="154" t="s">
        <v>262</v>
      </c>
      <c r="E93" s="156" t="s">
        <v>742</v>
      </c>
      <c r="F93" s="155" t="s">
        <v>743</v>
      </c>
      <c r="G93" s="172" t="s">
        <v>462</v>
      </c>
      <c r="H93" s="128" t="s">
        <v>623</v>
      </c>
      <c r="I93" s="156" t="s">
        <v>744</v>
      </c>
      <c r="J93" s="91" t="str">
        <f t="array" ref="J93">IF(EXACT(G93, ""), "", XLOOKUP(G93, Equipo[nickname], Equipo[user]))</f>
        <v>jlopez</v>
      </c>
      <c r="K93" s="152" t="s">
        <v>542</v>
      </c>
      <c r="L93" s="124" t="s">
        <v>527</v>
      </c>
      <c r="M93" s="156" t="s">
        <v>528</v>
      </c>
      <c r="N93" s="104" t="s">
        <v>231</v>
      </c>
      <c r="O93" s="106" t="s">
        <v>529</v>
      </c>
      <c r="P93" s="156" t="s">
        <v>628</v>
      </c>
      <c r="Q93" s="156" t="s">
        <v>497</v>
      </c>
      <c r="R93" s="156"/>
      <c r="S93" s="156" t="s">
        <v>228</v>
      </c>
      <c r="T93" s="158">
        <v>13.0</v>
      </c>
      <c r="U93" s="116">
        <v>0.0</v>
      </c>
      <c r="V93" s="98">
        <v>0.0</v>
      </c>
      <c r="W93" s="140">
        <v>46167.0</v>
      </c>
      <c r="X93" s="140">
        <v>46174.0</v>
      </c>
      <c r="Y93" s="140">
        <v>46174.0</v>
      </c>
      <c r="Z93" s="140">
        <v>46192.0</v>
      </c>
      <c r="AA93" s="94" t="s">
        <v>630</v>
      </c>
      <c r="AB93" s="178"/>
    </row>
    <row r="94" ht="22.5" customHeight="1">
      <c r="A94" s="119" t="s">
        <v>497</v>
      </c>
      <c r="B94" s="85">
        <f t="array" ref="B94">IF(EXACT(A94, ""), "", XLOOKUP(A94, Proyectos[nombre], Proyectos[id]))</f>
        <v>1047</v>
      </c>
      <c r="C94" s="85"/>
      <c r="D94" s="154" t="s">
        <v>262</v>
      </c>
      <c r="E94" s="156" t="s">
        <v>745</v>
      </c>
      <c r="F94" s="155" t="s">
        <v>746</v>
      </c>
      <c r="G94" s="172" t="s">
        <v>462</v>
      </c>
      <c r="H94" s="128" t="s">
        <v>623</v>
      </c>
      <c r="I94" s="156" t="s">
        <v>747</v>
      </c>
      <c r="J94" s="91" t="str">
        <f t="array" ref="J94">IF(EXACT(G94, ""), "", XLOOKUP(G94, Equipo[nickname], Equipo[user]))</f>
        <v>jlopez</v>
      </c>
      <c r="K94" s="152" t="s">
        <v>542</v>
      </c>
      <c r="L94" s="124" t="s">
        <v>527</v>
      </c>
      <c r="M94" s="156" t="s">
        <v>528</v>
      </c>
      <c r="N94" s="104" t="s">
        <v>231</v>
      </c>
      <c r="O94" s="106" t="s">
        <v>529</v>
      </c>
      <c r="P94" s="156" t="s">
        <v>628</v>
      </c>
      <c r="Q94" s="156" t="s">
        <v>497</v>
      </c>
      <c r="R94" s="156"/>
      <c r="S94" s="156" t="s">
        <v>228</v>
      </c>
      <c r="T94" s="158">
        <v>13.0</v>
      </c>
      <c r="U94" s="116">
        <v>0.0</v>
      </c>
      <c r="V94" s="98">
        <v>0.0</v>
      </c>
      <c r="W94" s="140">
        <v>46167.0</v>
      </c>
      <c r="X94" s="140">
        <v>46174.0</v>
      </c>
      <c r="Y94" s="140">
        <v>46174.0</v>
      </c>
      <c r="Z94" s="140">
        <v>46192.0</v>
      </c>
      <c r="AA94" s="94" t="s">
        <v>630</v>
      </c>
      <c r="AB94" s="178"/>
    </row>
    <row r="95" ht="22.5" customHeight="1">
      <c r="A95" s="119" t="s">
        <v>497</v>
      </c>
      <c r="B95" s="85">
        <f t="array" ref="B95">IF(EXACT(A95, ""), "", XLOOKUP(A95, Proyectos[nombre], Proyectos[id]))</f>
        <v>1047</v>
      </c>
      <c r="C95" s="85"/>
      <c r="D95" s="154" t="s">
        <v>262</v>
      </c>
      <c r="E95" s="156" t="s">
        <v>748</v>
      </c>
      <c r="F95" s="155" t="s">
        <v>749</v>
      </c>
      <c r="G95" s="172" t="s">
        <v>462</v>
      </c>
      <c r="H95" s="128" t="s">
        <v>623</v>
      </c>
      <c r="I95" s="156" t="s">
        <v>750</v>
      </c>
      <c r="J95" s="91" t="str">
        <f t="array" ref="J95">IF(EXACT(G95, ""), "", XLOOKUP(G95, Equipo[nickname], Equipo[user]))</f>
        <v>jlopez</v>
      </c>
      <c r="K95" s="152" t="s">
        <v>542</v>
      </c>
      <c r="L95" s="124" t="s">
        <v>527</v>
      </c>
      <c r="M95" s="156" t="s">
        <v>528</v>
      </c>
      <c r="N95" s="104" t="s">
        <v>231</v>
      </c>
      <c r="O95" s="106" t="s">
        <v>529</v>
      </c>
      <c r="P95" s="156" t="s">
        <v>628</v>
      </c>
      <c r="Q95" s="156" t="s">
        <v>497</v>
      </c>
      <c r="R95" s="156"/>
      <c r="S95" s="156" t="s">
        <v>228</v>
      </c>
      <c r="T95" s="158">
        <v>13.0</v>
      </c>
      <c r="U95" s="116">
        <v>0.0</v>
      </c>
      <c r="V95" s="98">
        <v>0.0</v>
      </c>
      <c r="W95" s="140">
        <v>46167.0</v>
      </c>
      <c r="X95" s="140">
        <v>46174.0</v>
      </c>
      <c r="Y95" s="140">
        <v>46174.0</v>
      </c>
      <c r="Z95" s="140">
        <v>46192.0</v>
      </c>
      <c r="AA95" s="94" t="s">
        <v>630</v>
      </c>
      <c r="AB95" s="178"/>
    </row>
    <row r="96" ht="22.5" customHeight="1">
      <c r="A96" s="119" t="s">
        <v>497</v>
      </c>
      <c r="B96" s="85">
        <f t="array" ref="B96">IF(EXACT(A96, ""), "", XLOOKUP(A96, Proyectos[nombre], Proyectos[id]))</f>
        <v>1047</v>
      </c>
      <c r="C96" s="85"/>
      <c r="D96" s="154" t="s">
        <v>262</v>
      </c>
      <c r="E96" s="156" t="s">
        <v>751</v>
      </c>
      <c r="F96" s="155" t="s">
        <v>752</v>
      </c>
      <c r="G96" s="172" t="s">
        <v>462</v>
      </c>
      <c r="H96" s="128" t="s">
        <v>623</v>
      </c>
      <c r="I96" s="156" t="s">
        <v>753</v>
      </c>
      <c r="J96" s="91" t="str">
        <f t="array" ref="J96">IF(EXACT(G96, ""), "", XLOOKUP(G96, Equipo[nickname], Equipo[user]))</f>
        <v>jlopez</v>
      </c>
      <c r="K96" s="152" t="s">
        <v>542</v>
      </c>
      <c r="L96" s="124" t="s">
        <v>527</v>
      </c>
      <c r="M96" s="156" t="s">
        <v>528</v>
      </c>
      <c r="N96" s="104" t="s">
        <v>231</v>
      </c>
      <c r="O96" s="106" t="s">
        <v>529</v>
      </c>
      <c r="P96" s="156" t="s">
        <v>628</v>
      </c>
      <c r="Q96" s="156" t="s">
        <v>497</v>
      </c>
      <c r="R96" s="156"/>
      <c r="S96" s="156" t="s">
        <v>228</v>
      </c>
      <c r="T96" s="158">
        <v>13.0</v>
      </c>
      <c r="U96" s="116">
        <v>0.0</v>
      </c>
      <c r="V96" s="98">
        <v>0.0</v>
      </c>
      <c r="W96" s="140">
        <v>46167.0</v>
      </c>
      <c r="X96" s="140">
        <v>46174.0</v>
      </c>
      <c r="Y96" s="140">
        <v>46174.0</v>
      </c>
      <c r="Z96" s="140">
        <v>46192.0</v>
      </c>
      <c r="AA96" s="94" t="s">
        <v>630</v>
      </c>
      <c r="AB96" s="178"/>
    </row>
    <row r="97" ht="22.5" customHeight="1">
      <c r="A97" s="119" t="s">
        <v>251</v>
      </c>
      <c r="B97" s="85">
        <f t="array" ref="B97">IF(EXACT(A97, ""), "", XLOOKUP(A97, Proyectos[nombre], Proyectos[id]))</f>
        <v>1004</v>
      </c>
      <c r="C97" s="85"/>
      <c r="D97" s="154" t="s">
        <v>262</v>
      </c>
      <c r="E97" s="156" t="s">
        <v>754</v>
      </c>
      <c r="F97" s="155" t="s">
        <v>755</v>
      </c>
      <c r="G97" s="172" t="s">
        <v>462</v>
      </c>
      <c r="H97" s="128" t="s">
        <v>623</v>
      </c>
      <c r="I97" s="156" t="s">
        <v>756</v>
      </c>
      <c r="J97" s="91" t="str">
        <f t="array" ref="J97">IF(EXACT(G97, ""), "", XLOOKUP(G97, Equipo[nickname], Equipo[user]))</f>
        <v>jlopez</v>
      </c>
      <c r="K97" s="152" t="s">
        <v>542</v>
      </c>
      <c r="L97" s="124" t="s">
        <v>527</v>
      </c>
      <c r="M97" s="156" t="s">
        <v>528</v>
      </c>
      <c r="N97" s="89" t="s">
        <v>244</v>
      </c>
      <c r="O97" s="106" t="s">
        <v>558</v>
      </c>
      <c r="P97" s="156" t="s">
        <v>566</v>
      </c>
      <c r="Q97" s="156" t="s">
        <v>663</v>
      </c>
      <c r="R97" s="156"/>
      <c r="S97" s="156" t="s">
        <v>228</v>
      </c>
      <c r="T97" s="158">
        <v>42.0</v>
      </c>
      <c r="U97" s="116">
        <v>0.0</v>
      </c>
      <c r="V97" s="98">
        <v>0.0</v>
      </c>
      <c r="W97" s="140">
        <v>46167.0</v>
      </c>
      <c r="X97" s="140">
        <v>46174.0</v>
      </c>
      <c r="Y97" s="140">
        <v>46174.0</v>
      </c>
      <c r="Z97" s="140">
        <v>46192.0</v>
      </c>
      <c r="AA97" s="94" t="s">
        <v>630</v>
      </c>
      <c r="AB97" s="178"/>
    </row>
    <row r="98" ht="22.5" customHeight="1">
      <c r="A98" s="119" t="s">
        <v>251</v>
      </c>
      <c r="B98" s="85">
        <f t="array" ref="B98">IF(EXACT(A98, ""), "", XLOOKUP(A98, Proyectos[nombre], Proyectos[id]))</f>
        <v>1004</v>
      </c>
      <c r="C98" s="85"/>
      <c r="D98" s="154" t="s">
        <v>262</v>
      </c>
      <c r="E98" s="156" t="s">
        <v>757</v>
      </c>
      <c r="F98" s="155" t="s">
        <v>758</v>
      </c>
      <c r="G98" s="157" t="s">
        <v>462</v>
      </c>
      <c r="H98" s="128" t="s">
        <v>623</v>
      </c>
      <c r="I98" s="156" t="s">
        <v>759</v>
      </c>
      <c r="J98" s="91" t="str">
        <f t="array" ref="J98">IF(EXACT(G98, ""), "", XLOOKUP(G98, Equipo[nickname], Equipo[user]))</f>
        <v>jlopez</v>
      </c>
      <c r="K98" s="152" t="s">
        <v>542</v>
      </c>
      <c r="L98" s="124" t="s">
        <v>527</v>
      </c>
      <c r="M98" s="156" t="s">
        <v>528</v>
      </c>
      <c r="N98" s="89" t="s">
        <v>244</v>
      </c>
      <c r="O98" s="106" t="s">
        <v>529</v>
      </c>
      <c r="P98" s="156" t="s">
        <v>566</v>
      </c>
      <c r="Q98" s="156" t="s">
        <v>663</v>
      </c>
      <c r="R98" s="156"/>
      <c r="S98" s="156" t="s">
        <v>228</v>
      </c>
      <c r="T98" s="158">
        <v>1.0</v>
      </c>
      <c r="U98" s="116">
        <v>0.0</v>
      </c>
      <c r="V98" s="98">
        <v>0.0</v>
      </c>
      <c r="W98" s="140">
        <v>46167.0</v>
      </c>
      <c r="X98" s="140">
        <v>46174.0</v>
      </c>
      <c r="Y98" s="140">
        <v>46174.0</v>
      </c>
      <c r="Z98" s="140">
        <v>46192.0</v>
      </c>
      <c r="AA98" s="94" t="s">
        <v>630</v>
      </c>
      <c r="AB98" s="178"/>
    </row>
    <row r="99" ht="22.5" customHeight="1">
      <c r="A99" s="119" t="s">
        <v>251</v>
      </c>
      <c r="B99" s="85">
        <f t="array" ref="B99">IF(EXACT(A99, ""), "", XLOOKUP(A99, Proyectos[nombre], Proyectos[id]))</f>
        <v>1004</v>
      </c>
      <c r="C99" s="85"/>
      <c r="D99" s="154" t="s">
        <v>262</v>
      </c>
      <c r="E99" s="156" t="s">
        <v>760</v>
      </c>
      <c r="F99" s="155" t="s">
        <v>761</v>
      </c>
      <c r="G99" s="157" t="s">
        <v>462</v>
      </c>
      <c r="H99" s="128" t="s">
        <v>623</v>
      </c>
      <c r="I99" s="156" t="s">
        <v>762</v>
      </c>
      <c r="J99" s="91" t="str">
        <f t="array" ref="J99">IF(EXACT(G99, ""), "", XLOOKUP(G99, Equipo[nickname], Equipo[user]))</f>
        <v>jlopez</v>
      </c>
      <c r="K99" s="152" t="s">
        <v>542</v>
      </c>
      <c r="L99" s="124" t="s">
        <v>527</v>
      </c>
      <c r="M99" s="156" t="s">
        <v>528</v>
      </c>
      <c r="N99" s="89" t="s">
        <v>244</v>
      </c>
      <c r="O99" s="106" t="s">
        <v>529</v>
      </c>
      <c r="P99" s="156" t="s">
        <v>566</v>
      </c>
      <c r="Q99" s="156" t="s">
        <v>663</v>
      </c>
      <c r="R99" s="156"/>
      <c r="S99" s="156" t="s">
        <v>228</v>
      </c>
      <c r="T99" s="158">
        <v>1.0</v>
      </c>
      <c r="U99" s="116">
        <v>0.0</v>
      </c>
      <c r="V99" s="98">
        <v>0.0</v>
      </c>
      <c r="W99" s="140">
        <v>46167.0</v>
      </c>
      <c r="X99" s="140">
        <v>46174.0</v>
      </c>
      <c r="Y99" s="140">
        <v>46174.0</v>
      </c>
      <c r="Z99" s="140">
        <v>46192.0</v>
      </c>
      <c r="AA99" s="94" t="s">
        <v>630</v>
      </c>
      <c r="AB99" s="178"/>
    </row>
    <row r="100" ht="22.5" customHeight="1">
      <c r="A100" s="84"/>
      <c r="B100" s="85" t="str">
        <f t="array" ref="B100">IF(EXACT(A100, ""), "", XLOOKUP(A100, Proyectos[nombre], Proyectos[id]))</f>
        <v/>
      </c>
      <c r="C100" s="85"/>
      <c r="D100" s="154" t="s">
        <v>262</v>
      </c>
      <c r="E100" s="100"/>
      <c r="F100" s="155" t="s">
        <v>763</v>
      </c>
      <c r="G100" s="89" t="s">
        <v>462</v>
      </c>
      <c r="H100" s="128" t="s">
        <v>764</v>
      </c>
      <c r="I100" s="156" t="s">
        <v>765</v>
      </c>
      <c r="J100" s="91" t="str">
        <f t="array" ref="J100">IF(EXACT(G100, ""), "", XLOOKUP(G100, Equipo[nickname], Equipo[user]))</f>
        <v>jlopez</v>
      </c>
      <c r="K100" s="152"/>
      <c r="L100" s="139"/>
      <c r="M100" s="105"/>
      <c r="N100" s="104"/>
      <c r="O100" s="106" t="s">
        <v>571</v>
      </c>
      <c r="P100" s="156" t="s">
        <v>530</v>
      </c>
      <c r="Q100" s="100"/>
      <c r="R100" s="100"/>
      <c r="S100" s="100"/>
      <c r="T100" s="116">
        <v>8.0</v>
      </c>
      <c r="U100" s="116">
        <v>0.0</v>
      </c>
      <c r="V100" s="98">
        <v>0.0</v>
      </c>
      <c r="W100" s="140">
        <v>46167.0</v>
      </c>
      <c r="X100" s="140">
        <v>46174.0</v>
      </c>
      <c r="Y100" s="140">
        <v>46174.0</v>
      </c>
      <c r="Z100" s="140">
        <v>46174.0</v>
      </c>
      <c r="AA100" s="94" t="s">
        <v>630</v>
      </c>
      <c r="AB100" s="178"/>
    </row>
    <row r="101" ht="22.5" customHeight="1">
      <c r="A101" s="84"/>
      <c r="B101" s="85" t="str">
        <f t="array" ref="B101">IF(EXACT(A101, ""), "", XLOOKUP(A101, Proyectos[nombre], Proyectos[id]))</f>
        <v/>
      </c>
      <c r="C101" s="85"/>
      <c r="D101" s="154" t="s">
        <v>262</v>
      </c>
      <c r="E101" s="100"/>
      <c r="F101" s="155" t="s">
        <v>766</v>
      </c>
      <c r="G101" s="89" t="s">
        <v>162</v>
      </c>
      <c r="H101" s="128" t="s">
        <v>641</v>
      </c>
      <c r="I101" s="156" t="s">
        <v>767</v>
      </c>
      <c r="J101" s="91" t="str">
        <f t="array" ref="J101">IF(EXACT(G101, ""), "", XLOOKUP(G101, Equipo[nickname], Equipo[user]))</f>
        <v>lolvera</v>
      </c>
      <c r="K101" s="152"/>
      <c r="L101" s="139"/>
      <c r="M101" s="105"/>
      <c r="N101" s="104"/>
      <c r="O101" s="106" t="s">
        <v>571</v>
      </c>
      <c r="P101" s="156" t="s">
        <v>530</v>
      </c>
      <c r="Q101" s="100"/>
      <c r="R101" s="100"/>
      <c r="S101" s="100"/>
      <c r="T101" s="116">
        <v>8.0</v>
      </c>
      <c r="U101" s="116">
        <v>0.0</v>
      </c>
      <c r="V101" s="98">
        <v>0.0</v>
      </c>
      <c r="W101" s="140">
        <v>46167.0</v>
      </c>
      <c r="X101" s="140">
        <v>46174.0</v>
      </c>
      <c r="Y101" s="140">
        <v>46174.0</v>
      </c>
      <c r="Z101" s="140">
        <v>46174.0</v>
      </c>
      <c r="AA101" s="94" t="s">
        <v>630</v>
      </c>
      <c r="AB101" s="178"/>
    </row>
    <row r="102" ht="22.5" hidden="1" customHeight="1">
      <c r="A102" s="119" t="s">
        <v>483</v>
      </c>
      <c r="B102" s="85">
        <f t="array" ref="B102">IF(EXACT(A102, ""), "", XLOOKUP(A102, Proyectos[nombre], Proyectos[id]))</f>
        <v>1038</v>
      </c>
      <c r="C102" s="85"/>
      <c r="D102" s="154" t="s">
        <v>262</v>
      </c>
      <c r="E102" s="156" t="s">
        <v>768</v>
      </c>
      <c r="F102" s="155" t="s">
        <v>769</v>
      </c>
      <c r="G102" s="180"/>
      <c r="H102" s="181" t="s">
        <v>623</v>
      </c>
      <c r="I102" s="156" t="s">
        <v>770</v>
      </c>
      <c r="J102" s="91" t="str">
        <f t="array" ref="J102">IF(EXACT(G102, ""), "", XLOOKUP(G102, Equipo[nickname], Equipo[user]))</f>
        <v/>
      </c>
      <c r="K102" s="152" t="s">
        <v>542</v>
      </c>
      <c r="L102" s="124" t="s">
        <v>527</v>
      </c>
      <c r="M102" s="156" t="s">
        <v>557</v>
      </c>
      <c r="N102" s="89" t="s">
        <v>252</v>
      </c>
      <c r="O102" s="106"/>
      <c r="P102" s="156" t="s">
        <v>628</v>
      </c>
      <c r="Q102" s="156" t="s">
        <v>637</v>
      </c>
      <c r="R102" s="156"/>
      <c r="S102" s="156" t="s">
        <v>228</v>
      </c>
      <c r="T102" s="158">
        <v>2.0</v>
      </c>
      <c r="U102" s="116">
        <v>0.0</v>
      </c>
      <c r="V102" s="98">
        <v>0.0</v>
      </c>
      <c r="W102" s="140">
        <v>46167.0</v>
      </c>
      <c r="X102" s="140"/>
      <c r="Y102" s="140">
        <v>46174.0</v>
      </c>
      <c r="Z102" s="140">
        <v>46192.0</v>
      </c>
      <c r="AA102" s="94" t="s">
        <v>630</v>
      </c>
      <c r="AB102" s="178"/>
    </row>
    <row r="103" ht="22.5" hidden="1" customHeight="1">
      <c r="A103" s="119" t="s">
        <v>483</v>
      </c>
      <c r="B103" s="85">
        <f t="array" ref="B103">IF(EXACT(A103, ""), "", XLOOKUP(A103, Proyectos[nombre], Proyectos[id]))</f>
        <v>1038</v>
      </c>
      <c r="C103" s="85"/>
      <c r="D103" s="154" t="s">
        <v>262</v>
      </c>
      <c r="E103" s="156" t="s">
        <v>771</v>
      </c>
      <c r="F103" s="155" t="s">
        <v>772</v>
      </c>
      <c r="G103" s="180"/>
      <c r="H103" s="181" t="s">
        <v>623</v>
      </c>
      <c r="I103" s="156" t="s">
        <v>773</v>
      </c>
      <c r="J103" s="91" t="str">
        <f t="array" ref="J103">IF(EXACT(G103, ""), "", XLOOKUP(G103, Equipo[nickname], Equipo[user]))</f>
        <v/>
      </c>
      <c r="K103" s="152" t="s">
        <v>542</v>
      </c>
      <c r="L103" s="124" t="s">
        <v>527</v>
      </c>
      <c r="M103" s="156" t="s">
        <v>557</v>
      </c>
      <c r="N103" s="89" t="s">
        <v>252</v>
      </c>
      <c r="O103" s="106"/>
      <c r="P103" s="156" t="s">
        <v>628</v>
      </c>
      <c r="Q103" s="156" t="s">
        <v>637</v>
      </c>
      <c r="R103" s="156"/>
      <c r="S103" s="156" t="s">
        <v>228</v>
      </c>
      <c r="T103" s="158">
        <v>17.0</v>
      </c>
      <c r="U103" s="116">
        <v>0.0</v>
      </c>
      <c r="V103" s="98">
        <v>0.0</v>
      </c>
      <c r="W103" s="140">
        <v>46167.0</v>
      </c>
      <c r="X103" s="140"/>
      <c r="Y103" s="140">
        <v>46174.0</v>
      </c>
      <c r="Z103" s="140">
        <v>46192.0</v>
      </c>
      <c r="AA103" s="94" t="s">
        <v>630</v>
      </c>
      <c r="AB103" s="178"/>
    </row>
    <row r="104" ht="22.5" hidden="1" customHeight="1">
      <c r="A104" s="119" t="s">
        <v>483</v>
      </c>
      <c r="B104" s="85">
        <f t="array" ref="B104">IF(EXACT(A104, ""), "", XLOOKUP(A104, Proyectos[nombre], Proyectos[id]))</f>
        <v>1038</v>
      </c>
      <c r="C104" s="85"/>
      <c r="D104" s="154" t="s">
        <v>262</v>
      </c>
      <c r="E104" s="156" t="s">
        <v>774</v>
      </c>
      <c r="F104" s="155" t="s">
        <v>775</v>
      </c>
      <c r="G104" s="180"/>
      <c r="H104" s="181" t="s">
        <v>623</v>
      </c>
      <c r="I104" s="156" t="s">
        <v>776</v>
      </c>
      <c r="J104" s="91" t="str">
        <f t="array" ref="J104">IF(EXACT(G104, ""), "", XLOOKUP(G104, Equipo[nickname], Equipo[user]))</f>
        <v/>
      </c>
      <c r="K104" s="152" t="s">
        <v>542</v>
      </c>
      <c r="L104" s="124" t="s">
        <v>527</v>
      </c>
      <c r="M104" s="156" t="s">
        <v>557</v>
      </c>
      <c r="N104" s="89" t="s">
        <v>252</v>
      </c>
      <c r="O104" s="106"/>
      <c r="P104" s="156" t="s">
        <v>628</v>
      </c>
      <c r="Q104" s="156" t="s">
        <v>637</v>
      </c>
      <c r="R104" s="156"/>
      <c r="S104" s="156" t="s">
        <v>228</v>
      </c>
      <c r="T104" s="158">
        <v>21.0</v>
      </c>
      <c r="U104" s="116">
        <v>0.0</v>
      </c>
      <c r="V104" s="98">
        <v>0.0</v>
      </c>
      <c r="W104" s="140">
        <v>46167.0</v>
      </c>
      <c r="X104" s="140"/>
      <c r="Y104" s="140">
        <v>46174.0</v>
      </c>
      <c r="Z104" s="140">
        <v>46192.0</v>
      </c>
      <c r="AA104" s="94" t="s">
        <v>630</v>
      </c>
      <c r="AB104" s="178"/>
    </row>
    <row r="105" ht="22.5" hidden="1" customHeight="1">
      <c r="A105" s="119" t="s">
        <v>493</v>
      </c>
      <c r="B105" s="85">
        <f t="array" ref="B105">IF(EXACT(A105, ""), "", XLOOKUP(A105, Proyectos[nombre], Proyectos[id]))</f>
        <v>1045</v>
      </c>
      <c r="C105" s="85"/>
      <c r="D105" s="154" t="s">
        <v>262</v>
      </c>
      <c r="E105" s="156" t="s">
        <v>777</v>
      </c>
      <c r="F105" s="155" t="s">
        <v>778</v>
      </c>
      <c r="G105" s="180"/>
      <c r="H105" s="181" t="s">
        <v>623</v>
      </c>
      <c r="I105" s="156" t="s">
        <v>779</v>
      </c>
      <c r="J105" s="91" t="str">
        <f t="array" ref="J105">IF(EXACT(G105, ""), "", XLOOKUP(G105, Equipo[nickname], Equipo[user]))</f>
        <v/>
      </c>
      <c r="K105" s="152" t="s">
        <v>542</v>
      </c>
      <c r="L105" s="124" t="s">
        <v>527</v>
      </c>
      <c r="M105" s="156" t="s">
        <v>528</v>
      </c>
      <c r="N105" s="89" t="s">
        <v>252</v>
      </c>
      <c r="O105" s="106"/>
      <c r="P105" s="156" t="s">
        <v>628</v>
      </c>
      <c r="Q105" s="156" t="s">
        <v>629</v>
      </c>
      <c r="R105" s="156"/>
      <c r="S105" s="156" t="s">
        <v>228</v>
      </c>
      <c r="T105" s="158">
        <v>8.0</v>
      </c>
      <c r="U105" s="116">
        <v>0.0</v>
      </c>
      <c r="V105" s="98">
        <v>0.0</v>
      </c>
      <c r="W105" s="140">
        <v>46167.0</v>
      </c>
      <c r="X105" s="140"/>
      <c r="Y105" s="140">
        <v>46174.0</v>
      </c>
      <c r="Z105" s="140">
        <v>46192.0</v>
      </c>
      <c r="AA105" s="94" t="s">
        <v>630</v>
      </c>
      <c r="AB105" s="178"/>
    </row>
    <row r="106" ht="22.5" hidden="1" customHeight="1">
      <c r="A106" s="119" t="s">
        <v>493</v>
      </c>
      <c r="B106" s="85">
        <f t="array" ref="B106">IF(EXACT(A106, ""), "", XLOOKUP(A106, Proyectos[nombre], Proyectos[id]))</f>
        <v>1045</v>
      </c>
      <c r="C106" s="85"/>
      <c r="D106" s="154" t="s">
        <v>262</v>
      </c>
      <c r="E106" s="156" t="s">
        <v>780</v>
      </c>
      <c r="F106" s="155" t="s">
        <v>781</v>
      </c>
      <c r="G106" s="180"/>
      <c r="H106" s="181" t="s">
        <v>623</v>
      </c>
      <c r="I106" s="156" t="s">
        <v>782</v>
      </c>
      <c r="J106" s="91" t="str">
        <f t="array" ref="J106">IF(EXACT(G106, ""), "", XLOOKUP(G106, Equipo[nickname], Equipo[user]))</f>
        <v/>
      </c>
      <c r="K106" s="152" t="s">
        <v>542</v>
      </c>
      <c r="L106" s="124" t="s">
        <v>527</v>
      </c>
      <c r="M106" s="156" t="s">
        <v>528</v>
      </c>
      <c r="N106" s="89" t="s">
        <v>252</v>
      </c>
      <c r="O106" s="106"/>
      <c r="P106" s="156" t="s">
        <v>628</v>
      </c>
      <c r="Q106" s="156" t="s">
        <v>629</v>
      </c>
      <c r="R106" s="156"/>
      <c r="S106" s="156" t="s">
        <v>228</v>
      </c>
      <c r="T106" s="158">
        <v>8.0</v>
      </c>
      <c r="U106" s="116">
        <v>0.0</v>
      </c>
      <c r="V106" s="98">
        <v>0.0</v>
      </c>
      <c r="W106" s="140">
        <v>46167.0</v>
      </c>
      <c r="X106" s="140"/>
      <c r="Y106" s="140">
        <v>46174.0</v>
      </c>
      <c r="Z106" s="140">
        <v>46192.0</v>
      </c>
      <c r="AA106" s="94" t="s">
        <v>630</v>
      </c>
      <c r="AB106" s="178"/>
    </row>
    <row r="107" ht="22.5" hidden="1" customHeight="1">
      <c r="A107" s="119" t="s">
        <v>493</v>
      </c>
      <c r="B107" s="85">
        <f t="array" ref="B107">IF(EXACT(A107, ""), "", XLOOKUP(A107, Proyectos[nombre], Proyectos[id]))</f>
        <v>1045</v>
      </c>
      <c r="C107" s="85"/>
      <c r="D107" s="154" t="s">
        <v>262</v>
      </c>
      <c r="E107" s="156" t="s">
        <v>783</v>
      </c>
      <c r="F107" s="155" t="s">
        <v>784</v>
      </c>
      <c r="G107" s="180"/>
      <c r="H107" s="181" t="s">
        <v>623</v>
      </c>
      <c r="I107" s="156" t="s">
        <v>785</v>
      </c>
      <c r="J107" s="91" t="str">
        <f t="array" ref="J107">IF(EXACT(G107, ""), "", XLOOKUP(G107, Equipo[nickname], Equipo[user]))</f>
        <v/>
      </c>
      <c r="K107" s="152" t="s">
        <v>542</v>
      </c>
      <c r="L107" s="124" t="s">
        <v>527</v>
      </c>
      <c r="M107" s="156" t="s">
        <v>528</v>
      </c>
      <c r="N107" s="89" t="s">
        <v>252</v>
      </c>
      <c r="O107" s="106"/>
      <c r="P107" s="156" t="s">
        <v>628</v>
      </c>
      <c r="Q107" s="156" t="s">
        <v>629</v>
      </c>
      <c r="R107" s="156"/>
      <c r="S107" s="156" t="s">
        <v>228</v>
      </c>
      <c r="T107" s="158">
        <v>8.0</v>
      </c>
      <c r="U107" s="116">
        <v>0.0</v>
      </c>
      <c r="V107" s="98">
        <v>0.0</v>
      </c>
      <c r="W107" s="140">
        <v>46167.0</v>
      </c>
      <c r="X107" s="140"/>
      <c r="Y107" s="140">
        <v>46174.0</v>
      </c>
      <c r="Z107" s="140">
        <v>46192.0</v>
      </c>
      <c r="AA107" s="94" t="s">
        <v>630</v>
      </c>
      <c r="AB107" s="178"/>
    </row>
    <row r="108" ht="22.5" hidden="1" customHeight="1">
      <c r="A108" s="119" t="s">
        <v>493</v>
      </c>
      <c r="B108" s="85">
        <f t="array" ref="B108">IF(EXACT(A108, ""), "", XLOOKUP(A108, Proyectos[nombre], Proyectos[id]))</f>
        <v>1045</v>
      </c>
      <c r="C108" s="85"/>
      <c r="D108" s="154" t="s">
        <v>262</v>
      </c>
      <c r="E108" s="156" t="s">
        <v>786</v>
      </c>
      <c r="F108" s="155" t="s">
        <v>787</v>
      </c>
      <c r="G108" s="180"/>
      <c r="H108" s="181" t="s">
        <v>623</v>
      </c>
      <c r="I108" s="156" t="s">
        <v>788</v>
      </c>
      <c r="J108" s="91" t="str">
        <f t="array" ref="J108">IF(EXACT(G108, ""), "", XLOOKUP(G108, Equipo[nickname], Equipo[user]))</f>
        <v/>
      </c>
      <c r="K108" s="152" t="s">
        <v>542</v>
      </c>
      <c r="L108" s="124" t="s">
        <v>527</v>
      </c>
      <c r="M108" s="156" t="s">
        <v>528</v>
      </c>
      <c r="N108" s="89" t="s">
        <v>252</v>
      </c>
      <c r="O108" s="106"/>
      <c r="P108" s="156" t="s">
        <v>628</v>
      </c>
      <c r="Q108" s="156" t="s">
        <v>629</v>
      </c>
      <c r="R108" s="156"/>
      <c r="S108" s="156" t="s">
        <v>228</v>
      </c>
      <c r="T108" s="158">
        <v>13.0</v>
      </c>
      <c r="U108" s="116">
        <v>0.0</v>
      </c>
      <c r="V108" s="98">
        <v>0.0</v>
      </c>
      <c r="W108" s="140">
        <v>46167.0</v>
      </c>
      <c r="X108" s="140"/>
      <c r="Y108" s="140">
        <v>46174.0</v>
      </c>
      <c r="Z108" s="140">
        <v>46192.0</v>
      </c>
      <c r="AA108" s="94" t="s">
        <v>630</v>
      </c>
      <c r="AB108" s="178"/>
    </row>
    <row r="109" ht="22.5" customHeight="1">
      <c r="A109" s="119" t="s">
        <v>501</v>
      </c>
      <c r="B109" s="85" t="str">
        <f t="array" ref="B109">IF(EXACT(A109, ""), "", XLOOKUP(A109, Proyectos[nombre], Proyectos[id]))</f>
        <v/>
      </c>
      <c r="C109" s="85"/>
      <c r="D109" s="154" t="s">
        <v>262</v>
      </c>
      <c r="E109" s="156" t="s">
        <v>789</v>
      </c>
      <c r="F109" s="155" t="s">
        <v>790</v>
      </c>
      <c r="G109" s="172" t="s">
        <v>162</v>
      </c>
      <c r="H109" s="128" t="s">
        <v>623</v>
      </c>
      <c r="I109" s="156" t="s">
        <v>791</v>
      </c>
      <c r="J109" s="91" t="str">
        <f t="array" ref="J109">IF(EXACT(G109, ""), "", XLOOKUP(G109, Equipo[nickname], Equipo[user]))</f>
        <v>lolvera</v>
      </c>
      <c r="K109" s="152" t="s">
        <v>542</v>
      </c>
      <c r="L109" s="124" t="s">
        <v>527</v>
      </c>
      <c r="M109" s="156" t="s">
        <v>528</v>
      </c>
      <c r="N109" s="89" t="s">
        <v>244</v>
      </c>
      <c r="O109" s="106" t="s">
        <v>529</v>
      </c>
      <c r="P109" s="156" t="s">
        <v>628</v>
      </c>
      <c r="Q109" s="156" t="s">
        <v>629</v>
      </c>
      <c r="R109" s="156"/>
      <c r="S109" s="156" t="s">
        <v>228</v>
      </c>
      <c r="T109" s="158">
        <v>8.0</v>
      </c>
      <c r="U109" s="116">
        <v>0.0</v>
      </c>
      <c r="V109" s="98">
        <v>0.0</v>
      </c>
      <c r="W109" s="140">
        <v>46167.0</v>
      </c>
      <c r="X109" s="140">
        <v>46174.0</v>
      </c>
      <c r="Y109" s="140">
        <v>46174.0</v>
      </c>
      <c r="Z109" s="140">
        <v>46192.0</v>
      </c>
      <c r="AA109" s="94" t="s">
        <v>630</v>
      </c>
      <c r="AB109" s="178"/>
    </row>
    <row r="110" ht="22.5" customHeight="1">
      <c r="A110" s="119" t="s">
        <v>501</v>
      </c>
      <c r="B110" s="85" t="str">
        <f t="array" ref="B110">IF(EXACT(A110, ""), "", XLOOKUP(A110, Proyectos[nombre], Proyectos[id]))</f>
        <v/>
      </c>
      <c r="C110" s="85"/>
      <c r="D110" s="154" t="s">
        <v>262</v>
      </c>
      <c r="E110" s="156" t="s">
        <v>792</v>
      </c>
      <c r="F110" s="155" t="s">
        <v>793</v>
      </c>
      <c r="G110" s="172" t="s">
        <v>162</v>
      </c>
      <c r="H110" s="128" t="s">
        <v>623</v>
      </c>
      <c r="I110" s="156" t="s">
        <v>794</v>
      </c>
      <c r="J110" s="91" t="str">
        <f t="array" ref="J110">IF(EXACT(G110, ""), "", XLOOKUP(G110, Equipo[nickname], Equipo[user]))</f>
        <v>lolvera</v>
      </c>
      <c r="K110" s="152" t="s">
        <v>542</v>
      </c>
      <c r="L110" s="124" t="s">
        <v>527</v>
      </c>
      <c r="M110" s="156" t="s">
        <v>528</v>
      </c>
      <c r="N110" s="89" t="s">
        <v>244</v>
      </c>
      <c r="O110" s="106" t="s">
        <v>529</v>
      </c>
      <c r="P110" s="156" t="s">
        <v>628</v>
      </c>
      <c r="Q110" s="156" t="s">
        <v>629</v>
      </c>
      <c r="R110" s="156"/>
      <c r="S110" s="156" t="s">
        <v>228</v>
      </c>
      <c r="T110" s="158">
        <v>1.0</v>
      </c>
      <c r="U110" s="116">
        <v>0.0</v>
      </c>
      <c r="V110" s="98">
        <v>0.0</v>
      </c>
      <c r="W110" s="140">
        <v>46167.0</v>
      </c>
      <c r="X110" s="140">
        <v>46174.0</v>
      </c>
      <c r="Y110" s="140">
        <v>46174.0</v>
      </c>
      <c r="Z110" s="140">
        <v>46192.0</v>
      </c>
      <c r="AA110" s="94" t="s">
        <v>630</v>
      </c>
      <c r="AB110" s="178"/>
    </row>
    <row r="111" ht="22.5" customHeight="1">
      <c r="A111" s="119" t="s">
        <v>501</v>
      </c>
      <c r="B111" s="85" t="str">
        <f t="array" ref="B111">IF(EXACT(A111, ""), "", XLOOKUP(A111, Proyectos[nombre], Proyectos[id]))</f>
        <v/>
      </c>
      <c r="C111" s="85"/>
      <c r="D111" s="154" t="s">
        <v>262</v>
      </c>
      <c r="E111" s="156" t="s">
        <v>795</v>
      </c>
      <c r="F111" s="155" t="s">
        <v>796</v>
      </c>
      <c r="G111" s="172" t="s">
        <v>162</v>
      </c>
      <c r="H111" s="128" t="s">
        <v>623</v>
      </c>
      <c r="I111" s="156" t="s">
        <v>797</v>
      </c>
      <c r="J111" s="91" t="str">
        <f t="array" ref="J111">IF(EXACT(G111, ""), "", XLOOKUP(G111, Equipo[nickname], Equipo[user]))</f>
        <v>lolvera</v>
      </c>
      <c r="K111" s="152" t="s">
        <v>542</v>
      </c>
      <c r="L111" s="124" t="s">
        <v>527</v>
      </c>
      <c r="M111" s="156" t="s">
        <v>528</v>
      </c>
      <c r="N111" s="89" t="s">
        <v>244</v>
      </c>
      <c r="O111" s="106" t="s">
        <v>529</v>
      </c>
      <c r="P111" s="156" t="s">
        <v>628</v>
      </c>
      <c r="Q111" s="156" t="s">
        <v>629</v>
      </c>
      <c r="R111" s="156"/>
      <c r="S111" s="156" t="s">
        <v>228</v>
      </c>
      <c r="T111" s="158">
        <v>1.0</v>
      </c>
      <c r="U111" s="116">
        <v>0.0</v>
      </c>
      <c r="V111" s="98">
        <v>0.0</v>
      </c>
      <c r="W111" s="140">
        <v>46167.0</v>
      </c>
      <c r="X111" s="140">
        <v>46174.0</v>
      </c>
      <c r="Y111" s="140">
        <v>46174.0</v>
      </c>
      <c r="Z111" s="140">
        <v>46192.0</v>
      </c>
      <c r="AA111" s="94" t="s">
        <v>630</v>
      </c>
      <c r="AB111" s="178"/>
    </row>
    <row r="112" ht="22.5" customHeight="1">
      <c r="A112" s="119" t="s">
        <v>501</v>
      </c>
      <c r="B112" s="85" t="str">
        <f t="array" ref="B112">IF(EXACT(A112, ""), "", XLOOKUP(A112, Proyectos[nombre], Proyectos[id]))</f>
        <v/>
      </c>
      <c r="C112" s="85"/>
      <c r="D112" s="154" t="s">
        <v>262</v>
      </c>
      <c r="E112" s="156" t="s">
        <v>798</v>
      </c>
      <c r="F112" s="155" t="s">
        <v>799</v>
      </c>
      <c r="G112" s="172" t="s">
        <v>162</v>
      </c>
      <c r="H112" s="128" t="s">
        <v>623</v>
      </c>
      <c r="I112" s="156" t="s">
        <v>800</v>
      </c>
      <c r="J112" s="91" t="str">
        <f t="array" ref="J112">IF(EXACT(G112, ""), "", XLOOKUP(G112, Equipo[nickname], Equipo[user]))</f>
        <v>lolvera</v>
      </c>
      <c r="K112" s="152" t="s">
        <v>542</v>
      </c>
      <c r="L112" s="124" t="s">
        <v>527</v>
      </c>
      <c r="M112" s="156" t="s">
        <v>528</v>
      </c>
      <c r="N112" s="89" t="s">
        <v>244</v>
      </c>
      <c r="O112" s="106" t="s">
        <v>529</v>
      </c>
      <c r="P112" s="156" t="s">
        <v>628</v>
      </c>
      <c r="Q112" s="156" t="s">
        <v>629</v>
      </c>
      <c r="R112" s="156"/>
      <c r="S112" s="156" t="s">
        <v>228</v>
      </c>
      <c r="T112" s="158">
        <v>1.0</v>
      </c>
      <c r="U112" s="116">
        <v>0.0</v>
      </c>
      <c r="V112" s="98">
        <v>0.0</v>
      </c>
      <c r="W112" s="140">
        <v>46167.0</v>
      </c>
      <c r="X112" s="140">
        <v>46174.0</v>
      </c>
      <c r="Y112" s="140">
        <v>46174.0</v>
      </c>
      <c r="Z112" s="140">
        <v>46192.0</v>
      </c>
      <c r="AA112" s="94" t="s">
        <v>630</v>
      </c>
      <c r="AB112" s="178"/>
    </row>
    <row r="113" ht="22.5" customHeight="1">
      <c r="A113" s="119" t="s">
        <v>429</v>
      </c>
      <c r="B113" s="85">
        <f t="array" ref="B113">IF(EXACT(A113, ""), "", XLOOKUP(A113, Proyectos[nombre], Proyectos[id]))</f>
        <v>1036</v>
      </c>
      <c r="C113" s="85"/>
      <c r="D113" s="154" t="s">
        <v>262</v>
      </c>
      <c r="E113" s="156" t="s">
        <v>801</v>
      </c>
      <c r="F113" s="155" t="s">
        <v>802</v>
      </c>
      <c r="G113" s="172" t="s">
        <v>162</v>
      </c>
      <c r="H113" s="128" t="s">
        <v>623</v>
      </c>
      <c r="I113" s="156" t="s">
        <v>803</v>
      </c>
      <c r="J113" s="91" t="str">
        <f t="array" ref="J113">IF(EXACT(G113, ""), "", XLOOKUP(G113, Equipo[nickname], Equipo[user]))</f>
        <v>lolvera</v>
      </c>
      <c r="K113" s="152" t="s">
        <v>542</v>
      </c>
      <c r="L113" s="124" t="s">
        <v>527</v>
      </c>
      <c r="M113" s="156" t="s">
        <v>528</v>
      </c>
      <c r="N113" s="89" t="s">
        <v>269</v>
      </c>
      <c r="O113" s="106" t="s">
        <v>558</v>
      </c>
      <c r="P113" s="156" t="s">
        <v>636</v>
      </c>
      <c r="Q113" s="156" t="s">
        <v>637</v>
      </c>
      <c r="R113" s="156"/>
      <c r="S113" s="156" t="s">
        <v>228</v>
      </c>
      <c r="T113" s="158">
        <v>42.0</v>
      </c>
      <c r="U113" s="116">
        <v>0.0</v>
      </c>
      <c r="V113" s="98">
        <v>0.0</v>
      </c>
      <c r="W113" s="140">
        <v>46167.0</v>
      </c>
      <c r="X113" s="140">
        <v>46174.0</v>
      </c>
      <c r="Y113" s="140">
        <v>46174.0</v>
      </c>
      <c r="Z113" s="140">
        <v>46192.0</v>
      </c>
      <c r="AA113" s="94" t="s">
        <v>630</v>
      </c>
      <c r="AB113" s="178"/>
    </row>
    <row r="114" ht="22.5" hidden="1" customHeight="1">
      <c r="A114" s="119" t="s">
        <v>488</v>
      </c>
      <c r="B114" s="85">
        <f t="array" ref="B114">IF(EXACT(A114, ""), "", XLOOKUP(A114, Proyectos[nombre], Proyectos[id]))</f>
        <v>1042</v>
      </c>
      <c r="C114" s="85"/>
      <c r="D114" s="154" t="s">
        <v>262</v>
      </c>
      <c r="E114" s="182" t="s">
        <v>804</v>
      </c>
      <c r="F114" s="155" t="s">
        <v>805</v>
      </c>
      <c r="G114" s="180"/>
      <c r="H114" s="181" t="s">
        <v>623</v>
      </c>
      <c r="I114" s="156" t="s">
        <v>806</v>
      </c>
      <c r="J114" s="91" t="str">
        <f t="array" ref="J114">IF(EXACT(G114, ""), "", XLOOKUP(G114, Equipo[nickname], Equipo[user]))</f>
        <v/>
      </c>
      <c r="K114" s="183" t="s">
        <v>542</v>
      </c>
      <c r="L114" s="184" t="s">
        <v>527</v>
      </c>
      <c r="M114" s="182" t="s">
        <v>537</v>
      </c>
      <c r="N114" s="89" t="s">
        <v>299</v>
      </c>
      <c r="O114" s="106" t="s">
        <v>529</v>
      </c>
      <c r="P114" s="156" t="s">
        <v>566</v>
      </c>
      <c r="Q114" s="156" t="s">
        <v>637</v>
      </c>
      <c r="R114" s="156"/>
      <c r="S114" s="156" t="s">
        <v>228</v>
      </c>
      <c r="T114" s="158">
        <v>28.0</v>
      </c>
      <c r="U114" s="116">
        <v>0.0</v>
      </c>
      <c r="V114" s="98">
        <v>0.0</v>
      </c>
      <c r="W114" s="140">
        <v>46167.0</v>
      </c>
      <c r="X114" s="185"/>
      <c r="Y114" s="185">
        <v>46174.0</v>
      </c>
      <c r="Z114" s="185">
        <v>46192.0</v>
      </c>
      <c r="AA114" s="94" t="s">
        <v>630</v>
      </c>
      <c r="AB114" s="186"/>
    </row>
  </sheetData>
  <dataValidations>
    <dataValidation type="list" allowBlank="1" sqref="H2:H114">
      <formula1>"In progress,Pending,Done,TL Review,QA Testing,Change request,PO Review"</formula1>
    </dataValidation>
    <dataValidation type="list" allowBlank="1" sqref="N2:N114">
      <formula1>"Bloqueadora,Crítica,Mayor,Menor,Trivial"</formula1>
    </dataValidation>
    <dataValidation type="list" allowBlank="1" sqref="G2:G114">
      <formula1>#REF!</formula1>
    </dataValidation>
    <dataValidation type="list" allowBlank="1" sqref="D2:D114">
      <formula1>#REF!</formula1>
    </dataValidation>
    <dataValidation type="list" allowBlank="1" sqref="L2:L114">
      <formula1>"Analisis,Arquitectrura,Planeacion,Desarrollo,SQA,Liberacion,Soporte"</formula1>
    </dataValidation>
    <dataValidation type="custom" allowBlank="1" showDropDown="1" sqref="W2:W114 Z2:Z114">
      <formula1>OR(NOT(ISERROR(DATEVALUE(W2))), AND(ISNUMBER(W2), LEFT(CELL("format", W2))="D"))</formula1>
    </dataValidation>
    <dataValidation type="list" allowBlank="1" sqref="K2:K114">
      <formula1>"A tiempo,Atrazada,Bloqueada,Sin avance,Compormetida,Cancelada"</formula1>
    </dataValidation>
    <dataValidation type="list" allowBlank="1" sqref="A2:A114">
      <formula1>#REF!</formula1>
    </dataValidation>
    <dataValidation type="list" allowBlank="1" sqref="O2:O114">
      <formula1>"Baja,Media,Alta,Nula,Ninguna"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9"/>
    <hyperlink r:id="rId7" ref="F11"/>
    <hyperlink r:id="rId8" ref="F12"/>
    <hyperlink r:id="rId9" ref="F15"/>
    <hyperlink r:id="rId10" ref="F16"/>
    <hyperlink r:id="rId11" ref="F17"/>
    <hyperlink r:id="rId12" ref="F18"/>
    <hyperlink r:id="rId13" ref="F19"/>
    <hyperlink r:id="rId14" ref="F20"/>
    <hyperlink r:id="rId15" ref="F21"/>
    <hyperlink r:id="rId16" ref="F22"/>
    <hyperlink r:id="rId17" ref="F24"/>
    <hyperlink r:id="rId18" ref="F25"/>
    <hyperlink r:id="rId19" ref="F26"/>
    <hyperlink r:id="rId20" ref="F27"/>
    <hyperlink r:id="rId21" ref="F28"/>
    <hyperlink r:id="rId22" ref="F29"/>
    <hyperlink r:id="rId23" ref="F30"/>
    <hyperlink r:id="rId24" ref="F32"/>
    <hyperlink r:id="rId25" ref="F33"/>
    <hyperlink r:id="rId26" ref="F34"/>
    <hyperlink r:id="rId27" ref="F35"/>
    <hyperlink r:id="rId28" ref="F36"/>
    <hyperlink r:id="rId29" ref="F48"/>
    <hyperlink r:id="rId30" ref="F49"/>
    <hyperlink r:id="rId31" ref="F51"/>
    <hyperlink r:id="rId32" ref="F52"/>
    <hyperlink r:id="rId33" ref="F56"/>
    <hyperlink r:id="rId34" ref="F59"/>
    <hyperlink r:id="rId35" ref="F61"/>
    <hyperlink r:id="rId36" ref="F68"/>
    <hyperlink r:id="rId37" ref="F74"/>
    <hyperlink r:id="rId38" ref="F75"/>
    <hyperlink r:id="rId39" ref="F82"/>
    <hyperlink r:id="rId40" ref="F83"/>
    <hyperlink r:id="rId41" ref="F84"/>
    <hyperlink r:id="rId42" ref="F85"/>
    <hyperlink r:id="rId43" ref="F86"/>
    <hyperlink r:id="rId44" ref="F87"/>
    <hyperlink r:id="rId45" ref="F88"/>
    <hyperlink r:id="rId46" ref="F89"/>
    <hyperlink r:id="rId47" ref="F90"/>
    <hyperlink r:id="rId48" ref="F91"/>
    <hyperlink r:id="rId49" ref="F92"/>
    <hyperlink r:id="rId50" ref="F93"/>
    <hyperlink r:id="rId51" ref="F94"/>
    <hyperlink r:id="rId52" ref="F95"/>
    <hyperlink r:id="rId53" ref="F96"/>
    <hyperlink r:id="rId54" ref="F97"/>
    <hyperlink r:id="rId55" ref="F98"/>
    <hyperlink r:id="rId56" ref="F99"/>
    <hyperlink r:id="rId57" ref="F100"/>
    <hyperlink r:id="rId58" ref="F101"/>
    <hyperlink r:id="rId59" ref="F102"/>
    <hyperlink r:id="rId60" ref="F103"/>
    <hyperlink r:id="rId61" ref="F104"/>
    <hyperlink r:id="rId62" ref="F105"/>
    <hyperlink r:id="rId63" ref="F106"/>
    <hyperlink r:id="rId64" ref="F107"/>
    <hyperlink r:id="rId65" ref="F108"/>
    <hyperlink r:id="rId66" ref="F109"/>
    <hyperlink r:id="rId67" ref="F110"/>
    <hyperlink r:id="rId68" ref="F111"/>
    <hyperlink r:id="rId69" ref="F112"/>
    <hyperlink r:id="rId70" ref="F113"/>
    <hyperlink r:id="rId71" ref="F114"/>
  </hyperlinks>
  <drawing r:id="rId72"/>
  <tableParts count="1">
    <tablePart r:id="rId7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0.13"/>
    <col customWidth="1" min="7" max="7" width="18.38"/>
    <col customWidth="1" min="10" max="10" width="18.13"/>
  </cols>
  <sheetData>
    <row r="1" ht="22.5" customHeight="1">
      <c r="A1" s="41" t="s">
        <v>807</v>
      </c>
      <c r="B1" s="41" t="s">
        <v>808</v>
      </c>
      <c r="C1" s="48" t="s">
        <v>809</v>
      </c>
      <c r="D1" s="41" t="s">
        <v>810</v>
      </c>
      <c r="E1" s="41" t="s">
        <v>204</v>
      </c>
      <c r="F1" s="41" t="s">
        <v>811</v>
      </c>
      <c r="G1" s="41" t="s">
        <v>206</v>
      </c>
      <c r="H1" s="41" t="s">
        <v>207</v>
      </c>
      <c r="I1" s="41" t="s">
        <v>812</v>
      </c>
      <c r="J1" s="41" t="s">
        <v>813</v>
      </c>
      <c r="K1" s="41" t="s">
        <v>814</v>
      </c>
    </row>
    <row r="2" ht="22.5" hidden="1" customHeight="1">
      <c r="A2" s="41" t="s">
        <v>270</v>
      </c>
      <c r="B2" s="41" t="s">
        <v>815</v>
      </c>
      <c r="C2" s="41">
        <v>2026.0</v>
      </c>
      <c r="D2" s="41"/>
      <c r="E2" s="58">
        <v>46027.0</v>
      </c>
      <c r="F2" s="58">
        <v>46027.0</v>
      </c>
      <c r="G2" s="58">
        <v>46052.0</v>
      </c>
      <c r="H2" s="58">
        <v>46052.0</v>
      </c>
      <c r="I2" s="187"/>
      <c r="J2" s="41"/>
      <c r="K2" s="41"/>
    </row>
    <row r="3" ht="22.5" hidden="1" customHeight="1">
      <c r="A3" s="41" t="s">
        <v>278</v>
      </c>
      <c r="B3" s="41" t="s">
        <v>816</v>
      </c>
      <c r="C3" s="41">
        <v>2026.0</v>
      </c>
      <c r="D3" s="41"/>
      <c r="E3" s="58">
        <v>46055.0</v>
      </c>
      <c r="F3" s="58">
        <v>46055.0</v>
      </c>
      <c r="G3" s="58">
        <v>46080.0</v>
      </c>
      <c r="H3" s="58">
        <v>46080.0</v>
      </c>
      <c r="I3" s="187"/>
      <c r="J3" s="41"/>
      <c r="K3" s="41"/>
    </row>
    <row r="4" ht="22.5" hidden="1" customHeight="1">
      <c r="A4" s="41" t="s">
        <v>361</v>
      </c>
      <c r="B4" s="41" t="s">
        <v>817</v>
      </c>
      <c r="C4" s="41">
        <v>2026.0</v>
      </c>
      <c r="D4" s="41"/>
      <c r="E4" s="58">
        <v>46083.0</v>
      </c>
      <c r="F4" s="58">
        <v>46083.0</v>
      </c>
      <c r="G4" s="58">
        <v>46108.0</v>
      </c>
      <c r="H4" s="58">
        <v>46108.0</v>
      </c>
      <c r="I4" s="187"/>
      <c r="J4" s="41"/>
      <c r="K4" s="41"/>
    </row>
    <row r="5" ht="22.5" hidden="1" customHeight="1">
      <c r="A5" s="188" t="s">
        <v>300</v>
      </c>
      <c r="B5" s="41" t="s">
        <v>818</v>
      </c>
      <c r="C5" s="41">
        <v>2026.0</v>
      </c>
      <c r="D5" s="41"/>
      <c r="E5" s="58">
        <v>46113.0</v>
      </c>
      <c r="F5" s="58">
        <v>46113.0</v>
      </c>
      <c r="G5" s="58">
        <v>46136.0</v>
      </c>
      <c r="H5" s="58">
        <v>46136.0</v>
      </c>
      <c r="I5" s="187"/>
      <c r="J5" s="41"/>
      <c r="K5" s="41"/>
    </row>
    <row r="6" ht="22.5" hidden="1" customHeight="1">
      <c r="A6" s="41" t="s">
        <v>233</v>
      </c>
      <c r="B6" s="41" t="s">
        <v>819</v>
      </c>
      <c r="C6" s="41">
        <v>2026.0</v>
      </c>
      <c r="D6" s="41"/>
      <c r="E6" s="58">
        <v>46146.0</v>
      </c>
      <c r="F6" s="58">
        <v>46146.0</v>
      </c>
      <c r="G6" s="58">
        <v>46164.0</v>
      </c>
      <c r="H6" s="58">
        <v>46169.0</v>
      </c>
      <c r="I6" s="187"/>
      <c r="J6" s="41"/>
      <c r="K6" s="41"/>
    </row>
    <row r="7" ht="22.5" customHeight="1">
      <c r="A7" s="41" t="s">
        <v>262</v>
      </c>
      <c r="B7" s="41" t="s">
        <v>820</v>
      </c>
      <c r="C7" s="41">
        <v>2026.0</v>
      </c>
      <c r="D7" s="41">
        <v>17.0</v>
      </c>
      <c r="E7" s="58">
        <v>46170.0</v>
      </c>
      <c r="F7" s="187"/>
      <c r="G7" s="58">
        <v>46192.0</v>
      </c>
      <c r="H7" s="187"/>
      <c r="I7" s="187"/>
      <c r="J7" s="41">
        <v>884.0</v>
      </c>
      <c r="K7" s="41">
        <v>286.0</v>
      </c>
    </row>
    <row r="8" ht="22.5" hidden="1" customHeight="1">
      <c r="A8" s="188" t="s">
        <v>322</v>
      </c>
      <c r="B8" s="188" t="s">
        <v>821</v>
      </c>
      <c r="C8" s="41">
        <v>2026.0</v>
      </c>
      <c r="D8" s="188">
        <v>13.0</v>
      </c>
      <c r="E8" s="58">
        <v>46204.0</v>
      </c>
      <c r="F8" s="189"/>
      <c r="G8" s="58">
        <v>46220.0</v>
      </c>
      <c r="H8" s="189"/>
      <c r="I8" s="189"/>
      <c r="J8" s="188"/>
      <c r="K8" s="188"/>
    </row>
    <row r="9" ht="22.5" hidden="1" customHeight="1">
      <c r="A9" s="188" t="s">
        <v>415</v>
      </c>
      <c r="B9" s="188" t="s">
        <v>822</v>
      </c>
      <c r="C9" s="41">
        <v>2026.0</v>
      </c>
      <c r="D9" s="188">
        <v>12.0</v>
      </c>
      <c r="E9" s="58">
        <v>46233.0</v>
      </c>
      <c r="F9" s="189"/>
      <c r="G9" s="58">
        <v>46248.0</v>
      </c>
      <c r="H9" s="189"/>
      <c r="I9" s="189"/>
      <c r="J9" s="188"/>
      <c r="K9" s="188"/>
    </row>
    <row r="10">
      <c r="A10" s="190"/>
      <c r="B10" s="190"/>
      <c r="C10" s="190"/>
      <c r="D10" s="190"/>
      <c r="E10" s="190"/>
      <c r="F10" s="190"/>
      <c r="G10" s="190"/>
      <c r="H10" s="190"/>
      <c r="I10" s="190"/>
      <c r="J10" s="190"/>
      <c r="K10" s="190"/>
    </row>
  </sheetData>
  <dataValidations>
    <dataValidation type="custom" allowBlank="1" showDropDown="1" sqref="E2:E9 G2:G9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  <col customWidth="1" min="3" max="3" width="14.75"/>
  </cols>
  <sheetData>
    <row r="1" ht="22.5" customHeight="1">
      <c r="A1" s="48" t="s">
        <v>823</v>
      </c>
      <c r="B1" s="48" t="s">
        <v>824</v>
      </c>
      <c r="C1" s="48" t="s">
        <v>825</v>
      </c>
      <c r="D1" s="48" t="s">
        <v>826</v>
      </c>
      <c r="E1" s="48" t="s">
        <v>514</v>
      </c>
      <c r="F1" s="48" t="s">
        <v>827</v>
      </c>
      <c r="G1" s="48" t="s">
        <v>828</v>
      </c>
      <c r="H1" s="48" t="s">
        <v>508</v>
      </c>
      <c r="I1" s="48" t="s">
        <v>829</v>
      </c>
    </row>
    <row r="2" ht="22.5" customHeight="1"/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  <col customWidth="1" hidden="1" min="3" max="3" width="29.13"/>
    <col customWidth="1" min="4" max="4" width="15.13"/>
    <col customWidth="1" min="5" max="5" width="13.88"/>
    <col customWidth="1" min="6" max="6" width="13.13"/>
  </cols>
  <sheetData>
    <row r="1" ht="22.5" customHeight="1">
      <c r="A1" s="47" t="s">
        <v>830</v>
      </c>
      <c r="B1" s="191" t="s">
        <v>831</v>
      </c>
      <c r="C1" s="191" t="s">
        <v>832</v>
      </c>
      <c r="D1" s="41" t="s">
        <v>833</v>
      </c>
      <c r="E1" s="41" t="s">
        <v>834</v>
      </c>
      <c r="F1" s="41" t="s">
        <v>835</v>
      </c>
    </row>
    <row r="2" ht="22.5" customHeight="1">
      <c r="A2" s="41">
        <v>15.0</v>
      </c>
      <c r="B2" s="192" t="s">
        <v>140</v>
      </c>
      <c r="C2" s="42" t="str">
        <f t="array" ref="C2">IF(EXACT(B2, ""), "", XLOOKUP(B2, Equipo[tag], Equipo[user], ""))</f>
        <v>lbernal</v>
      </c>
      <c r="D2" s="70" t="s">
        <v>262</v>
      </c>
      <c r="E2" s="41">
        <v>0.0</v>
      </c>
      <c r="F2" s="41">
        <v>0.0</v>
      </c>
    </row>
    <row r="3" ht="22.5" customHeight="1">
      <c r="A3" s="41">
        <v>2.0</v>
      </c>
      <c r="B3" s="193" t="s">
        <v>115</v>
      </c>
      <c r="C3" s="42" t="str">
        <f t="array" ref="C3">IF(EXACT(B3, ""), "", XLOOKUP(B3, Equipo[tag], Equipo[user], ""))</f>
        <v>alara</v>
      </c>
      <c r="D3" s="70" t="s">
        <v>262</v>
      </c>
      <c r="E3" s="41">
        <v>0.0</v>
      </c>
      <c r="F3" s="41">
        <v>0.0</v>
      </c>
    </row>
    <row r="4" ht="22.5" customHeight="1">
      <c r="A4" s="41">
        <v>5.0</v>
      </c>
      <c r="B4" s="193" t="s">
        <v>122</v>
      </c>
      <c r="C4" s="42" t="str">
        <f t="array" ref="C4">IF(EXACT(B4, ""), "", XLOOKUP(B4, Equipo[tag], Equipo[user], ""))</f>
        <v>etorres</v>
      </c>
      <c r="D4" s="70" t="s">
        <v>262</v>
      </c>
      <c r="E4" s="41">
        <v>0.0</v>
      </c>
      <c r="F4" s="41">
        <v>68.0</v>
      </c>
    </row>
    <row r="5" ht="22.5" customHeight="1">
      <c r="A5" s="41">
        <v>10.0</v>
      </c>
      <c r="B5" s="193" t="s">
        <v>131</v>
      </c>
      <c r="C5" s="42" t="str">
        <f t="array" ref="C5">IF(EXACT(B5, ""), "", XLOOKUP(B5, Equipo[tag], Equipo[user], ""))</f>
        <v>jlopez</v>
      </c>
      <c r="D5" s="70" t="s">
        <v>262</v>
      </c>
      <c r="E5" s="41">
        <v>0.0</v>
      </c>
      <c r="F5" s="41">
        <v>136.0</v>
      </c>
    </row>
    <row r="6" ht="22.5" customHeight="1">
      <c r="A6" s="41">
        <v>12.0</v>
      </c>
      <c r="B6" s="193" t="s">
        <v>134</v>
      </c>
      <c r="C6" s="42" t="str">
        <f t="array" ref="C6">IF(EXACT(B6, ""), "", XLOOKUP(B6, Equipo[tag], Equipo[user], ""))</f>
        <v>ameza</v>
      </c>
      <c r="D6" s="70" t="s">
        <v>262</v>
      </c>
      <c r="E6" s="41">
        <v>0.0</v>
      </c>
      <c r="F6" s="41">
        <v>68.0</v>
      </c>
    </row>
    <row r="7" ht="22.5" customHeight="1">
      <c r="A7" s="41">
        <v>26.0</v>
      </c>
      <c r="B7" s="193" t="s">
        <v>161</v>
      </c>
      <c r="C7" s="42" t="str">
        <f t="array" ref="C7">IF(EXACT(B7, ""), "", XLOOKUP(B7, Equipo[tag], Equipo[user], ""))</f>
        <v>lolvera</v>
      </c>
      <c r="D7" s="70" t="s">
        <v>262</v>
      </c>
      <c r="E7" s="41">
        <v>0.0</v>
      </c>
      <c r="F7" s="41">
        <v>68.0</v>
      </c>
    </row>
    <row r="8" ht="22.5" customHeight="1">
      <c r="A8" s="41">
        <v>11.0</v>
      </c>
      <c r="B8" s="193" t="s">
        <v>132</v>
      </c>
      <c r="C8" s="42" t="str">
        <f t="array" ref="C8">IF(EXACT(B8, ""), "", XLOOKUP(B8, Equipo[tag], Equipo[user], ""))</f>
        <v>asierra</v>
      </c>
      <c r="D8" s="70" t="s">
        <v>262</v>
      </c>
      <c r="E8" s="41">
        <v>0.0</v>
      </c>
      <c r="F8" s="41">
        <v>136.0</v>
      </c>
    </row>
    <row r="9" ht="22.5" customHeight="1">
      <c r="A9" s="41">
        <v>16.0</v>
      </c>
      <c r="B9" s="193" t="s">
        <v>141</v>
      </c>
      <c r="C9" s="42" t="str">
        <f t="array" ref="C9">IF(EXACT(B9, ""), "", XLOOKUP(B9, Equipo[tag], Equipo[user], ""))</f>
        <v>mramirez</v>
      </c>
      <c r="D9" s="70" t="s">
        <v>262</v>
      </c>
      <c r="E9" s="41">
        <v>0.0</v>
      </c>
      <c r="F9" s="41">
        <v>0.0</v>
      </c>
    </row>
    <row r="10" ht="22.5" customHeight="1">
      <c r="A10" s="41">
        <v>18.0</v>
      </c>
      <c r="B10" s="193" t="s">
        <v>143</v>
      </c>
      <c r="C10" s="42" t="str">
        <f t="array" ref="C10">IF(EXACT(B10, ""), "", XLOOKUP(B10, Equipo[tag], Equipo[user], ""))</f>
        <v>avazquez</v>
      </c>
      <c r="D10" s="70" t="s">
        <v>262</v>
      </c>
      <c r="E10" s="41">
        <v>0.0</v>
      </c>
      <c r="F10" s="41">
        <v>68.0</v>
      </c>
    </row>
    <row r="11" ht="22.5" customHeight="1">
      <c r="A11" s="41">
        <v>6.0</v>
      </c>
      <c r="B11" s="193" t="s">
        <v>123</v>
      </c>
      <c r="C11" s="42" t="str">
        <f t="array" ref="C11">IF(EXACT(B11, ""), "", XLOOKUP(B11, Equipo[tag], Equipo[user], ""))</f>
        <v>econtreras</v>
      </c>
      <c r="D11" s="70" t="s">
        <v>262</v>
      </c>
      <c r="E11" s="41">
        <v>0.0</v>
      </c>
      <c r="F11" s="41">
        <v>136.0</v>
      </c>
    </row>
    <row r="12" ht="22.5" customHeight="1">
      <c r="A12" s="41">
        <v>8.0</v>
      </c>
      <c r="B12" s="193" t="s">
        <v>128</v>
      </c>
      <c r="C12" s="42" t="str">
        <f t="array" ref="C12">IF(EXACT(B12, ""), "", XLOOKUP(B12, Equipo[tag], Equipo[user], ""))</f>
        <v>gguadarrama</v>
      </c>
      <c r="D12" s="70" t="s">
        <v>262</v>
      </c>
      <c r="E12" s="41">
        <v>0.0</v>
      </c>
      <c r="F12" s="41">
        <v>136.0</v>
      </c>
    </row>
    <row r="13" ht="22.5" customHeight="1">
      <c r="A13" s="41">
        <v>28.0</v>
      </c>
      <c r="B13" s="193" t="s">
        <v>167</v>
      </c>
      <c r="C13" s="42" t="str">
        <f t="array" ref="C13">IF(EXACT(B13, ""), "", XLOOKUP(B13, Equipo[tag], Equipo[user], ""))</f>
        <v>rescobar</v>
      </c>
      <c r="D13" s="70" t="s">
        <v>262</v>
      </c>
      <c r="E13" s="41">
        <v>0.0</v>
      </c>
      <c r="F13" s="41">
        <v>34.0</v>
      </c>
    </row>
    <row r="14" ht="22.5" customHeight="1">
      <c r="A14" s="41">
        <v>4.0</v>
      </c>
      <c r="B14" s="193" t="s">
        <v>120</v>
      </c>
      <c r="C14" s="42" t="str">
        <f t="array" ref="C14">IF(EXACT(B14, ""), "", XLOOKUP(B14, Equipo[tag], Equipo[user], ""))</f>
        <v>dperez</v>
      </c>
      <c r="D14" s="70" t="s">
        <v>262</v>
      </c>
      <c r="E14" s="41">
        <v>0.0</v>
      </c>
      <c r="F14" s="41">
        <v>34.0</v>
      </c>
    </row>
    <row r="15" ht="22.5" customHeight="1">
      <c r="A15" s="41">
        <v>22.0</v>
      </c>
      <c r="B15" s="193" t="s">
        <v>150</v>
      </c>
      <c r="C15" s="42" t="str">
        <f t="array" ref="C15">IF(EXACT(B15, ""), "", XLOOKUP(B15, Equipo[tag], Equipo[user], ""))</f>
        <v>hloredo</v>
      </c>
      <c r="D15" s="70" t="s">
        <v>262</v>
      </c>
      <c r="E15" s="41">
        <v>0.0</v>
      </c>
      <c r="F15" s="41">
        <v>34.0</v>
      </c>
    </row>
    <row r="16" ht="22.5" customHeight="1">
      <c r="A16" s="41">
        <v>20.0</v>
      </c>
      <c r="B16" s="193" t="s">
        <v>146</v>
      </c>
      <c r="C16" s="42" t="str">
        <f t="array" ref="C16">IF(EXACT(B16, ""), "", XLOOKUP(B16, Equipo[tag], Equipo[user], ""))</f>
        <v>czamudio</v>
      </c>
      <c r="D16" s="70" t="s">
        <v>262</v>
      </c>
      <c r="E16" s="41">
        <v>0.0</v>
      </c>
      <c r="F16" s="41">
        <v>34.0</v>
      </c>
    </row>
    <row r="17" ht="22.5" customHeight="1">
      <c r="A17" s="41">
        <v>21.0</v>
      </c>
      <c r="B17" s="193" t="s">
        <v>148</v>
      </c>
      <c r="C17" s="42" t="str">
        <f t="array" ref="C17">IF(EXACT(B17, ""), "", XLOOKUP(B17, Equipo[tag], Equipo[user], ""))</f>
        <v>dgonzalez</v>
      </c>
      <c r="D17" s="70" t="s">
        <v>262</v>
      </c>
      <c r="E17" s="41">
        <v>0.0</v>
      </c>
      <c r="F17" s="41">
        <v>34.0</v>
      </c>
    </row>
    <row r="18" ht="22.5" customHeight="1">
      <c r="A18" s="41">
        <v>25.0</v>
      </c>
      <c r="B18" s="193" t="s">
        <v>159</v>
      </c>
      <c r="C18" s="42" t="str">
        <f t="array" ref="C18">IF(EXACT(B18, ""), "", XLOOKUP(B18, Equipo[tag], Equipo[user], ""))</f>
        <v>egonzalez</v>
      </c>
      <c r="D18" s="70" t="s">
        <v>262</v>
      </c>
      <c r="E18" s="41">
        <v>0.0</v>
      </c>
      <c r="F18" s="41">
        <v>34.0</v>
      </c>
    </row>
    <row r="19" ht="22.5" customHeight="1">
      <c r="A19" s="41">
        <v>23.0</v>
      </c>
      <c r="B19" s="193" t="s">
        <v>153</v>
      </c>
      <c r="C19" s="42" t="str">
        <f t="array" ref="C19">IF(EXACT(B19, ""), "", XLOOKUP(B19, Equipo[tag], Equipo[user], ""))</f>
        <v>eramirez</v>
      </c>
      <c r="D19" s="70" t="s">
        <v>262</v>
      </c>
      <c r="E19" s="41">
        <v>0.0</v>
      </c>
      <c r="F19" s="41">
        <v>17.0</v>
      </c>
    </row>
  </sheetData>
  <dataValidations>
    <dataValidation type="list" allowBlank="1" sqref="B2:B19 D2:D19">
      <formula1>#REF!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  <tableParts count="1">
    <tablePart r:id="rId2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88"/>
    <col customWidth="1" min="2" max="3" width="16.75"/>
    <col customWidth="1" min="4" max="4" width="13.38"/>
    <col customWidth="1" min="5" max="5" width="15.5"/>
    <col customWidth="1" min="6" max="6" width="27.75"/>
    <col customWidth="1" min="7" max="11" width="30.88"/>
  </cols>
  <sheetData>
    <row r="1" ht="22.5" customHeight="1">
      <c r="A1" s="47" t="s">
        <v>836</v>
      </c>
      <c r="B1" s="191" t="s">
        <v>837</v>
      </c>
      <c r="C1" s="48" t="s">
        <v>508</v>
      </c>
      <c r="D1" s="191" t="s">
        <v>838</v>
      </c>
      <c r="E1" s="48" t="s">
        <v>505</v>
      </c>
      <c r="F1" s="47" t="s">
        <v>839</v>
      </c>
      <c r="G1" s="48" t="s">
        <v>840</v>
      </c>
      <c r="H1" s="48" t="s">
        <v>212</v>
      </c>
      <c r="I1" s="49" t="s">
        <v>841</v>
      </c>
      <c r="J1" s="48" t="s">
        <v>842</v>
      </c>
      <c r="K1" s="49" t="s">
        <v>843</v>
      </c>
    </row>
    <row r="2" ht="22.5" customHeight="1">
      <c r="A2" s="42" t="s">
        <v>844</v>
      </c>
      <c r="B2" s="69" t="s">
        <v>845</v>
      </c>
      <c r="C2" s="44" t="s">
        <v>846</v>
      </c>
      <c r="D2" s="70" t="s">
        <v>226</v>
      </c>
      <c r="E2" s="44" t="s">
        <v>226</v>
      </c>
      <c r="F2" s="42" t="s">
        <v>847</v>
      </c>
      <c r="G2" s="194" t="s">
        <v>173</v>
      </c>
      <c r="H2" s="194" t="s">
        <v>140</v>
      </c>
      <c r="I2" s="195" t="s">
        <v>161</v>
      </c>
      <c r="J2" s="194" t="s">
        <v>148</v>
      </c>
      <c r="K2" s="57" t="s">
        <v>848</v>
      </c>
    </row>
    <row r="3" ht="22.5" customHeight="1">
      <c r="A3" s="42" t="s">
        <v>849</v>
      </c>
      <c r="B3" s="42" t="s">
        <v>845</v>
      </c>
      <c r="C3" s="44" t="s">
        <v>846</v>
      </c>
      <c r="D3" s="70" t="s">
        <v>226</v>
      </c>
      <c r="E3" s="44" t="s">
        <v>226</v>
      </c>
      <c r="F3" s="42" t="s">
        <v>850</v>
      </c>
      <c r="G3" s="194" t="s">
        <v>173</v>
      </c>
      <c r="H3" s="194" t="s">
        <v>140</v>
      </c>
      <c r="I3" s="195" t="s">
        <v>851</v>
      </c>
      <c r="J3" s="194" t="s">
        <v>148</v>
      </c>
      <c r="K3" s="195" t="s">
        <v>852</v>
      </c>
    </row>
    <row r="4" ht="22.5" customHeight="1">
      <c r="A4" s="42" t="s">
        <v>853</v>
      </c>
      <c r="B4" s="69" t="s">
        <v>845</v>
      </c>
      <c r="C4" s="44" t="s">
        <v>846</v>
      </c>
      <c r="D4" s="70" t="s">
        <v>226</v>
      </c>
      <c r="E4" s="44" t="s">
        <v>226</v>
      </c>
      <c r="F4" s="42" t="s">
        <v>854</v>
      </c>
      <c r="G4" s="194" t="s">
        <v>173</v>
      </c>
      <c r="H4" s="194" t="s">
        <v>140</v>
      </c>
      <c r="I4" s="195" t="s">
        <v>855</v>
      </c>
      <c r="J4" s="194" t="s">
        <v>148</v>
      </c>
      <c r="K4" s="195" t="s">
        <v>852</v>
      </c>
    </row>
    <row r="5" ht="22.5" customHeight="1">
      <c r="A5" s="42" t="s">
        <v>856</v>
      </c>
      <c r="B5" s="69" t="s">
        <v>845</v>
      </c>
      <c r="C5" s="44" t="s">
        <v>846</v>
      </c>
      <c r="D5" s="70" t="s">
        <v>226</v>
      </c>
      <c r="E5" s="44" t="s">
        <v>226</v>
      </c>
      <c r="F5" s="42" t="s">
        <v>857</v>
      </c>
      <c r="G5" s="194" t="s">
        <v>173</v>
      </c>
      <c r="H5" s="194" t="s">
        <v>122</v>
      </c>
      <c r="I5" s="195" t="s">
        <v>858</v>
      </c>
      <c r="J5" s="194" t="s">
        <v>148</v>
      </c>
      <c r="K5" s="195" t="s">
        <v>859</v>
      </c>
    </row>
    <row r="6" ht="22.5" customHeight="1">
      <c r="A6" s="42" t="s">
        <v>860</v>
      </c>
      <c r="B6" s="69" t="s">
        <v>861</v>
      </c>
      <c r="C6" s="44" t="s">
        <v>846</v>
      </c>
      <c r="D6" s="70" t="s">
        <v>226</v>
      </c>
      <c r="E6" s="44" t="s">
        <v>226</v>
      </c>
      <c r="F6" s="42" t="s">
        <v>862</v>
      </c>
      <c r="G6" s="194" t="s">
        <v>173</v>
      </c>
      <c r="H6" s="194" t="s">
        <v>140</v>
      </c>
      <c r="I6" s="195" t="s">
        <v>863</v>
      </c>
      <c r="J6" s="194" t="s">
        <v>864</v>
      </c>
      <c r="K6" s="195" t="s">
        <v>852</v>
      </c>
    </row>
    <row r="7" ht="22.5" customHeight="1">
      <c r="A7" s="42" t="s">
        <v>865</v>
      </c>
      <c r="B7" s="42" t="s">
        <v>845</v>
      </c>
      <c r="C7" s="44" t="s">
        <v>846</v>
      </c>
      <c r="D7" s="70" t="s">
        <v>866</v>
      </c>
      <c r="E7" s="44" t="s">
        <v>226</v>
      </c>
      <c r="F7" s="42" t="s">
        <v>867</v>
      </c>
      <c r="G7" s="194" t="s">
        <v>173</v>
      </c>
      <c r="H7" s="194" t="s">
        <v>157</v>
      </c>
      <c r="I7" s="196" t="s">
        <v>868</v>
      </c>
      <c r="J7" s="194" t="s">
        <v>132</v>
      </c>
      <c r="K7" s="195" t="s">
        <v>157</v>
      </c>
    </row>
    <row r="8" ht="22.5" customHeight="1">
      <c r="A8" s="42" t="s">
        <v>869</v>
      </c>
      <c r="B8" s="69" t="s">
        <v>861</v>
      </c>
      <c r="C8" s="44" t="s">
        <v>846</v>
      </c>
      <c r="D8" s="70" t="s">
        <v>226</v>
      </c>
      <c r="E8" s="44" t="s">
        <v>226</v>
      </c>
      <c r="F8" s="42" t="s">
        <v>870</v>
      </c>
      <c r="G8" s="194" t="s">
        <v>173</v>
      </c>
      <c r="H8" s="194" t="s">
        <v>140</v>
      </c>
      <c r="I8" s="195" t="s">
        <v>871</v>
      </c>
      <c r="J8" s="41" t="s">
        <v>234</v>
      </c>
      <c r="K8" s="195" t="s">
        <v>852</v>
      </c>
    </row>
    <row r="9" ht="22.5" customHeight="1">
      <c r="A9" s="42" t="s">
        <v>872</v>
      </c>
      <c r="B9" s="69" t="s">
        <v>861</v>
      </c>
      <c r="C9" s="44" t="s">
        <v>846</v>
      </c>
      <c r="D9" s="70" t="s">
        <v>226</v>
      </c>
      <c r="E9" s="44" t="s">
        <v>226</v>
      </c>
      <c r="F9" s="42" t="s">
        <v>873</v>
      </c>
      <c r="G9" s="194" t="s">
        <v>173</v>
      </c>
      <c r="H9" s="194" t="s">
        <v>140</v>
      </c>
      <c r="I9" s="195" t="s">
        <v>871</v>
      </c>
      <c r="J9" s="41" t="s">
        <v>234</v>
      </c>
      <c r="K9" s="195" t="s">
        <v>852</v>
      </c>
    </row>
    <row r="10" ht="22.5" customHeight="1">
      <c r="A10" s="42" t="s">
        <v>874</v>
      </c>
      <c r="B10" s="69" t="s">
        <v>861</v>
      </c>
      <c r="C10" s="44" t="s">
        <v>846</v>
      </c>
      <c r="D10" s="70" t="s">
        <v>226</v>
      </c>
      <c r="E10" s="44" t="s">
        <v>226</v>
      </c>
      <c r="F10" s="42" t="s">
        <v>875</v>
      </c>
      <c r="G10" s="194" t="s">
        <v>173</v>
      </c>
      <c r="H10" s="194" t="s">
        <v>140</v>
      </c>
      <c r="I10" s="195" t="s">
        <v>871</v>
      </c>
      <c r="J10" s="41" t="s">
        <v>234</v>
      </c>
      <c r="K10" s="195" t="s">
        <v>852</v>
      </c>
    </row>
    <row r="11" ht="22.5" customHeight="1">
      <c r="A11" s="42" t="s">
        <v>876</v>
      </c>
      <c r="B11" s="69" t="s">
        <v>877</v>
      </c>
      <c r="C11" s="44" t="s">
        <v>846</v>
      </c>
      <c r="D11" s="70" t="s">
        <v>226</v>
      </c>
      <c r="E11" s="44" t="s">
        <v>226</v>
      </c>
      <c r="F11" s="42" t="s">
        <v>878</v>
      </c>
      <c r="G11" s="194" t="s">
        <v>173</v>
      </c>
      <c r="H11" s="194" t="s">
        <v>140</v>
      </c>
      <c r="I11" s="195" t="s">
        <v>871</v>
      </c>
      <c r="J11" s="41" t="s">
        <v>234</v>
      </c>
      <c r="K11" s="195" t="s">
        <v>852</v>
      </c>
    </row>
    <row r="12" ht="22.5" customHeight="1">
      <c r="A12" s="42" t="s">
        <v>879</v>
      </c>
      <c r="B12" s="69" t="s">
        <v>861</v>
      </c>
      <c r="C12" s="44" t="s">
        <v>846</v>
      </c>
      <c r="D12" s="70" t="s">
        <v>226</v>
      </c>
      <c r="E12" s="44" t="s">
        <v>226</v>
      </c>
      <c r="F12" s="42" t="s">
        <v>880</v>
      </c>
      <c r="G12" s="194" t="s">
        <v>173</v>
      </c>
      <c r="H12" s="194" t="s">
        <v>140</v>
      </c>
      <c r="I12" s="195" t="s">
        <v>871</v>
      </c>
      <c r="J12" s="41" t="s">
        <v>234</v>
      </c>
      <c r="K12" s="195" t="s">
        <v>852</v>
      </c>
    </row>
    <row r="13" ht="22.5" customHeight="1">
      <c r="A13" s="42" t="s">
        <v>881</v>
      </c>
      <c r="B13" s="69" t="s">
        <v>877</v>
      </c>
      <c r="C13" s="44" t="s">
        <v>846</v>
      </c>
      <c r="D13" s="70" t="s">
        <v>226</v>
      </c>
      <c r="E13" s="44" t="s">
        <v>226</v>
      </c>
      <c r="F13" s="42" t="s">
        <v>882</v>
      </c>
      <c r="G13" s="194" t="s">
        <v>173</v>
      </c>
      <c r="H13" s="194" t="s">
        <v>883</v>
      </c>
      <c r="I13" s="195" t="s">
        <v>884</v>
      </c>
      <c r="J13" s="41" t="s">
        <v>234</v>
      </c>
      <c r="K13" s="195" t="s">
        <v>852</v>
      </c>
    </row>
    <row r="14" ht="22.5" customHeight="1">
      <c r="A14" s="42" t="s">
        <v>885</v>
      </c>
      <c r="B14" s="69" t="s">
        <v>861</v>
      </c>
      <c r="C14" s="44" t="s">
        <v>846</v>
      </c>
      <c r="D14" s="70" t="s">
        <v>226</v>
      </c>
      <c r="E14" s="44" t="s">
        <v>226</v>
      </c>
      <c r="F14" s="42" t="s">
        <v>886</v>
      </c>
      <c r="G14" s="194" t="s">
        <v>173</v>
      </c>
      <c r="H14" s="194" t="s">
        <v>140</v>
      </c>
      <c r="I14" s="195" t="s">
        <v>871</v>
      </c>
      <c r="J14" s="41" t="s">
        <v>234</v>
      </c>
      <c r="K14" s="195" t="s">
        <v>852</v>
      </c>
    </row>
    <row r="15" ht="22.5" customHeight="1">
      <c r="A15" s="42" t="s">
        <v>887</v>
      </c>
      <c r="B15" s="69" t="s">
        <v>861</v>
      </c>
      <c r="C15" s="44" t="s">
        <v>846</v>
      </c>
      <c r="D15" s="70" t="s">
        <v>226</v>
      </c>
      <c r="E15" s="44" t="s">
        <v>226</v>
      </c>
      <c r="F15" s="42" t="s">
        <v>888</v>
      </c>
      <c r="G15" s="194" t="s">
        <v>173</v>
      </c>
      <c r="H15" s="194" t="s">
        <v>883</v>
      </c>
      <c r="I15" s="195" t="s">
        <v>884</v>
      </c>
      <c r="J15" s="41" t="s">
        <v>234</v>
      </c>
      <c r="K15" s="195" t="s">
        <v>852</v>
      </c>
    </row>
    <row r="16" ht="22.5" customHeight="1">
      <c r="A16" s="42" t="s">
        <v>889</v>
      </c>
      <c r="B16" s="69" t="s">
        <v>861</v>
      </c>
      <c r="C16" s="44" t="s">
        <v>846</v>
      </c>
      <c r="D16" s="70" t="s">
        <v>226</v>
      </c>
      <c r="E16" s="44" t="s">
        <v>226</v>
      </c>
      <c r="F16" s="42" t="s">
        <v>890</v>
      </c>
      <c r="G16" s="194" t="s">
        <v>173</v>
      </c>
      <c r="H16" s="194" t="s">
        <v>140</v>
      </c>
      <c r="I16" s="195" t="s">
        <v>871</v>
      </c>
      <c r="J16" s="41" t="s">
        <v>234</v>
      </c>
      <c r="K16" s="195" t="s">
        <v>852</v>
      </c>
    </row>
    <row r="17" ht="22.5" customHeight="1">
      <c r="A17" s="42" t="s">
        <v>891</v>
      </c>
      <c r="B17" s="69" t="s">
        <v>877</v>
      </c>
      <c r="C17" s="44" t="s">
        <v>846</v>
      </c>
      <c r="D17" s="70" t="s">
        <v>226</v>
      </c>
      <c r="E17" s="44" t="s">
        <v>226</v>
      </c>
      <c r="F17" s="42" t="s">
        <v>892</v>
      </c>
      <c r="G17" s="194" t="s">
        <v>173</v>
      </c>
      <c r="H17" s="194" t="s">
        <v>171</v>
      </c>
      <c r="I17" s="195" t="s">
        <v>871</v>
      </c>
      <c r="J17" s="194" t="s">
        <v>148</v>
      </c>
      <c r="K17" s="195" t="s">
        <v>852</v>
      </c>
    </row>
    <row r="18" ht="22.5" customHeight="1">
      <c r="A18" s="42" t="s">
        <v>893</v>
      </c>
      <c r="B18" s="69" t="s">
        <v>861</v>
      </c>
      <c r="C18" s="44" t="s">
        <v>846</v>
      </c>
      <c r="D18" s="70" t="s">
        <v>226</v>
      </c>
      <c r="E18" s="44" t="s">
        <v>226</v>
      </c>
      <c r="F18" s="42" t="s">
        <v>894</v>
      </c>
      <c r="G18" s="194" t="s">
        <v>173</v>
      </c>
      <c r="H18" s="194" t="s">
        <v>883</v>
      </c>
      <c r="I18" s="195" t="s">
        <v>129</v>
      </c>
      <c r="J18" s="41" t="s">
        <v>234</v>
      </c>
      <c r="K18" s="195" t="s">
        <v>852</v>
      </c>
    </row>
    <row r="19" ht="22.5" customHeight="1">
      <c r="A19" s="42" t="s">
        <v>895</v>
      </c>
      <c r="B19" s="69" t="s">
        <v>861</v>
      </c>
      <c r="C19" s="44" t="s">
        <v>846</v>
      </c>
      <c r="D19" s="70" t="s">
        <v>226</v>
      </c>
      <c r="E19" s="44" t="s">
        <v>226</v>
      </c>
      <c r="F19" s="42" t="s">
        <v>896</v>
      </c>
      <c r="G19" s="194" t="s">
        <v>173</v>
      </c>
      <c r="H19" s="194" t="s">
        <v>140</v>
      </c>
      <c r="I19" s="195" t="s">
        <v>871</v>
      </c>
      <c r="J19" s="41" t="s">
        <v>234</v>
      </c>
      <c r="K19" s="195" t="s">
        <v>852</v>
      </c>
    </row>
    <row r="20" ht="22.5" customHeight="1">
      <c r="A20" s="42" t="s">
        <v>897</v>
      </c>
      <c r="B20" s="69" t="s">
        <v>861</v>
      </c>
      <c r="C20" s="44" t="s">
        <v>846</v>
      </c>
      <c r="D20" s="70" t="s">
        <v>226</v>
      </c>
      <c r="E20" s="44" t="s">
        <v>226</v>
      </c>
      <c r="F20" s="42" t="s">
        <v>898</v>
      </c>
      <c r="G20" s="194" t="s">
        <v>173</v>
      </c>
      <c r="H20" s="194" t="s">
        <v>140</v>
      </c>
      <c r="I20" s="195" t="s">
        <v>871</v>
      </c>
      <c r="J20" s="41" t="s">
        <v>234</v>
      </c>
      <c r="K20" s="195" t="s">
        <v>852</v>
      </c>
    </row>
    <row r="21" ht="22.5" customHeight="1">
      <c r="A21" s="197" t="s">
        <v>899</v>
      </c>
      <c r="B21" s="69" t="s">
        <v>877</v>
      </c>
      <c r="C21" s="44" t="s">
        <v>846</v>
      </c>
      <c r="D21" s="70" t="s">
        <v>866</v>
      </c>
      <c r="E21" s="44" t="s">
        <v>226</v>
      </c>
      <c r="F21" s="198" t="s">
        <v>900</v>
      </c>
      <c r="G21" s="194" t="s">
        <v>173</v>
      </c>
      <c r="H21" s="199" t="s">
        <v>143</v>
      </c>
      <c r="I21" s="200" t="s">
        <v>148</v>
      </c>
      <c r="J21" s="194" t="s">
        <v>148</v>
      </c>
      <c r="K21" s="200" t="s">
        <v>148</v>
      </c>
    </row>
  </sheetData>
  <dataValidations>
    <dataValidation type="list" allowBlank="1" sqref="B2:B21">
      <formula1>"DEV,PROD"</formula1>
    </dataValidation>
    <dataValidation type="list" allowBlank="1" sqref="C2:C21">
      <formula1>"Activo,Inactivo,En mantenimiento,Suspendido"</formula1>
    </dataValidation>
    <dataValidation type="list" allowBlank="1" sqref="D2:D21">
      <formula1>"Academic,I+D"</formula1>
    </dataValidation>
    <dataValidation type="list" allowBlank="1" sqref="E2:E21">
      <formula1>"Academic,Sabbi,Togie,Atrevus"</formula1>
    </dataValidation>
  </dataValidations>
  <hyperlinks>
    <hyperlink r:id="rId1" ref="G2"/>
    <hyperlink r:id="rId2" ref="H2"/>
    <hyperlink r:id="rId3" ref="I2"/>
    <hyperlink r:id="rId4" ref="J2"/>
    <hyperlink r:id="rId5" ref="G3"/>
    <hyperlink r:id="rId6" ref="H3"/>
    <hyperlink r:id="rId7" ref="I3"/>
    <hyperlink r:id="rId8" ref="J3"/>
    <hyperlink r:id="rId9" ref="K3"/>
    <hyperlink r:id="rId10" ref="G4"/>
    <hyperlink r:id="rId11" ref="H4"/>
    <hyperlink r:id="rId12" ref="I4"/>
    <hyperlink r:id="rId13" ref="J4"/>
    <hyperlink r:id="rId14" ref="K4"/>
    <hyperlink r:id="rId15" ref="G5"/>
    <hyperlink r:id="rId16" ref="H5"/>
    <hyperlink r:id="rId17" ref="I5"/>
    <hyperlink r:id="rId18" ref="J5"/>
    <hyperlink r:id="rId19" ref="K5"/>
    <hyperlink r:id="rId20" ref="G6"/>
    <hyperlink r:id="rId21" ref="H6"/>
    <hyperlink r:id="rId22" ref="I6"/>
    <hyperlink r:id="rId23" ref="J6"/>
    <hyperlink r:id="rId24" ref="K6"/>
    <hyperlink r:id="rId25" ref="G7"/>
    <hyperlink r:id="rId26" ref="H7"/>
    <hyperlink r:id="rId27" ref="I7"/>
    <hyperlink r:id="rId28" ref="J7"/>
    <hyperlink r:id="rId29" ref="K7"/>
    <hyperlink r:id="rId30" ref="G8"/>
    <hyperlink r:id="rId31" ref="H8"/>
    <hyperlink r:id="rId32" ref="I8"/>
    <hyperlink r:id="rId33" ref="K8"/>
    <hyperlink r:id="rId34" ref="G9"/>
    <hyperlink r:id="rId35" ref="H9"/>
    <hyperlink r:id="rId36" ref="I9"/>
    <hyperlink r:id="rId37" ref="K9"/>
    <hyperlink r:id="rId38" ref="G10"/>
    <hyperlink r:id="rId39" ref="H10"/>
    <hyperlink r:id="rId40" ref="I10"/>
    <hyperlink r:id="rId41" ref="K10"/>
    <hyperlink r:id="rId42" ref="G11"/>
    <hyperlink r:id="rId43" ref="H11"/>
    <hyperlink r:id="rId44" ref="I11"/>
    <hyperlink r:id="rId45" ref="K11"/>
    <hyperlink r:id="rId46" ref="G12"/>
    <hyperlink r:id="rId47" ref="H12"/>
    <hyperlink r:id="rId48" ref="I12"/>
    <hyperlink r:id="rId49" ref="K12"/>
    <hyperlink r:id="rId50" ref="G13"/>
    <hyperlink r:id="rId51" ref="H13"/>
    <hyperlink r:id="rId52" ref="I13"/>
    <hyperlink r:id="rId53" ref="K13"/>
    <hyperlink r:id="rId54" ref="G14"/>
    <hyperlink r:id="rId55" ref="H14"/>
    <hyperlink r:id="rId56" ref="I14"/>
    <hyperlink r:id="rId57" ref="K14"/>
    <hyperlink r:id="rId58" ref="G15"/>
    <hyperlink r:id="rId59" ref="H15"/>
    <hyperlink r:id="rId60" ref="I15"/>
    <hyperlink r:id="rId61" ref="K15"/>
    <hyperlink r:id="rId62" ref="G16"/>
    <hyperlink r:id="rId63" ref="H16"/>
    <hyperlink r:id="rId64" ref="I16"/>
    <hyperlink r:id="rId65" ref="K16"/>
    <hyperlink r:id="rId66" ref="G17"/>
    <hyperlink r:id="rId67" ref="H17"/>
    <hyperlink r:id="rId68" ref="I17"/>
    <hyperlink r:id="rId69" ref="J17"/>
    <hyperlink r:id="rId70" ref="K17"/>
    <hyperlink r:id="rId71" ref="G18"/>
    <hyperlink r:id="rId72" ref="H18"/>
    <hyperlink r:id="rId73" ref="I18"/>
    <hyperlink r:id="rId74" ref="K18"/>
    <hyperlink r:id="rId75" ref="G19"/>
    <hyperlink r:id="rId76" ref="H19"/>
    <hyperlink r:id="rId77" ref="I19"/>
    <hyperlink r:id="rId78" ref="K19"/>
    <hyperlink r:id="rId79" ref="G20"/>
    <hyperlink r:id="rId80" ref="H20"/>
    <hyperlink r:id="rId81" ref="I20"/>
    <hyperlink r:id="rId82" ref="K20"/>
    <hyperlink r:id="rId83" ref="F21"/>
    <hyperlink r:id="rId84" ref="G21"/>
    <hyperlink r:id="rId85" ref="H21"/>
    <hyperlink r:id="rId86" ref="I21"/>
    <hyperlink r:id="rId87" ref="J21"/>
    <hyperlink r:id="rId88" ref="K21"/>
  </hyperlinks>
  <drawing r:id="rId89"/>
  <tableParts count="1">
    <tablePart r:id="rId9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hidden="1" min="1" max="1" width="12.63"/>
    <col customWidth="1" hidden="1" min="2" max="2" width="20.63"/>
    <col customWidth="1" min="3" max="3" width="29.13"/>
    <col hidden="1" min="4" max="4" width="12.63"/>
    <col customWidth="1" hidden="1" min="5" max="5" width="17.63"/>
    <col customWidth="1" hidden="1" min="6" max="6" width="27.0"/>
    <col hidden="1" min="7" max="7" width="12.63"/>
    <col customWidth="1" hidden="1" min="9" max="9" width="37.88"/>
    <col customWidth="1" min="10" max="10" width="19.63"/>
    <col customWidth="1" min="11" max="11" width="32.13"/>
    <col customWidth="1" min="12" max="13" width="31.88"/>
    <col customWidth="1" min="14" max="30" width="32.75"/>
    <col customWidth="1" min="31" max="31" width="4.25"/>
  </cols>
  <sheetData>
    <row r="1" ht="22.5" customHeight="1">
      <c r="A1" s="201" t="s">
        <v>29</v>
      </c>
      <c r="B1" s="202" t="s">
        <v>30</v>
      </c>
      <c r="C1" s="202" t="s">
        <v>27</v>
      </c>
      <c r="D1" s="202" t="s">
        <v>28</v>
      </c>
      <c r="E1" s="202" t="s">
        <v>31</v>
      </c>
      <c r="F1" s="202" t="s">
        <v>32</v>
      </c>
      <c r="G1" s="203" t="s">
        <v>108</v>
      </c>
      <c r="H1" s="202" t="s">
        <v>109</v>
      </c>
      <c r="I1" s="202" t="s">
        <v>110</v>
      </c>
      <c r="J1" s="202" t="s">
        <v>107</v>
      </c>
      <c r="K1" s="57" t="s">
        <v>844</v>
      </c>
      <c r="L1" s="57" t="s">
        <v>849</v>
      </c>
      <c r="M1" s="57" t="s">
        <v>853</v>
      </c>
      <c r="N1" s="57" t="s">
        <v>856</v>
      </c>
      <c r="O1" s="57" t="s">
        <v>860</v>
      </c>
      <c r="P1" s="57" t="s">
        <v>901</v>
      </c>
      <c r="Q1" s="57" t="s">
        <v>869</v>
      </c>
      <c r="R1" s="57" t="s">
        <v>872</v>
      </c>
      <c r="S1" s="57" t="s">
        <v>874</v>
      </c>
      <c r="T1" s="57" t="s">
        <v>876</v>
      </c>
      <c r="U1" s="57" t="s">
        <v>879</v>
      </c>
      <c r="V1" s="57" t="s">
        <v>881</v>
      </c>
      <c r="W1" s="57" t="s">
        <v>885</v>
      </c>
      <c r="X1" s="57" t="s">
        <v>887</v>
      </c>
      <c r="Y1" s="57" t="s">
        <v>889</v>
      </c>
      <c r="Z1" s="57" t="s">
        <v>891</v>
      </c>
      <c r="AA1" s="57" t="s">
        <v>893</v>
      </c>
      <c r="AB1" s="57" t="s">
        <v>895</v>
      </c>
      <c r="AC1" s="57" t="s">
        <v>897</v>
      </c>
      <c r="AD1" s="204" t="s">
        <v>899</v>
      </c>
      <c r="AE1" s="204" t="s">
        <v>902</v>
      </c>
    </row>
    <row r="2" ht="22.5" customHeight="1">
      <c r="A2" s="205">
        <v>4.0</v>
      </c>
      <c r="B2" s="206" t="s">
        <v>38</v>
      </c>
      <c r="C2" s="207" t="s">
        <v>36</v>
      </c>
      <c r="D2" s="207" t="s">
        <v>37</v>
      </c>
      <c r="E2" s="207" t="s">
        <v>121</v>
      </c>
      <c r="F2" s="208" t="s">
        <v>40</v>
      </c>
      <c r="G2" s="207" t="str">
        <f>LEFT(C2,FIND(" ",C2) - 1)</f>
        <v>Dulce</v>
      </c>
      <c r="H2" s="207" t="str">
        <f t="shared" ref="H2:H33" si="1">SUBSTITUTE(D2, "@bit.lat", "")</f>
        <v>dperez</v>
      </c>
      <c r="I2" s="207" t="s">
        <v>39</v>
      </c>
      <c r="J2" s="209" t="s">
        <v>120</v>
      </c>
      <c r="K2" s="210" t="s">
        <v>903</v>
      </c>
      <c r="L2" s="210" t="s">
        <v>904</v>
      </c>
      <c r="M2" s="210" t="s">
        <v>903</v>
      </c>
      <c r="N2" s="210" t="s">
        <v>905</v>
      </c>
      <c r="O2" s="210" t="s">
        <v>903</v>
      </c>
      <c r="P2" s="210" t="s">
        <v>903</v>
      </c>
      <c r="Q2" s="210" t="s">
        <v>903</v>
      </c>
      <c r="R2" s="210" t="s">
        <v>903</v>
      </c>
      <c r="S2" s="210" t="s">
        <v>903</v>
      </c>
      <c r="T2" s="210" t="s">
        <v>903</v>
      </c>
      <c r="U2" s="210" t="s">
        <v>903</v>
      </c>
      <c r="V2" s="210" t="s">
        <v>903</v>
      </c>
      <c r="W2" s="210" t="s">
        <v>903</v>
      </c>
      <c r="X2" s="210" t="s">
        <v>903</v>
      </c>
      <c r="Y2" s="210" t="s">
        <v>903</v>
      </c>
      <c r="Z2" s="210" t="s">
        <v>903</v>
      </c>
      <c r="AA2" s="210" t="s">
        <v>903</v>
      </c>
      <c r="AB2" s="210" t="s">
        <v>903</v>
      </c>
      <c r="AC2" s="210" t="s">
        <v>903</v>
      </c>
      <c r="AD2" s="210" t="s">
        <v>903</v>
      </c>
      <c r="AE2" s="210"/>
    </row>
    <row r="3" ht="22.5" customHeight="1">
      <c r="A3" s="211">
        <v>7.0</v>
      </c>
      <c r="B3" s="212" t="s">
        <v>44</v>
      </c>
      <c r="C3" s="213" t="s">
        <v>42</v>
      </c>
      <c r="D3" s="213" t="s">
        <v>43</v>
      </c>
      <c r="E3" s="213" t="s">
        <v>127</v>
      </c>
      <c r="F3" s="214" t="s">
        <v>40</v>
      </c>
      <c r="G3" s="213" t="s">
        <v>126</v>
      </c>
      <c r="H3" s="213" t="str">
        <f t="shared" si="1"/>
        <v>gmartinez</v>
      </c>
      <c r="I3" s="213" t="s">
        <v>45</v>
      </c>
      <c r="J3" s="215" t="s">
        <v>125</v>
      </c>
      <c r="K3" s="210" t="s">
        <v>903</v>
      </c>
      <c r="L3" s="210" t="s">
        <v>906</v>
      </c>
      <c r="M3" s="210" t="s">
        <v>903</v>
      </c>
      <c r="N3" s="210" t="s">
        <v>903</v>
      </c>
      <c r="O3" s="210" t="s">
        <v>903</v>
      </c>
      <c r="P3" s="210" t="s">
        <v>903</v>
      </c>
      <c r="Q3" s="210" t="s">
        <v>903</v>
      </c>
      <c r="R3" s="210" t="s">
        <v>903</v>
      </c>
      <c r="S3" s="210" t="s">
        <v>903</v>
      </c>
      <c r="T3" s="210" t="s">
        <v>903</v>
      </c>
      <c r="U3" s="210" t="s">
        <v>903</v>
      </c>
      <c r="V3" s="210" t="s">
        <v>903</v>
      </c>
      <c r="W3" s="210" t="s">
        <v>903</v>
      </c>
      <c r="X3" s="210" t="s">
        <v>903</v>
      </c>
      <c r="Y3" s="210" t="s">
        <v>903</v>
      </c>
      <c r="Z3" s="210" t="s">
        <v>903</v>
      </c>
      <c r="AA3" s="210" t="s">
        <v>903</v>
      </c>
      <c r="AB3" s="210" t="s">
        <v>903</v>
      </c>
      <c r="AC3" s="210" t="s">
        <v>903</v>
      </c>
      <c r="AD3" s="210" t="s">
        <v>903</v>
      </c>
      <c r="AE3" s="210"/>
    </row>
    <row r="4" ht="22.5" customHeight="1">
      <c r="A4" s="216">
        <v>32.0</v>
      </c>
      <c r="B4" s="217" t="s">
        <v>48</v>
      </c>
      <c r="C4" s="218" t="s">
        <v>53</v>
      </c>
      <c r="D4" s="218" t="s">
        <v>54</v>
      </c>
      <c r="E4" s="218" t="s">
        <v>181</v>
      </c>
      <c r="F4" s="219" t="s">
        <v>178</v>
      </c>
      <c r="G4" s="218" t="str">
        <f>LEFT(C4,FIND(" ",C4) - 1)</f>
        <v>Fabian</v>
      </c>
      <c r="H4" s="218" t="str">
        <f t="shared" si="1"/>
        <v>fgonzalezr</v>
      </c>
      <c r="I4" s="218" t="s">
        <v>180</v>
      </c>
      <c r="J4" s="220" t="s">
        <v>179</v>
      </c>
      <c r="K4" s="210" t="s">
        <v>903</v>
      </c>
      <c r="L4" s="210" t="s">
        <v>903</v>
      </c>
      <c r="M4" s="210" t="s">
        <v>903</v>
      </c>
      <c r="N4" s="210" t="s">
        <v>903</v>
      </c>
      <c r="O4" s="210" t="s">
        <v>903</v>
      </c>
      <c r="P4" s="210" t="s">
        <v>903</v>
      </c>
      <c r="Q4" s="210" t="s">
        <v>903</v>
      </c>
      <c r="R4" s="210" t="s">
        <v>903</v>
      </c>
      <c r="S4" s="210" t="s">
        <v>903</v>
      </c>
      <c r="T4" s="210" t="s">
        <v>903</v>
      </c>
      <c r="U4" s="210" t="s">
        <v>903</v>
      </c>
      <c r="V4" s="210" t="s">
        <v>903</v>
      </c>
      <c r="W4" s="210" t="s">
        <v>903</v>
      </c>
      <c r="X4" s="210" t="s">
        <v>903</v>
      </c>
      <c r="Y4" s="210" t="s">
        <v>903</v>
      </c>
      <c r="Z4" s="210" t="s">
        <v>903</v>
      </c>
      <c r="AA4" s="210" t="s">
        <v>903</v>
      </c>
      <c r="AB4" s="210" t="s">
        <v>903</v>
      </c>
      <c r="AC4" s="210" t="s">
        <v>903</v>
      </c>
      <c r="AD4" s="210" t="s">
        <v>903</v>
      </c>
      <c r="AE4" s="210"/>
    </row>
    <row r="5" ht="22.5" customHeight="1">
      <c r="A5" s="221">
        <v>22.0</v>
      </c>
      <c r="B5" s="222" t="s">
        <v>48</v>
      </c>
      <c r="C5" s="223" t="s">
        <v>50</v>
      </c>
      <c r="D5" s="223" t="s">
        <v>51</v>
      </c>
      <c r="E5" s="223" t="s">
        <v>152</v>
      </c>
      <c r="F5" s="224" t="s">
        <v>53</v>
      </c>
      <c r="G5" s="223" t="s">
        <v>151</v>
      </c>
      <c r="H5" s="223" t="str">
        <f t="shared" si="1"/>
        <v>hloredo</v>
      </c>
      <c r="I5" s="223" t="s">
        <v>52</v>
      </c>
      <c r="J5" s="225" t="s">
        <v>150</v>
      </c>
      <c r="K5" s="210" t="s">
        <v>903</v>
      </c>
      <c r="L5" s="210" t="s">
        <v>904</v>
      </c>
      <c r="M5" s="210" t="s">
        <v>903</v>
      </c>
      <c r="N5" s="210" t="s">
        <v>905</v>
      </c>
      <c r="O5" s="210" t="s">
        <v>903</v>
      </c>
      <c r="P5" s="210" t="s">
        <v>903</v>
      </c>
      <c r="Q5" s="210" t="s">
        <v>903</v>
      </c>
      <c r="R5" s="210" t="s">
        <v>903</v>
      </c>
      <c r="S5" s="210" t="s">
        <v>903</v>
      </c>
      <c r="T5" s="210" t="s">
        <v>903</v>
      </c>
      <c r="U5" s="210" t="s">
        <v>903</v>
      </c>
      <c r="V5" s="210" t="s">
        <v>903</v>
      </c>
      <c r="W5" s="210" t="s">
        <v>903</v>
      </c>
      <c r="X5" s="210" t="s">
        <v>903</v>
      </c>
      <c r="Y5" s="210" t="s">
        <v>903</v>
      </c>
      <c r="Z5" s="210" t="s">
        <v>903</v>
      </c>
      <c r="AA5" s="210" t="s">
        <v>903</v>
      </c>
      <c r="AB5" s="210" t="s">
        <v>903</v>
      </c>
      <c r="AC5" s="210" t="s">
        <v>903</v>
      </c>
      <c r="AD5" s="210" t="s">
        <v>903</v>
      </c>
      <c r="AE5" s="210"/>
    </row>
    <row r="6" ht="22.5" customHeight="1">
      <c r="A6" s="205">
        <v>3.0</v>
      </c>
      <c r="B6" s="226" t="s">
        <v>48</v>
      </c>
      <c r="C6" s="207" t="s">
        <v>46</v>
      </c>
      <c r="D6" s="207" t="s">
        <v>47</v>
      </c>
      <c r="E6" s="207" t="s">
        <v>119</v>
      </c>
      <c r="F6" s="208" t="s">
        <v>40</v>
      </c>
      <c r="G6" s="207" t="s">
        <v>118</v>
      </c>
      <c r="H6" s="207" t="str">
        <f t="shared" si="1"/>
        <v>aaguilar</v>
      </c>
      <c r="I6" s="207" t="s">
        <v>49</v>
      </c>
      <c r="J6" s="209" t="s">
        <v>117</v>
      </c>
      <c r="K6" s="210" t="s">
        <v>903</v>
      </c>
      <c r="L6" s="210" t="s">
        <v>904</v>
      </c>
      <c r="M6" s="210" t="s">
        <v>903</v>
      </c>
      <c r="N6" s="210" t="s">
        <v>905</v>
      </c>
      <c r="O6" s="210" t="s">
        <v>903</v>
      </c>
      <c r="P6" s="210" t="s">
        <v>903</v>
      </c>
      <c r="Q6" s="210" t="s">
        <v>903</v>
      </c>
      <c r="R6" s="210" t="s">
        <v>903</v>
      </c>
      <c r="S6" s="210" t="s">
        <v>903</v>
      </c>
      <c r="T6" s="210" t="s">
        <v>903</v>
      </c>
      <c r="U6" s="210" t="s">
        <v>903</v>
      </c>
      <c r="V6" s="210" t="s">
        <v>903</v>
      </c>
      <c r="W6" s="210" t="s">
        <v>903</v>
      </c>
      <c r="X6" s="210" t="s">
        <v>903</v>
      </c>
      <c r="Y6" s="210" t="s">
        <v>903</v>
      </c>
      <c r="Z6" s="210" t="s">
        <v>903</v>
      </c>
      <c r="AA6" s="210" t="s">
        <v>903</v>
      </c>
      <c r="AB6" s="210" t="s">
        <v>903</v>
      </c>
      <c r="AC6" s="210" t="s">
        <v>903</v>
      </c>
      <c r="AD6" s="210" t="s">
        <v>903</v>
      </c>
      <c r="AE6" s="210"/>
    </row>
    <row r="7" ht="22.5" customHeight="1">
      <c r="A7" s="221">
        <v>20.0</v>
      </c>
      <c r="B7" s="222" t="s">
        <v>48</v>
      </c>
      <c r="C7" s="223" t="s">
        <v>146</v>
      </c>
      <c r="D7" s="223" t="s">
        <v>147</v>
      </c>
      <c r="E7" s="223" t="s">
        <v>119</v>
      </c>
      <c r="F7" s="224" t="s">
        <v>50</v>
      </c>
      <c r="G7" s="223" t="str">
        <f>LEFT(C7,FIND(" ",C7) - 1)</f>
        <v>Carlos</v>
      </c>
      <c r="H7" s="223" t="str">
        <f t="shared" si="1"/>
        <v>czamudio</v>
      </c>
      <c r="I7" s="223" t="s">
        <v>49</v>
      </c>
      <c r="J7" s="225" t="s">
        <v>146</v>
      </c>
      <c r="K7" s="210" t="s">
        <v>903</v>
      </c>
      <c r="L7" s="210" t="s">
        <v>904</v>
      </c>
      <c r="M7" s="210" t="s">
        <v>903</v>
      </c>
      <c r="N7" s="210" t="s">
        <v>905</v>
      </c>
      <c r="O7" s="210" t="s">
        <v>903</v>
      </c>
      <c r="P7" s="210" t="s">
        <v>903</v>
      </c>
      <c r="Q7" s="210" t="s">
        <v>903</v>
      </c>
      <c r="R7" s="210" t="s">
        <v>903</v>
      </c>
      <c r="S7" s="210" t="s">
        <v>903</v>
      </c>
      <c r="T7" s="210" t="s">
        <v>903</v>
      </c>
      <c r="U7" s="210" t="s">
        <v>903</v>
      </c>
      <c r="V7" s="210" t="s">
        <v>903</v>
      </c>
      <c r="W7" s="210" t="s">
        <v>903</v>
      </c>
      <c r="X7" s="210" t="s">
        <v>903</v>
      </c>
      <c r="Y7" s="210" t="s">
        <v>903</v>
      </c>
      <c r="Z7" s="210" t="s">
        <v>903</v>
      </c>
      <c r="AA7" s="210" t="s">
        <v>903</v>
      </c>
      <c r="AB7" s="210" t="s">
        <v>903</v>
      </c>
      <c r="AC7" s="210" t="s">
        <v>903</v>
      </c>
      <c r="AD7" s="210" t="s">
        <v>903</v>
      </c>
      <c r="AE7" s="210"/>
    </row>
    <row r="8" ht="22.5" customHeight="1">
      <c r="A8" s="205">
        <v>21.0</v>
      </c>
      <c r="B8" s="226" t="s">
        <v>48</v>
      </c>
      <c r="C8" s="207" t="s">
        <v>55</v>
      </c>
      <c r="D8" s="207" t="s">
        <v>56</v>
      </c>
      <c r="E8" s="207" t="s">
        <v>119</v>
      </c>
      <c r="F8" s="208" t="s">
        <v>57</v>
      </c>
      <c r="G8" s="207" t="s">
        <v>149</v>
      </c>
      <c r="H8" s="207" t="str">
        <f t="shared" si="1"/>
        <v>dgonzalez</v>
      </c>
      <c r="I8" s="207" t="s">
        <v>49</v>
      </c>
      <c r="J8" s="209" t="s">
        <v>148</v>
      </c>
      <c r="K8" s="210" t="s">
        <v>907</v>
      </c>
      <c r="L8" s="210" t="s">
        <v>908</v>
      </c>
      <c r="M8" s="210" t="s">
        <v>907</v>
      </c>
      <c r="N8" s="210" t="s">
        <v>907</v>
      </c>
      <c r="O8" s="210" t="s">
        <v>903</v>
      </c>
      <c r="P8" s="210" t="s">
        <v>903</v>
      </c>
      <c r="Q8" s="210" t="s">
        <v>903</v>
      </c>
      <c r="R8" s="210" t="s">
        <v>903</v>
      </c>
      <c r="S8" s="210" t="s">
        <v>903</v>
      </c>
      <c r="T8" s="210" t="s">
        <v>903</v>
      </c>
      <c r="U8" s="210" t="s">
        <v>903</v>
      </c>
      <c r="V8" s="210" t="s">
        <v>903</v>
      </c>
      <c r="W8" s="210" t="s">
        <v>903</v>
      </c>
      <c r="X8" s="210" t="s">
        <v>903</v>
      </c>
      <c r="Y8" s="210" t="s">
        <v>903</v>
      </c>
      <c r="Z8" s="210" t="s">
        <v>907</v>
      </c>
      <c r="AA8" s="210" t="s">
        <v>903</v>
      </c>
      <c r="AB8" s="210" t="s">
        <v>903</v>
      </c>
      <c r="AC8" s="210" t="s">
        <v>903</v>
      </c>
      <c r="AD8" s="210" t="s">
        <v>909</v>
      </c>
      <c r="AE8" s="210"/>
    </row>
    <row r="9" ht="22.5" customHeight="1">
      <c r="A9" s="221">
        <v>27.0</v>
      </c>
      <c r="B9" s="222" t="s">
        <v>48</v>
      </c>
      <c r="C9" s="223" t="s">
        <v>163</v>
      </c>
      <c r="D9" s="223" t="s">
        <v>164</v>
      </c>
      <c r="E9" s="223" t="s">
        <v>119</v>
      </c>
      <c r="F9" s="224" t="s">
        <v>57</v>
      </c>
      <c r="G9" s="223" t="s">
        <v>166</v>
      </c>
      <c r="H9" s="223" t="str">
        <f t="shared" si="1"/>
        <v>nmejia</v>
      </c>
      <c r="I9" s="223" t="s">
        <v>49</v>
      </c>
      <c r="J9" s="225" t="s">
        <v>165</v>
      </c>
      <c r="K9" s="210" t="s">
        <v>903</v>
      </c>
      <c r="L9" s="210" t="s">
        <v>904</v>
      </c>
      <c r="M9" s="210" t="s">
        <v>903</v>
      </c>
      <c r="N9" s="210" t="s">
        <v>905</v>
      </c>
      <c r="O9" s="210" t="s">
        <v>903</v>
      </c>
      <c r="P9" s="210" t="s">
        <v>903</v>
      </c>
      <c r="Q9" s="210" t="s">
        <v>903</v>
      </c>
      <c r="R9" s="210" t="s">
        <v>903</v>
      </c>
      <c r="S9" s="210" t="s">
        <v>903</v>
      </c>
      <c r="T9" s="210" t="s">
        <v>903</v>
      </c>
      <c r="U9" s="210" t="s">
        <v>903</v>
      </c>
      <c r="V9" s="210" t="s">
        <v>903</v>
      </c>
      <c r="W9" s="210" t="s">
        <v>903</v>
      </c>
      <c r="X9" s="210" t="s">
        <v>903</v>
      </c>
      <c r="Y9" s="210" t="s">
        <v>903</v>
      </c>
      <c r="Z9" s="210" t="s">
        <v>903</v>
      </c>
      <c r="AA9" s="210" t="s">
        <v>903</v>
      </c>
      <c r="AB9" s="210" t="s">
        <v>903</v>
      </c>
      <c r="AC9" s="210" t="s">
        <v>903</v>
      </c>
      <c r="AD9" s="210" t="s">
        <v>905</v>
      </c>
      <c r="AE9" s="210"/>
    </row>
    <row r="10" ht="22.5" customHeight="1">
      <c r="A10" s="227">
        <v>31.0</v>
      </c>
      <c r="B10" s="217" t="s">
        <v>48</v>
      </c>
      <c r="C10" s="218" t="s">
        <v>40</v>
      </c>
      <c r="D10" s="218" t="s">
        <v>41</v>
      </c>
      <c r="E10" s="218" t="s">
        <v>177</v>
      </c>
      <c r="F10" s="219" t="s">
        <v>178</v>
      </c>
      <c r="G10" s="218" t="str">
        <f t="shared" ref="G10:G14" si="2">LEFT(C10,FIND(" ",C10) - 1)</f>
        <v>Favio</v>
      </c>
      <c r="H10" s="218" t="str">
        <f t="shared" si="1"/>
        <v>fgonzalez</v>
      </c>
      <c r="I10" s="218" t="s">
        <v>176</v>
      </c>
      <c r="J10" s="220" t="s">
        <v>175</v>
      </c>
      <c r="K10" s="210" t="s">
        <v>903</v>
      </c>
      <c r="L10" s="210" t="s">
        <v>904</v>
      </c>
      <c r="M10" s="210" t="s">
        <v>903</v>
      </c>
      <c r="N10" s="210" t="s">
        <v>905</v>
      </c>
      <c r="O10" s="210" t="s">
        <v>903</v>
      </c>
      <c r="P10" s="210" t="s">
        <v>903</v>
      </c>
      <c r="Q10" s="210" t="s">
        <v>903</v>
      </c>
      <c r="R10" s="210" t="s">
        <v>903</v>
      </c>
      <c r="S10" s="210" t="s">
        <v>903</v>
      </c>
      <c r="T10" s="210" t="s">
        <v>903</v>
      </c>
      <c r="U10" s="210" t="s">
        <v>903</v>
      </c>
      <c r="V10" s="210" t="s">
        <v>903</v>
      </c>
      <c r="W10" s="210" t="s">
        <v>903</v>
      </c>
      <c r="X10" s="210" t="s">
        <v>903</v>
      </c>
      <c r="Y10" s="210" t="s">
        <v>903</v>
      </c>
      <c r="Z10" s="210" t="s">
        <v>903</v>
      </c>
      <c r="AA10" s="210" t="s">
        <v>903</v>
      </c>
      <c r="AB10" s="210" t="s">
        <v>903</v>
      </c>
      <c r="AC10" s="210" t="s">
        <v>903</v>
      </c>
      <c r="AD10" s="210" t="s">
        <v>903</v>
      </c>
      <c r="AE10" s="210"/>
    </row>
    <row r="11" ht="22.5" customHeight="1">
      <c r="A11" s="211">
        <v>23.0</v>
      </c>
      <c r="B11" s="228" t="s">
        <v>48</v>
      </c>
      <c r="C11" s="213" t="s">
        <v>153</v>
      </c>
      <c r="D11" s="213" t="s">
        <v>154</v>
      </c>
      <c r="E11" s="213" t="s">
        <v>156</v>
      </c>
      <c r="F11" s="214" t="s">
        <v>53</v>
      </c>
      <c r="G11" s="213" t="str">
        <f t="shared" si="2"/>
        <v>Edin</v>
      </c>
      <c r="H11" s="213" t="str">
        <f t="shared" si="1"/>
        <v>eramirez</v>
      </c>
      <c r="I11" s="213" t="s">
        <v>155</v>
      </c>
      <c r="J11" s="215" t="s">
        <v>153</v>
      </c>
      <c r="K11" s="210" t="s">
        <v>903</v>
      </c>
      <c r="L11" s="210" t="s">
        <v>904</v>
      </c>
      <c r="M11" s="210" t="s">
        <v>903</v>
      </c>
      <c r="N11" s="210" t="s">
        <v>905</v>
      </c>
      <c r="O11" s="210" t="s">
        <v>903</v>
      </c>
      <c r="P11" s="210" t="s">
        <v>903</v>
      </c>
      <c r="Q11" s="210" t="s">
        <v>903</v>
      </c>
      <c r="R11" s="210" t="s">
        <v>903</v>
      </c>
      <c r="S11" s="210" t="s">
        <v>903</v>
      </c>
      <c r="T11" s="210" t="s">
        <v>903</v>
      </c>
      <c r="U11" s="210" t="s">
        <v>903</v>
      </c>
      <c r="V11" s="210" t="s">
        <v>903</v>
      </c>
      <c r="W11" s="210" t="s">
        <v>903</v>
      </c>
      <c r="X11" s="210" t="s">
        <v>903</v>
      </c>
      <c r="Y11" s="210" t="s">
        <v>903</v>
      </c>
      <c r="Z11" s="210" t="s">
        <v>903</v>
      </c>
      <c r="AA11" s="210" t="s">
        <v>903</v>
      </c>
      <c r="AB11" s="210" t="s">
        <v>903</v>
      </c>
      <c r="AC11" s="210" t="s">
        <v>903</v>
      </c>
      <c r="AD11" s="210" t="s">
        <v>905</v>
      </c>
      <c r="AE11" s="210"/>
    </row>
    <row r="12" ht="22.5" customHeight="1">
      <c r="A12" s="216">
        <v>13.0</v>
      </c>
      <c r="B12" s="229" t="s">
        <v>61</v>
      </c>
      <c r="C12" s="218" t="s">
        <v>105</v>
      </c>
      <c r="D12" s="218" t="s">
        <v>106</v>
      </c>
      <c r="E12" s="218" t="s">
        <v>137</v>
      </c>
      <c r="F12" s="219" t="s">
        <v>69</v>
      </c>
      <c r="G12" s="218" t="str">
        <f t="shared" si="2"/>
        <v>Josue</v>
      </c>
      <c r="H12" s="218" t="str">
        <f t="shared" si="1"/>
        <v>jpatino</v>
      </c>
      <c r="I12" s="218" t="s">
        <v>65</v>
      </c>
      <c r="J12" s="220" t="s">
        <v>136</v>
      </c>
      <c r="K12" s="210" t="s">
        <v>910</v>
      </c>
      <c r="L12" s="210" t="s">
        <v>911</v>
      </c>
      <c r="M12" s="210" t="s">
        <v>903</v>
      </c>
      <c r="N12" s="210" t="s">
        <v>903</v>
      </c>
      <c r="O12" s="210" t="s">
        <v>903</v>
      </c>
      <c r="P12" s="210" t="s">
        <v>903</v>
      </c>
      <c r="Q12" s="210" t="s">
        <v>903</v>
      </c>
      <c r="R12" s="210" t="s">
        <v>903</v>
      </c>
      <c r="S12" s="230" t="s">
        <v>903</v>
      </c>
      <c r="T12" s="230" t="s">
        <v>903</v>
      </c>
      <c r="U12" s="230" t="s">
        <v>903</v>
      </c>
      <c r="V12" s="230" t="s">
        <v>903</v>
      </c>
      <c r="W12" s="230" t="s">
        <v>903</v>
      </c>
      <c r="X12" s="230" t="s">
        <v>903</v>
      </c>
      <c r="Y12" s="230" t="s">
        <v>903</v>
      </c>
      <c r="Z12" s="230" t="s">
        <v>903</v>
      </c>
      <c r="AA12" s="230" t="s">
        <v>903</v>
      </c>
      <c r="AB12" s="230" t="s">
        <v>903</v>
      </c>
      <c r="AC12" s="230" t="s">
        <v>903</v>
      </c>
      <c r="AD12" s="230" t="s">
        <v>903</v>
      </c>
      <c r="AE12" s="230"/>
    </row>
    <row r="13" ht="22.5" customHeight="1">
      <c r="A13" s="231">
        <v>15.0</v>
      </c>
      <c r="B13" s="232" t="s">
        <v>61</v>
      </c>
      <c r="C13" s="213" t="s">
        <v>92</v>
      </c>
      <c r="D13" s="213" t="s">
        <v>93</v>
      </c>
      <c r="E13" s="213" t="s">
        <v>137</v>
      </c>
      <c r="F13" s="214" t="s">
        <v>69</v>
      </c>
      <c r="G13" s="213" t="str">
        <f t="shared" si="2"/>
        <v>Luis</v>
      </c>
      <c r="H13" s="213" t="str">
        <f t="shared" si="1"/>
        <v>lbernal</v>
      </c>
      <c r="I13" s="213" t="s">
        <v>68</v>
      </c>
      <c r="J13" s="215" t="s">
        <v>140</v>
      </c>
      <c r="K13" s="210" t="s">
        <v>912</v>
      </c>
      <c r="L13" s="210" t="s">
        <v>913</v>
      </c>
      <c r="M13" s="210" t="s">
        <v>913</v>
      </c>
      <c r="N13" s="210" t="s">
        <v>913</v>
      </c>
      <c r="O13" s="210" t="s">
        <v>913</v>
      </c>
      <c r="P13" s="210" t="s">
        <v>913</v>
      </c>
      <c r="Q13" s="210" t="s">
        <v>913</v>
      </c>
      <c r="R13" s="210" t="s">
        <v>913</v>
      </c>
      <c r="S13" s="210" t="s">
        <v>913</v>
      </c>
      <c r="T13" s="210" t="s">
        <v>913</v>
      </c>
      <c r="U13" s="210" t="s">
        <v>913</v>
      </c>
      <c r="V13" s="210" t="s">
        <v>913</v>
      </c>
      <c r="W13" s="210" t="s">
        <v>913</v>
      </c>
      <c r="X13" s="210" t="s">
        <v>913</v>
      </c>
      <c r="Y13" s="210" t="s">
        <v>913</v>
      </c>
      <c r="Z13" s="210" t="s">
        <v>913</v>
      </c>
      <c r="AA13" s="210" t="s">
        <v>913</v>
      </c>
      <c r="AB13" s="210" t="s">
        <v>913</v>
      </c>
      <c r="AC13" s="210" t="s">
        <v>913</v>
      </c>
      <c r="AD13" s="210" t="s">
        <v>903</v>
      </c>
      <c r="AE13" s="210"/>
    </row>
    <row r="14" ht="22.5" customHeight="1">
      <c r="A14" s="216">
        <v>17.0</v>
      </c>
      <c r="B14" s="229" t="s">
        <v>61</v>
      </c>
      <c r="C14" s="218" t="s">
        <v>66</v>
      </c>
      <c r="D14" s="218" t="s">
        <v>67</v>
      </c>
      <c r="E14" s="218" t="s">
        <v>137</v>
      </c>
      <c r="F14" s="219" t="s">
        <v>69</v>
      </c>
      <c r="G14" s="218" t="str">
        <f t="shared" si="2"/>
        <v>Raúl</v>
      </c>
      <c r="H14" s="218" t="str">
        <f t="shared" si="1"/>
        <v>rbernal</v>
      </c>
      <c r="I14" s="218" t="s">
        <v>68</v>
      </c>
      <c r="J14" s="220" t="s">
        <v>142</v>
      </c>
      <c r="K14" s="210" t="s">
        <v>903</v>
      </c>
      <c r="L14" s="210" t="s">
        <v>903</v>
      </c>
      <c r="M14" s="210" t="s">
        <v>903</v>
      </c>
      <c r="N14" s="210" t="s">
        <v>903</v>
      </c>
      <c r="O14" s="210" t="s">
        <v>903</v>
      </c>
      <c r="P14" s="210" t="s">
        <v>903</v>
      </c>
      <c r="Q14" s="210" t="s">
        <v>903</v>
      </c>
      <c r="R14" s="210" t="s">
        <v>903</v>
      </c>
      <c r="S14" s="210" t="s">
        <v>903</v>
      </c>
      <c r="T14" s="210" t="s">
        <v>903</v>
      </c>
      <c r="U14" s="210" t="s">
        <v>903</v>
      </c>
      <c r="V14" s="210" t="s">
        <v>903</v>
      </c>
      <c r="W14" s="210" t="s">
        <v>903</v>
      </c>
      <c r="X14" s="210" t="s">
        <v>903</v>
      </c>
      <c r="Y14" s="210" t="s">
        <v>903</v>
      </c>
      <c r="Z14" s="210" t="s">
        <v>903</v>
      </c>
      <c r="AA14" s="210" t="s">
        <v>903</v>
      </c>
      <c r="AB14" s="210" t="s">
        <v>903</v>
      </c>
      <c r="AC14" s="210" t="s">
        <v>903</v>
      </c>
      <c r="AD14" s="210" t="s">
        <v>903</v>
      </c>
      <c r="AE14" s="210"/>
    </row>
    <row r="15" ht="22.5" customHeight="1">
      <c r="A15" s="231">
        <v>24.0</v>
      </c>
      <c r="B15" s="232" t="s">
        <v>61</v>
      </c>
      <c r="C15" s="213" t="s">
        <v>63</v>
      </c>
      <c r="D15" s="213" t="s">
        <v>64</v>
      </c>
      <c r="E15" s="213" t="s">
        <v>137</v>
      </c>
      <c r="F15" s="214" t="s">
        <v>53</v>
      </c>
      <c r="G15" s="213" t="s">
        <v>158</v>
      </c>
      <c r="H15" s="213" t="str">
        <f t="shared" si="1"/>
        <v>emontano</v>
      </c>
      <c r="I15" s="213" t="s">
        <v>65</v>
      </c>
      <c r="J15" s="215" t="s">
        <v>157</v>
      </c>
      <c r="K15" s="210" t="s">
        <v>903</v>
      </c>
      <c r="L15" s="210" t="s">
        <v>914</v>
      </c>
      <c r="M15" s="210" t="s">
        <v>903</v>
      </c>
      <c r="N15" s="210" t="s">
        <v>903</v>
      </c>
      <c r="O15" s="210" t="s">
        <v>903</v>
      </c>
      <c r="P15" s="210" t="s">
        <v>915</v>
      </c>
      <c r="Q15" s="210" t="s">
        <v>903</v>
      </c>
      <c r="R15" s="210" t="s">
        <v>903</v>
      </c>
      <c r="S15" s="210" t="s">
        <v>903</v>
      </c>
      <c r="T15" s="210" t="s">
        <v>903</v>
      </c>
      <c r="U15" s="210" t="s">
        <v>903</v>
      </c>
      <c r="V15" s="210" t="s">
        <v>903</v>
      </c>
      <c r="W15" s="210" t="s">
        <v>903</v>
      </c>
      <c r="X15" s="210" t="s">
        <v>903</v>
      </c>
      <c r="Y15" s="210" t="s">
        <v>903</v>
      </c>
      <c r="Z15" s="210" t="s">
        <v>903</v>
      </c>
      <c r="AA15" s="210" t="s">
        <v>903</v>
      </c>
      <c r="AB15" s="210" t="s">
        <v>903</v>
      </c>
      <c r="AC15" s="210" t="s">
        <v>903</v>
      </c>
      <c r="AD15" s="210" t="s">
        <v>903</v>
      </c>
      <c r="AE15" s="210"/>
    </row>
    <row r="16" ht="22.5" customHeight="1">
      <c r="A16" s="216">
        <v>29.0</v>
      </c>
      <c r="B16" s="229" t="s">
        <v>61</v>
      </c>
      <c r="C16" s="218" t="s">
        <v>57</v>
      </c>
      <c r="D16" s="218" t="s">
        <v>58</v>
      </c>
      <c r="E16" s="218" t="s">
        <v>137</v>
      </c>
      <c r="F16" s="219" t="s">
        <v>53</v>
      </c>
      <c r="G16" s="218" t="s">
        <v>172</v>
      </c>
      <c r="H16" s="218" t="str">
        <f t="shared" si="1"/>
        <v>rcuevas</v>
      </c>
      <c r="I16" s="218" t="s">
        <v>65</v>
      </c>
      <c r="J16" s="220" t="s">
        <v>171</v>
      </c>
      <c r="K16" s="210" t="s">
        <v>913</v>
      </c>
      <c r="L16" s="210" t="s">
        <v>916</v>
      </c>
      <c r="M16" s="210" t="s">
        <v>913</v>
      </c>
      <c r="N16" s="210" t="s">
        <v>913</v>
      </c>
      <c r="O16" s="210" t="s">
        <v>913</v>
      </c>
      <c r="P16" s="210" t="s">
        <v>913</v>
      </c>
      <c r="Q16" s="210" t="s">
        <v>913</v>
      </c>
      <c r="R16" s="210" t="s">
        <v>913</v>
      </c>
      <c r="S16" s="210" t="s">
        <v>913</v>
      </c>
      <c r="T16" s="210" t="s">
        <v>913</v>
      </c>
      <c r="U16" s="210" t="s">
        <v>913</v>
      </c>
      <c r="V16" s="210" t="s">
        <v>913</v>
      </c>
      <c r="W16" s="210" t="s">
        <v>913</v>
      </c>
      <c r="X16" s="210" t="s">
        <v>913</v>
      </c>
      <c r="Y16" s="210" t="s">
        <v>913</v>
      </c>
      <c r="Z16" s="210" t="s">
        <v>913</v>
      </c>
      <c r="AA16" s="210" t="s">
        <v>913</v>
      </c>
      <c r="AB16" s="210" t="s">
        <v>913</v>
      </c>
      <c r="AC16" s="210" t="s">
        <v>913</v>
      </c>
      <c r="AD16" s="210" t="s">
        <v>903</v>
      </c>
      <c r="AE16" s="210"/>
    </row>
    <row r="17" ht="22.5" customHeight="1">
      <c r="A17" s="231">
        <v>30.0</v>
      </c>
      <c r="B17" s="232" t="s">
        <v>61</v>
      </c>
      <c r="C17" s="213" t="s">
        <v>69</v>
      </c>
      <c r="D17" s="213" t="s">
        <v>70</v>
      </c>
      <c r="E17" s="213" t="s">
        <v>137</v>
      </c>
      <c r="F17" s="214" t="s">
        <v>53</v>
      </c>
      <c r="G17" s="213" t="s">
        <v>174</v>
      </c>
      <c r="H17" s="213" t="str">
        <f t="shared" si="1"/>
        <v>jenriquez</v>
      </c>
      <c r="I17" s="213" t="s">
        <v>65</v>
      </c>
      <c r="J17" s="215" t="s">
        <v>173</v>
      </c>
      <c r="K17" s="210" t="s">
        <v>917</v>
      </c>
      <c r="L17" s="210" t="s">
        <v>918</v>
      </c>
      <c r="M17" s="210" t="s">
        <v>919</v>
      </c>
      <c r="N17" s="210" t="s">
        <v>919</v>
      </c>
      <c r="O17" s="210" t="s">
        <v>919</v>
      </c>
      <c r="P17" s="210" t="s">
        <v>919</v>
      </c>
      <c r="Q17" s="210" t="s">
        <v>919</v>
      </c>
      <c r="R17" s="210" t="s">
        <v>919</v>
      </c>
      <c r="S17" s="210" t="s">
        <v>919</v>
      </c>
      <c r="T17" s="210" t="s">
        <v>919</v>
      </c>
      <c r="U17" s="210" t="s">
        <v>919</v>
      </c>
      <c r="V17" s="210" t="s">
        <v>919</v>
      </c>
      <c r="W17" s="210" t="s">
        <v>919</v>
      </c>
      <c r="X17" s="210" t="s">
        <v>919</v>
      </c>
      <c r="Y17" s="210" t="s">
        <v>919</v>
      </c>
      <c r="Z17" s="210" t="s">
        <v>919</v>
      </c>
      <c r="AA17" s="210" t="s">
        <v>919</v>
      </c>
      <c r="AB17" s="210" t="s">
        <v>919</v>
      </c>
      <c r="AC17" s="210" t="s">
        <v>919</v>
      </c>
      <c r="AD17" s="210" t="s">
        <v>919</v>
      </c>
      <c r="AE17" s="210" t="s">
        <v>919</v>
      </c>
    </row>
    <row r="18" ht="22.5" customHeight="1">
      <c r="A18" s="233">
        <v>1.0</v>
      </c>
      <c r="B18" s="234" t="s">
        <v>61</v>
      </c>
      <c r="C18" s="207" t="s">
        <v>71</v>
      </c>
      <c r="D18" s="207" t="s">
        <v>72</v>
      </c>
      <c r="E18" s="207" t="s">
        <v>114</v>
      </c>
      <c r="F18" s="208" t="s">
        <v>69</v>
      </c>
      <c r="G18" s="207" t="s">
        <v>113</v>
      </c>
      <c r="H18" s="207" t="str">
        <f t="shared" si="1"/>
        <v>aserrano</v>
      </c>
      <c r="I18" s="207" t="s">
        <v>73</v>
      </c>
      <c r="J18" s="209" t="s">
        <v>112</v>
      </c>
      <c r="K18" s="210" t="s">
        <v>903</v>
      </c>
      <c r="L18" s="210" t="s">
        <v>911</v>
      </c>
      <c r="M18" s="210" t="s">
        <v>903</v>
      </c>
      <c r="N18" s="210" t="s">
        <v>903</v>
      </c>
      <c r="O18" s="210" t="s">
        <v>903</v>
      </c>
      <c r="P18" s="210" t="s">
        <v>903</v>
      </c>
      <c r="Q18" s="210" t="s">
        <v>903</v>
      </c>
      <c r="R18" s="210" t="s">
        <v>903</v>
      </c>
      <c r="S18" s="210" t="s">
        <v>903</v>
      </c>
      <c r="T18" s="210" t="s">
        <v>903</v>
      </c>
      <c r="U18" s="210" t="s">
        <v>903</v>
      </c>
      <c r="V18" s="210" t="s">
        <v>903</v>
      </c>
      <c r="W18" s="210" t="s">
        <v>903</v>
      </c>
      <c r="X18" s="210" t="s">
        <v>903</v>
      </c>
      <c r="Y18" s="210" t="s">
        <v>903</v>
      </c>
      <c r="Z18" s="210" t="s">
        <v>903</v>
      </c>
      <c r="AA18" s="210" t="s">
        <v>903</v>
      </c>
      <c r="AB18" s="210" t="s">
        <v>903</v>
      </c>
      <c r="AC18" s="210" t="s">
        <v>903</v>
      </c>
      <c r="AD18" s="210" t="s">
        <v>903</v>
      </c>
      <c r="AE18" s="210"/>
    </row>
    <row r="19" ht="22.5" customHeight="1">
      <c r="A19" s="235">
        <v>10.0</v>
      </c>
      <c r="B19" s="236" t="s">
        <v>61</v>
      </c>
      <c r="C19" s="223" t="s">
        <v>94</v>
      </c>
      <c r="D19" s="223" t="s">
        <v>95</v>
      </c>
      <c r="E19" s="223" t="s">
        <v>114</v>
      </c>
      <c r="F19" s="224" t="s">
        <v>69</v>
      </c>
      <c r="G19" s="223" t="str">
        <f>LEFT(C19,FIND(" ",C19) - 1)</f>
        <v>Jasiel</v>
      </c>
      <c r="H19" s="223" t="str">
        <f t="shared" si="1"/>
        <v>jlopez</v>
      </c>
      <c r="I19" s="223" t="s">
        <v>73</v>
      </c>
      <c r="J19" s="225" t="s">
        <v>131</v>
      </c>
      <c r="K19" s="210" t="s">
        <v>903</v>
      </c>
      <c r="L19" s="210" t="s">
        <v>906</v>
      </c>
      <c r="M19" s="210" t="s">
        <v>912</v>
      </c>
      <c r="N19" s="210" t="s">
        <v>905</v>
      </c>
      <c r="O19" s="210" t="s">
        <v>912</v>
      </c>
      <c r="P19" s="210" t="s">
        <v>920</v>
      </c>
      <c r="Q19" s="210" t="s">
        <v>912</v>
      </c>
      <c r="R19" s="210" t="s">
        <v>912</v>
      </c>
      <c r="S19" s="210" t="s">
        <v>912</v>
      </c>
      <c r="T19" s="210" t="s">
        <v>912</v>
      </c>
      <c r="U19" s="210" t="s">
        <v>912</v>
      </c>
      <c r="V19" s="210" t="s">
        <v>912</v>
      </c>
      <c r="W19" s="210" t="s">
        <v>912</v>
      </c>
      <c r="X19" s="210" t="s">
        <v>912</v>
      </c>
      <c r="Y19" s="210" t="s">
        <v>912</v>
      </c>
      <c r="Z19" s="210" t="s">
        <v>903</v>
      </c>
      <c r="AA19" s="210" t="s">
        <v>903</v>
      </c>
      <c r="AB19" s="210" t="s">
        <v>903</v>
      </c>
      <c r="AC19" s="210" t="s">
        <v>903</v>
      </c>
      <c r="AD19" s="210" t="s">
        <v>903</v>
      </c>
      <c r="AE19" s="210"/>
    </row>
    <row r="20" ht="22.5" customHeight="1">
      <c r="A20" s="235">
        <v>2.0</v>
      </c>
      <c r="B20" s="236" t="s">
        <v>61</v>
      </c>
      <c r="C20" s="223" t="s">
        <v>83</v>
      </c>
      <c r="D20" s="223" t="s">
        <v>84</v>
      </c>
      <c r="E20" s="223" t="s">
        <v>114</v>
      </c>
      <c r="F20" s="224" t="s">
        <v>69</v>
      </c>
      <c r="G20" s="223" t="s">
        <v>116</v>
      </c>
      <c r="H20" s="223" t="str">
        <f t="shared" si="1"/>
        <v>alara</v>
      </c>
      <c r="I20" s="223" t="s">
        <v>73</v>
      </c>
      <c r="J20" s="225" t="s">
        <v>115</v>
      </c>
      <c r="K20" s="210" t="s">
        <v>903</v>
      </c>
      <c r="L20" s="210" t="s">
        <v>906</v>
      </c>
      <c r="M20" s="210" t="s">
        <v>912</v>
      </c>
      <c r="N20" s="210" t="s">
        <v>905</v>
      </c>
      <c r="O20" s="210" t="s">
        <v>912</v>
      </c>
      <c r="P20" s="210" t="s">
        <v>920</v>
      </c>
      <c r="Q20" s="210" t="s">
        <v>912</v>
      </c>
      <c r="R20" s="210" t="s">
        <v>912</v>
      </c>
      <c r="S20" s="210" t="s">
        <v>912</v>
      </c>
      <c r="T20" s="210" t="s">
        <v>912</v>
      </c>
      <c r="U20" s="210" t="s">
        <v>912</v>
      </c>
      <c r="V20" s="210" t="s">
        <v>903</v>
      </c>
      <c r="W20" s="210" t="s">
        <v>912</v>
      </c>
      <c r="X20" s="210" t="s">
        <v>912</v>
      </c>
      <c r="Y20" s="210" t="s">
        <v>912</v>
      </c>
      <c r="Z20" s="210" t="s">
        <v>903</v>
      </c>
      <c r="AA20" s="210" t="s">
        <v>903</v>
      </c>
      <c r="AB20" s="210" t="s">
        <v>903</v>
      </c>
      <c r="AC20" s="210" t="s">
        <v>903</v>
      </c>
      <c r="AD20" s="210" t="s">
        <v>903</v>
      </c>
      <c r="AE20" s="210"/>
    </row>
    <row r="21" ht="22.5" customHeight="1">
      <c r="A21" s="233">
        <v>5.0</v>
      </c>
      <c r="B21" s="234" t="s">
        <v>61</v>
      </c>
      <c r="C21" s="207" t="s">
        <v>98</v>
      </c>
      <c r="D21" s="207" t="s">
        <v>99</v>
      </c>
      <c r="E21" s="207" t="s">
        <v>114</v>
      </c>
      <c r="F21" s="208" t="s">
        <v>69</v>
      </c>
      <c r="G21" s="207" t="str">
        <f>LEFT(C21,FIND(" ",C21) - 1)</f>
        <v>Edgar</v>
      </c>
      <c r="H21" s="207" t="str">
        <f t="shared" si="1"/>
        <v>etorres</v>
      </c>
      <c r="I21" s="207" t="s">
        <v>91</v>
      </c>
      <c r="J21" s="209" t="s">
        <v>122</v>
      </c>
      <c r="K21" s="210" t="s">
        <v>921</v>
      </c>
      <c r="L21" s="210" t="s">
        <v>922</v>
      </c>
      <c r="M21" s="210" t="s">
        <v>903</v>
      </c>
      <c r="N21" s="210" t="s">
        <v>923</v>
      </c>
      <c r="O21" s="210" t="s">
        <v>903</v>
      </c>
      <c r="P21" s="210" t="s">
        <v>903</v>
      </c>
      <c r="Q21" s="210" t="s">
        <v>903</v>
      </c>
      <c r="R21" s="210" t="s">
        <v>903</v>
      </c>
      <c r="S21" s="210" t="s">
        <v>903</v>
      </c>
      <c r="T21" s="210" t="s">
        <v>903</v>
      </c>
      <c r="U21" s="210" t="s">
        <v>903</v>
      </c>
      <c r="V21" s="210" t="s">
        <v>903</v>
      </c>
      <c r="W21" s="210" t="s">
        <v>903</v>
      </c>
      <c r="X21" s="210" t="s">
        <v>903</v>
      </c>
      <c r="Y21" s="210" t="s">
        <v>903</v>
      </c>
      <c r="Z21" s="210" t="s">
        <v>903</v>
      </c>
      <c r="AA21" s="210" t="s">
        <v>903</v>
      </c>
      <c r="AB21" s="210" t="s">
        <v>903</v>
      </c>
      <c r="AC21" s="210" t="s">
        <v>903</v>
      </c>
      <c r="AD21" s="210" t="s">
        <v>903</v>
      </c>
      <c r="AE21" s="210"/>
    </row>
    <row r="22" ht="22.5" customHeight="1">
      <c r="A22" s="233">
        <v>12.0</v>
      </c>
      <c r="B22" s="234" t="s">
        <v>61</v>
      </c>
      <c r="C22" s="207" t="s">
        <v>89</v>
      </c>
      <c r="D22" s="207" t="s">
        <v>90</v>
      </c>
      <c r="E22" s="207" t="s">
        <v>114</v>
      </c>
      <c r="F22" s="208" t="s">
        <v>69</v>
      </c>
      <c r="G22" s="207" t="s">
        <v>135</v>
      </c>
      <c r="H22" s="207" t="str">
        <f t="shared" si="1"/>
        <v>ameza</v>
      </c>
      <c r="I22" s="207" t="s">
        <v>91</v>
      </c>
      <c r="J22" s="209" t="s">
        <v>134</v>
      </c>
      <c r="K22" s="210" t="s">
        <v>903</v>
      </c>
      <c r="L22" s="210" t="s">
        <v>924</v>
      </c>
      <c r="M22" s="210" t="s">
        <v>903</v>
      </c>
      <c r="N22" s="210" t="s">
        <v>923</v>
      </c>
      <c r="O22" s="210" t="s">
        <v>903</v>
      </c>
      <c r="P22" s="210" t="s">
        <v>903</v>
      </c>
      <c r="Q22" s="210" t="s">
        <v>903</v>
      </c>
      <c r="R22" s="210" t="s">
        <v>903</v>
      </c>
      <c r="S22" s="210" t="s">
        <v>903</v>
      </c>
      <c r="T22" s="210" t="s">
        <v>903</v>
      </c>
      <c r="U22" s="210" t="s">
        <v>903</v>
      </c>
      <c r="V22" s="210" t="s">
        <v>903</v>
      </c>
      <c r="W22" s="210" t="s">
        <v>903</v>
      </c>
      <c r="X22" s="210" t="s">
        <v>903</v>
      </c>
      <c r="Y22" s="210" t="s">
        <v>903</v>
      </c>
      <c r="Z22" s="210" t="s">
        <v>903</v>
      </c>
      <c r="AA22" s="210" t="s">
        <v>903</v>
      </c>
      <c r="AB22" s="210" t="s">
        <v>903</v>
      </c>
      <c r="AC22" s="210" t="s">
        <v>903</v>
      </c>
      <c r="AD22" s="210" t="s">
        <v>903</v>
      </c>
      <c r="AE22" s="210"/>
    </row>
    <row r="23" ht="22.5" customHeight="1">
      <c r="A23" s="221">
        <v>14.0</v>
      </c>
      <c r="B23" s="236" t="s">
        <v>61</v>
      </c>
      <c r="C23" s="223" t="s">
        <v>96</v>
      </c>
      <c r="D23" s="223" t="s">
        <v>97</v>
      </c>
      <c r="E23" s="223" t="s">
        <v>114</v>
      </c>
      <c r="F23" s="224" t="s">
        <v>69</v>
      </c>
      <c r="G23" s="223" t="s">
        <v>139</v>
      </c>
      <c r="H23" s="223" t="str">
        <f t="shared" si="1"/>
        <v>jrojas</v>
      </c>
      <c r="I23" s="223" t="s">
        <v>73</v>
      </c>
      <c r="J23" s="225" t="s">
        <v>138</v>
      </c>
      <c r="K23" s="210" t="s">
        <v>903</v>
      </c>
      <c r="L23" s="210" t="s">
        <v>903</v>
      </c>
      <c r="M23" s="210" t="s">
        <v>903</v>
      </c>
      <c r="N23" s="210" t="s">
        <v>903</v>
      </c>
      <c r="O23" s="210" t="s">
        <v>903</v>
      </c>
      <c r="P23" s="210" t="s">
        <v>903</v>
      </c>
      <c r="Q23" s="210" t="s">
        <v>903</v>
      </c>
      <c r="R23" s="210" t="s">
        <v>903</v>
      </c>
      <c r="S23" s="210" t="s">
        <v>903</v>
      </c>
      <c r="T23" s="210" t="s">
        <v>903</v>
      </c>
      <c r="U23" s="210" t="s">
        <v>903</v>
      </c>
      <c r="V23" s="210" t="s">
        <v>903</v>
      </c>
      <c r="W23" s="210" t="s">
        <v>903</v>
      </c>
      <c r="X23" s="210" t="s">
        <v>903</v>
      </c>
      <c r="Y23" s="210" t="s">
        <v>903</v>
      </c>
      <c r="Z23" s="210" t="s">
        <v>903</v>
      </c>
      <c r="AA23" s="210" t="s">
        <v>903</v>
      </c>
      <c r="AB23" s="210" t="s">
        <v>903</v>
      </c>
      <c r="AC23" s="210" t="s">
        <v>903</v>
      </c>
      <c r="AD23" s="210" t="s">
        <v>903</v>
      </c>
      <c r="AE23" s="210"/>
    </row>
    <row r="24" ht="22.5" customHeight="1">
      <c r="A24" s="205">
        <v>19.0</v>
      </c>
      <c r="B24" s="234" t="s">
        <v>61</v>
      </c>
      <c r="C24" s="207" t="s">
        <v>144</v>
      </c>
      <c r="D24" s="207" t="s">
        <v>145</v>
      </c>
      <c r="E24" s="207" t="s">
        <v>114</v>
      </c>
      <c r="F24" s="208" t="s">
        <v>53</v>
      </c>
      <c r="G24" s="207" t="str">
        <f>LEFT(C24,FIND(" ",C24) - 1)</f>
        <v>Angel</v>
      </c>
      <c r="H24" s="207" t="str">
        <f t="shared" si="1"/>
        <v>amorales</v>
      </c>
      <c r="I24" s="207" t="s">
        <v>73</v>
      </c>
      <c r="J24" s="209" t="s">
        <v>144</v>
      </c>
      <c r="K24" s="210" t="s">
        <v>903</v>
      </c>
      <c r="L24" s="210" t="s">
        <v>925</v>
      </c>
      <c r="M24" s="210" t="s">
        <v>903</v>
      </c>
      <c r="N24" s="210" t="s">
        <v>903</v>
      </c>
      <c r="O24" s="210" t="s">
        <v>903</v>
      </c>
      <c r="P24" s="210" t="s">
        <v>903</v>
      </c>
      <c r="Q24" s="210" t="s">
        <v>903</v>
      </c>
      <c r="R24" s="210" t="s">
        <v>903</v>
      </c>
      <c r="S24" s="210" t="s">
        <v>903</v>
      </c>
      <c r="T24" s="210" t="s">
        <v>903</v>
      </c>
      <c r="U24" s="210" t="s">
        <v>903</v>
      </c>
      <c r="V24" s="210" t="s">
        <v>903</v>
      </c>
      <c r="W24" s="210" t="s">
        <v>903</v>
      </c>
      <c r="X24" s="210" t="s">
        <v>903</v>
      </c>
      <c r="Y24" s="210" t="s">
        <v>903</v>
      </c>
      <c r="Z24" s="210" t="s">
        <v>903</v>
      </c>
      <c r="AA24" s="210" t="s">
        <v>903</v>
      </c>
      <c r="AB24" s="210" t="s">
        <v>903</v>
      </c>
      <c r="AC24" s="210" t="s">
        <v>903</v>
      </c>
      <c r="AD24" s="210" t="s">
        <v>903</v>
      </c>
      <c r="AE24" s="210"/>
    </row>
    <row r="25" ht="22.5" customHeight="1">
      <c r="A25" s="221">
        <v>26.0</v>
      </c>
      <c r="B25" s="236" t="s">
        <v>61</v>
      </c>
      <c r="C25" s="223" t="s">
        <v>74</v>
      </c>
      <c r="D25" s="223" t="s">
        <v>75</v>
      </c>
      <c r="E25" s="223" t="s">
        <v>114</v>
      </c>
      <c r="F25" s="224" t="s">
        <v>69</v>
      </c>
      <c r="G25" s="223" t="s">
        <v>162</v>
      </c>
      <c r="H25" s="223" t="str">
        <f t="shared" si="1"/>
        <v>lolvera</v>
      </c>
      <c r="I25" s="223" t="s">
        <v>76</v>
      </c>
      <c r="J25" s="225" t="s">
        <v>161</v>
      </c>
      <c r="K25" s="210" t="s">
        <v>926</v>
      </c>
      <c r="L25" s="210" t="s">
        <v>927</v>
      </c>
      <c r="M25" s="210" t="s">
        <v>912</v>
      </c>
      <c r="N25" s="210" t="s">
        <v>905</v>
      </c>
      <c r="O25" s="210" t="s">
        <v>903</v>
      </c>
      <c r="P25" s="210" t="s">
        <v>903</v>
      </c>
      <c r="Q25" s="210" t="s">
        <v>903</v>
      </c>
      <c r="R25" s="210" t="s">
        <v>903</v>
      </c>
      <c r="S25" s="210" t="s">
        <v>903</v>
      </c>
      <c r="T25" s="210" t="s">
        <v>903</v>
      </c>
      <c r="U25" s="210" t="s">
        <v>903</v>
      </c>
      <c r="V25" s="210" t="s">
        <v>903</v>
      </c>
      <c r="W25" s="210" t="s">
        <v>903</v>
      </c>
      <c r="X25" s="210" t="s">
        <v>903</v>
      </c>
      <c r="Y25" s="210" t="s">
        <v>903</v>
      </c>
      <c r="Z25" s="210" t="s">
        <v>912</v>
      </c>
      <c r="AA25" s="210" t="s">
        <v>903</v>
      </c>
      <c r="AB25" s="210" t="s">
        <v>903</v>
      </c>
      <c r="AC25" s="210" t="s">
        <v>903</v>
      </c>
      <c r="AD25" s="210" t="s">
        <v>903</v>
      </c>
      <c r="AE25" s="210"/>
    </row>
    <row r="26" ht="22.5" customHeight="1">
      <c r="A26" s="227">
        <v>11.0</v>
      </c>
      <c r="B26" s="229" t="s">
        <v>61</v>
      </c>
      <c r="C26" s="218" t="s">
        <v>102</v>
      </c>
      <c r="D26" s="218" t="s">
        <v>103</v>
      </c>
      <c r="E26" s="218" t="s">
        <v>127</v>
      </c>
      <c r="F26" s="219" t="s">
        <v>69</v>
      </c>
      <c r="G26" s="218" t="s">
        <v>133</v>
      </c>
      <c r="H26" s="218" t="str">
        <f t="shared" si="1"/>
        <v>asierra</v>
      </c>
      <c r="I26" s="218" t="s">
        <v>104</v>
      </c>
      <c r="J26" s="220" t="s">
        <v>132</v>
      </c>
      <c r="K26" s="210" t="s">
        <v>903</v>
      </c>
      <c r="L26" s="210" t="s">
        <v>903</v>
      </c>
      <c r="M26" s="210" t="s">
        <v>903</v>
      </c>
      <c r="N26" s="210" t="s">
        <v>903</v>
      </c>
      <c r="O26" s="210" t="s">
        <v>903</v>
      </c>
      <c r="P26" s="210" t="s">
        <v>912</v>
      </c>
      <c r="Q26" s="210" t="s">
        <v>903</v>
      </c>
      <c r="R26" s="210" t="s">
        <v>903</v>
      </c>
      <c r="S26" s="210" t="s">
        <v>903</v>
      </c>
      <c r="T26" s="210" t="s">
        <v>903</v>
      </c>
      <c r="U26" s="210" t="s">
        <v>903</v>
      </c>
      <c r="V26" s="210" t="s">
        <v>903</v>
      </c>
      <c r="W26" s="210" t="s">
        <v>903</v>
      </c>
      <c r="X26" s="210" t="s">
        <v>903</v>
      </c>
      <c r="Y26" s="210" t="s">
        <v>903</v>
      </c>
      <c r="Z26" s="210" t="s">
        <v>903</v>
      </c>
      <c r="AA26" s="210" t="s">
        <v>903</v>
      </c>
      <c r="AB26" s="210" t="s">
        <v>903</v>
      </c>
      <c r="AC26" s="210" t="s">
        <v>903</v>
      </c>
      <c r="AD26" s="210" t="s">
        <v>903</v>
      </c>
      <c r="AE26" s="210"/>
    </row>
    <row r="27" ht="22.5" customHeight="1">
      <c r="A27" s="211">
        <v>16.0</v>
      </c>
      <c r="B27" s="232" t="s">
        <v>61</v>
      </c>
      <c r="C27" s="213" t="s">
        <v>77</v>
      </c>
      <c r="D27" s="213" t="s">
        <v>78</v>
      </c>
      <c r="E27" s="213" t="s">
        <v>127</v>
      </c>
      <c r="F27" s="214" t="s">
        <v>69</v>
      </c>
      <c r="G27" s="213" t="str">
        <f t="shared" ref="G27:G30" si="3">LEFT(C27,FIND(" ",C27) - 1)</f>
        <v>Mario</v>
      </c>
      <c r="H27" s="213" t="str">
        <f t="shared" si="1"/>
        <v>mramirez</v>
      </c>
      <c r="I27" s="213" t="s">
        <v>79</v>
      </c>
      <c r="J27" s="215" t="s">
        <v>141</v>
      </c>
      <c r="K27" s="210" t="s">
        <v>903</v>
      </c>
      <c r="L27" s="210" t="s">
        <v>928</v>
      </c>
      <c r="M27" s="210" t="s">
        <v>912</v>
      </c>
      <c r="N27" s="210" t="s">
        <v>905</v>
      </c>
      <c r="O27" s="210" t="s">
        <v>912</v>
      </c>
      <c r="P27" s="210" t="s">
        <v>903</v>
      </c>
      <c r="Q27" s="210" t="s">
        <v>912</v>
      </c>
      <c r="R27" s="210" t="s">
        <v>912</v>
      </c>
      <c r="S27" s="210" t="s">
        <v>912</v>
      </c>
      <c r="T27" s="210" t="s">
        <v>912</v>
      </c>
      <c r="U27" s="210" t="s">
        <v>912</v>
      </c>
      <c r="V27" s="210" t="s">
        <v>912</v>
      </c>
      <c r="W27" s="210" t="s">
        <v>912</v>
      </c>
      <c r="X27" s="210" t="s">
        <v>912</v>
      </c>
      <c r="Y27" s="210" t="s">
        <v>912</v>
      </c>
      <c r="Z27" s="210" t="s">
        <v>912</v>
      </c>
      <c r="AA27" s="210" t="s">
        <v>912</v>
      </c>
      <c r="AB27" s="210" t="s">
        <v>912</v>
      </c>
      <c r="AC27" s="210" t="s">
        <v>912</v>
      </c>
      <c r="AD27" s="210" t="s">
        <v>903</v>
      </c>
      <c r="AE27" s="210"/>
    </row>
    <row r="28" ht="22.5" customHeight="1">
      <c r="A28" s="227">
        <v>18.0</v>
      </c>
      <c r="B28" s="229" t="s">
        <v>61</v>
      </c>
      <c r="C28" s="218" t="s">
        <v>100</v>
      </c>
      <c r="D28" s="218" t="s">
        <v>101</v>
      </c>
      <c r="E28" s="218" t="s">
        <v>127</v>
      </c>
      <c r="F28" s="219" t="s">
        <v>69</v>
      </c>
      <c r="G28" s="218" t="str">
        <f t="shared" si="3"/>
        <v>Alejandro</v>
      </c>
      <c r="H28" s="218" t="str">
        <f t="shared" si="1"/>
        <v>avazquez</v>
      </c>
      <c r="I28" s="218" t="s">
        <v>73</v>
      </c>
      <c r="J28" s="220" t="s">
        <v>143</v>
      </c>
      <c r="K28" s="210" t="s">
        <v>903</v>
      </c>
      <c r="L28" s="210" t="s">
        <v>927</v>
      </c>
      <c r="M28" s="210" t="s">
        <v>903</v>
      </c>
      <c r="N28" s="210" t="s">
        <v>903</v>
      </c>
      <c r="O28" s="210" t="s">
        <v>903</v>
      </c>
      <c r="P28" s="210" t="s">
        <v>903</v>
      </c>
      <c r="Q28" s="210" t="s">
        <v>903</v>
      </c>
      <c r="R28" s="210" t="s">
        <v>903</v>
      </c>
      <c r="S28" s="210" t="s">
        <v>903</v>
      </c>
      <c r="T28" s="210" t="s">
        <v>903</v>
      </c>
      <c r="U28" s="210" t="s">
        <v>903</v>
      </c>
      <c r="V28" s="210" t="s">
        <v>903</v>
      </c>
      <c r="W28" s="210" t="s">
        <v>903</v>
      </c>
      <c r="X28" s="210" t="s">
        <v>903</v>
      </c>
      <c r="Y28" s="210" t="s">
        <v>903</v>
      </c>
      <c r="Z28" s="210" t="s">
        <v>903</v>
      </c>
      <c r="AA28" s="210" t="s">
        <v>903</v>
      </c>
      <c r="AB28" s="210" t="s">
        <v>903</v>
      </c>
      <c r="AC28" s="210" t="s">
        <v>903</v>
      </c>
      <c r="AD28" s="210" t="s">
        <v>929</v>
      </c>
      <c r="AE28" s="210"/>
    </row>
    <row r="29" ht="22.5" customHeight="1">
      <c r="A29" s="211">
        <v>6.0</v>
      </c>
      <c r="B29" s="232" t="s">
        <v>61</v>
      </c>
      <c r="C29" s="213" t="s">
        <v>85</v>
      </c>
      <c r="D29" s="213" t="s">
        <v>86</v>
      </c>
      <c r="E29" s="213" t="s">
        <v>124</v>
      </c>
      <c r="F29" s="214" t="s">
        <v>69</v>
      </c>
      <c r="G29" s="213" t="str">
        <f t="shared" si="3"/>
        <v>Emilio</v>
      </c>
      <c r="H29" s="213" t="str">
        <f t="shared" si="1"/>
        <v>econtreras</v>
      </c>
      <c r="I29" s="213" t="s">
        <v>82</v>
      </c>
      <c r="J29" s="215" t="s">
        <v>123</v>
      </c>
      <c r="K29" s="210" t="s">
        <v>903</v>
      </c>
      <c r="L29" s="210" t="s">
        <v>922</v>
      </c>
      <c r="M29" s="210" t="s">
        <v>920</v>
      </c>
      <c r="N29" s="210" t="s">
        <v>903</v>
      </c>
      <c r="O29" s="210" t="s">
        <v>920</v>
      </c>
      <c r="P29" s="210" t="s">
        <v>903</v>
      </c>
      <c r="Q29" s="210" t="s">
        <v>903</v>
      </c>
      <c r="R29" s="210" t="s">
        <v>903</v>
      </c>
      <c r="S29" s="210" t="s">
        <v>903</v>
      </c>
      <c r="T29" s="210" t="s">
        <v>903</v>
      </c>
      <c r="U29" s="210" t="s">
        <v>912</v>
      </c>
      <c r="V29" s="210" t="s">
        <v>903</v>
      </c>
      <c r="W29" s="210" t="s">
        <v>903</v>
      </c>
      <c r="X29" s="210" t="s">
        <v>903</v>
      </c>
      <c r="Y29" s="210" t="s">
        <v>903</v>
      </c>
      <c r="Z29" s="210" t="s">
        <v>903</v>
      </c>
      <c r="AA29" s="210" t="s">
        <v>903</v>
      </c>
      <c r="AB29" s="210" t="s">
        <v>903</v>
      </c>
      <c r="AC29" s="210" t="s">
        <v>903</v>
      </c>
      <c r="AD29" s="210" t="s">
        <v>903</v>
      </c>
      <c r="AE29" s="210"/>
    </row>
    <row r="30" ht="22.5" customHeight="1">
      <c r="A30" s="227">
        <v>8.0</v>
      </c>
      <c r="B30" s="229" t="s">
        <v>61</v>
      </c>
      <c r="C30" s="218" t="s">
        <v>80</v>
      </c>
      <c r="D30" s="218" t="s">
        <v>81</v>
      </c>
      <c r="E30" s="218" t="s">
        <v>124</v>
      </c>
      <c r="F30" s="219" t="s">
        <v>69</v>
      </c>
      <c r="G30" s="218" t="str">
        <f t="shared" si="3"/>
        <v>Gregorio</v>
      </c>
      <c r="H30" s="218" t="str">
        <f t="shared" si="1"/>
        <v>gguadarrama</v>
      </c>
      <c r="I30" s="218" t="s">
        <v>82</v>
      </c>
      <c r="J30" s="220" t="s">
        <v>128</v>
      </c>
      <c r="K30" s="210" t="s">
        <v>903</v>
      </c>
      <c r="L30" s="210" t="s">
        <v>922</v>
      </c>
      <c r="M30" s="210" t="s">
        <v>920</v>
      </c>
      <c r="N30" s="210" t="s">
        <v>903</v>
      </c>
      <c r="O30" s="210" t="s">
        <v>920</v>
      </c>
      <c r="P30" s="210" t="s">
        <v>903</v>
      </c>
      <c r="Q30" s="210" t="s">
        <v>903</v>
      </c>
      <c r="R30" s="210" t="s">
        <v>903</v>
      </c>
      <c r="S30" s="210" t="s">
        <v>903</v>
      </c>
      <c r="T30" s="210" t="s">
        <v>903</v>
      </c>
      <c r="U30" s="210" t="s">
        <v>903</v>
      </c>
      <c r="V30" s="210" t="s">
        <v>903</v>
      </c>
      <c r="W30" s="210" t="s">
        <v>903</v>
      </c>
      <c r="X30" s="210" t="s">
        <v>903</v>
      </c>
      <c r="Y30" s="210" t="s">
        <v>903</v>
      </c>
      <c r="Z30" s="210" t="s">
        <v>903</v>
      </c>
      <c r="AA30" s="210" t="s">
        <v>903</v>
      </c>
      <c r="AB30" s="210" t="s">
        <v>903</v>
      </c>
      <c r="AC30" s="210" t="s">
        <v>903</v>
      </c>
      <c r="AD30" s="210" t="s">
        <v>903</v>
      </c>
      <c r="AE30" s="210"/>
    </row>
    <row r="31" ht="22.5" customHeight="1">
      <c r="A31" s="211">
        <v>9.0</v>
      </c>
      <c r="B31" s="232" t="s">
        <v>61</v>
      </c>
      <c r="C31" s="213" t="s">
        <v>87</v>
      </c>
      <c r="D31" s="213" t="s">
        <v>88</v>
      </c>
      <c r="E31" s="213" t="s">
        <v>124</v>
      </c>
      <c r="F31" s="214" t="s">
        <v>69</v>
      </c>
      <c r="G31" s="213" t="s">
        <v>130</v>
      </c>
      <c r="H31" s="213" t="str">
        <f t="shared" si="1"/>
        <v>henriquez</v>
      </c>
      <c r="I31" s="213" t="s">
        <v>82</v>
      </c>
      <c r="J31" s="215" t="s">
        <v>129</v>
      </c>
      <c r="K31" s="210" t="s">
        <v>903</v>
      </c>
      <c r="L31" s="210" t="s">
        <v>930</v>
      </c>
      <c r="M31" s="210" t="s">
        <v>930</v>
      </c>
      <c r="N31" s="210" t="s">
        <v>903</v>
      </c>
      <c r="O31" s="210" t="s">
        <v>931</v>
      </c>
      <c r="P31" s="210" t="s">
        <v>903</v>
      </c>
      <c r="Q31" s="210" t="s">
        <v>926</v>
      </c>
      <c r="R31" s="210" t="s">
        <v>926</v>
      </c>
      <c r="S31" s="210" t="s">
        <v>926</v>
      </c>
      <c r="T31" s="210" t="s">
        <v>926</v>
      </c>
      <c r="U31" s="210" t="s">
        <v>926</v>
      </c>
      <c r="V31" s="210" t="s">
        <v>932</v>
      </c>
      <c r="W31" s="210" t="s">
        <v>926</v>
      </c>
      <c r="X31" s="210" t="s">
        <v>932</v>
      </c>
      <c r="Y31" s="210" t="s">
        <v>926</v>
      </c>
      <c r="Z31" s="210" t="s">
        <v>903</v>
      </c>
      <c r="AA31" s="210" t="s">
        <v>932</v>
      </c>
      <c r="AB31" s="210" t="s">
        <v>926</v>
      </c>
      <c r="AC31" s="210" t="s">
        <v>926</v>
      </c>
      <c r="AD31" s="210" t="s">
        <v>903</v>
      </c>
      <c r="AE31" s="210"/>
    </row>
    <row r="32" ht="22.5" customHeight="1">
      <c r="A32" s="227">
        <v>28.0</v>
      </c>
      <c r="B32" s="229" t="s">
        <v>61</v>
      </c>
      <c r="C32" s="218" t="s">
        <v>167</v>
      </c>
      <c r="D32" s="218" t="s">
        <v>168</v>
      </c>
      <c r="E32" s="218" t="s">
        <v>170</v>
      </c>
      <c r="F32" s="219" t="s">
        <v>69</v>
      </c>
      <c r="G32" s="218" t="s">
        <v>169</v>
      </c>
      <c r="H32" s="218" t="str">
        <f t="shared" si="1"/>
        <v>rescobar</v>
      </c>
      <c r="I32" s="218" t="s">
        <v>91</v>
      </c>
      <c r="J32" s="220" t="s">
        <v>167</v>
      </c>
      <c r="K32" s="210" t="s">
        <v>921</v>
      </c>
      <c r="L32" s="210" t="s">
        <v>924</v>
      </c>
      <c r="M32" s="210" t="s">
        <v>903</v>
      </c>
      <c r="N32" s="210" t="s">
        <v>903</v>
      </c>
      <c r="O32" s="210" t="s">
        <v>903</v>
      </c>
      <c r="P32" s="210" t="s">
        <v>903</v>
      </c>
      <c r="Q32" s="210" t="s">
        <v>903</v>
      </c>
      <c r="R32" s="210" t="s">
        <v>903</v>
      </c>
      <c r="S32" s="210" t="s">
        <v>903</v>
      </c>
      <c r="T32" s="210" t="s">
        <v>903</v>
      </c>
      <c r="U32" s="210" t="s">
        <v>903</v>
      </c>
      <c r="V32" s="210" t="s">
        <v>903</v>
      </c>
      <c r="W32" s="210" t="s">
        <v>903</v>
      </c>
      <c r="X32" s="210" t="s">
        <v>903</v>
      </c>
      <c r="Y32" s="210" t="s">
        <v>903</v>
      </c>
      <c r="Z32" s="210" t="s">
        <v>903</v>
      </c>
      <c r="AA32" s="210" t="s">
        <v>903</v>
      </c>
      <c r="AB32" s="210" t="s">
        <v>903</v>
      </c>
      <c r="AC32" s="210" t="s">
        <v>903</v>
      </c>
      <c r="AD32" s="210" t="s">
        <v>903</v>
      </c>
      <c r="AE32" s="210"/>
    </row>
    <row r="33" ht="22.5" customHeight="1">
      <c r="A33" s="237">
        <v>25.0</v>
      </c>
      <c r="B33" s="238" t="s">
        <v>61</v>
      </c>
      <c r="C33" s="239" t="s">
        <v>59</v>
      </c>
      <c r="D33" s="239" t="s">
        <v>60</v>
      </c>
      <c r="E33" s="239" t="s">
        <v>160</v>
      </c>
      <c r="F33" s="240" t="s">
        <v>40</v>
      </c>
      <c r="G33" s="239" t="str">
        <f>LEFT(C33,FIND(" ",C33) - 1)</f>
        <v>Erithan</v>
      </c>
      <c r="H33" s="239" t="str">
        <f t="shared" si="1"/>
        <v>egonzalez</v>
      </c>
      <c r="I33" s="239" t="s">
        <v>62</v>
      </c>
      <c r="J33" s="241" t="s">
        <v>159</v>
      </c>
      <c r="K33" s="210" t="s">
        <v>903</v>
      </c>
      <c r="L33" s="210" t="s">
        <v>933</v>
      </c>
      <c r="M33" s="210" t="s">
        <v>903</v>
      </c>
      <c r="N33" s="210" t="s">
        <v>905</v>
      </c>
      <c r="O33" s="210" t="s">
        <v>903</v>
      </c>
      <c r="P33" s="210" t="s">
        <v>903</v>
      </c>
      <c r="Q33" s="210" t="s">
        <v>903</v>
      </c>
      <c r="R33" s="210" t="s">
        <v>903</v>
      </c>
      <c r="S33" s="210" t="s">
        <v>903</v>
      </c>
      <c r="T33" s="210" t="s">
        <v>903</v>
      </c>
      <c r="U33" s="210" t="s">
        <v>903</v>
      </c>
      <c r="V33" s="210" t="s">
        <v>903</v>
      </c>
      <c r="W33" s="210" t="s">
        <v>903</v>
      </c>
      <c r="X33" s="210" t="s">
        <v>903</v>
      </c>
      <c r="Y33" s="210" t="s">
        <v>903</v>
      </c>
      <c r="Z33" s="210" t="s">
        <v>903</v>
      </c>
      <c r="AA33" s="210" t="s">
        <v>903</v>
      </c>
      <c r="AB33" s="210" t="s">
        <v>903</v>
      </c>
      <c r="AC33" s="210" t="s">
        <v>903</v>
      </c>
      <c r="AD33" s="210" t="s">
        <v>905</v>
      </c>
      <c r="AE33" s="210"/>
    </row>
  </sheetData>
  <dataValidations>
    <dataValidation type="list" allowBlank="1" sqref="K2:K33">
      <formula1>"Sin acceso,Visulizador,Gestor de cambios,BBDD Prod,Adminsitrador,Contributor"</formula1>
    </dataValidation>
    <dataValidation type="list" allowBlank="1" sqref="M8 M10 M12:M13 O8:AC13 M16:M17 O16:AC17 AE17 M33 O33:AC33">
      <formula1>"Sin acceso,Visulizador,Gestor de cambios,BBDD Prod,Adminsitrador,Contributor"</formula1>
    </dataValidation>
    <dataValidation type="list" allowBlank="1" sqref="M31 O31:AC31">
      <formula1>"Sin acceso,Visulizador,Gestor de cambios,BBDD Prod,Adminsitrador,Contributor,BBDD Test,Super Usuario Plataforma ,Usuario test"</formula1>
    </dataValidation>
    <dataValidation type="list" allowBlank="1" sqref="M2:M7 O2:AC7 M9 M11 M14:M15 O14:AC15 M18:M30 O18:AC30 M32 O32:AC32">
      <formula1>"Sin acceso,Visulizador,Gestor de cambios,BBDD Prod,Adminsitrador,Contributor,BBDD Test,Super Usuario Plataforma "</formula1>
    </dataValidation>
    <dataValidation type="list" allowBlank="1" sqref="B2:B33">
      <formula1>"Tech Ambition,Growth Experiences,Allies Networking,Analytics Solutions"</formula1>
    </dataValidation>
    <dataValidation type="list" allowBlank="1" sqref="N2:N33 AD2:AD33">
      <formula1>"Sin acceso,Visulizador,Gestor de cambios,BBDD Prod,Adminsitrador,Contributor,Usuario de plataforma"</formula1>
    </dataValidation>
    <dataValidation type="list" allowBlank="1" sqref="L2:L33">
      <formula1>"Sin acceso,Visulizador,Gestor de cambios,BBDD Prod,Adminsitrador,Contributor,BBDD Test,Super Usuario Plataforma ,Usuario test"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</hyperlinks>
  <drawing r:id="rId33"/>
  <tableParts count="1">
    <tablePart r:id="rId3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hidden="1" min="3" max="3" width="12.63"/>
    <col customWidth="1" min="4" max="4" width="13.88"/>
    <col customWidth="1" min="5" max="5" width="15.5"/>
    <col customWidth="1" min="6" max="6" width="17.0"/>
    <col customWidth="1" min="7" max="7" width="14.25"/>
    <col customWidth="1" min="8" max="8" width="15.63"/>
    <col customWidth="1" min="9" max="9" width="25.63"/>
    <col customWidth="1" min="10" max="10" width="14.0"/>
    <col customWidth="1" hidden="1" min="11" max="11" width="25.13"/>
    <col customWidth="1" hidden="1" min="12" max="12" width="17.0"/>
    <col customWidth="1" min="13" max="13" width="30.0"/>
    <col hidden="1" min="14" max="16" width="12.63"/>
    <col customWidth="1" hidden="1" min="17" max="17" width="13.75"/>
    <col hidden="1" min="18" max="19" width="12.63"/>
    <col customWidth="1" hidden="1" min="20" max="20" width="37.63"/>
    <col customWidth="1" hidden="1" min="21" max="21" width="18.75"/>
    <col customWidth="1" hidden="1" min="22" max="22" width="19.13"/>
    <col customWidth="1" hidden="1" min="23" max="23" width="19.38"/>
    <col customWidth="1" hidden="1" min="24" max="24" width="21.13"/>
    <col customWidth="1" hidden="1" min="25" max="25" width="20.63"/>
  </cols>
  <sheetData>
    <row r="1" ht="22.5" customHeight="1">
      <c r="A1" s="41" t="s">
        <v>934</v>
      </c>
      <c r="B1" s="41" t="s">
        <v>935</v>
      </c>
      <c r="C1" s="41" t="s">
        <v>936</v>
      </c>
      <c r="D1" s="41" t="s">
        <v>937</v>
      </c>
      <c r="E1" s="41" t="s">
        <v>938</v>
      </c>
      <c r="F1" s="41" t="s">
        <v>939</v>
      </c>
      <c r="G1" s="41" t="s">
        <v>940</v>
      </c>
      <c r="H1" s="41" t="s">
        <v>941</v>
      </c>
      <c r="I1" s="48" t="s">
        <v>942</v>
      </c>
      <c r="J1" s="41" t="s">
        <v>943</v>
      </c>
      <c r="K1" s="47" t="s">
        <v>944</v>
      </c>
      <c r="L1" s="47" t="s">
        <v>945</v>
      </c>
      <c r="M1" s="47" t="s">
        <v>946</v>
      </c>
      <c r="N1" s="47" t="s">
        <v>947</v>
      </c>
      <c r="O1" s="47" t="s">
        <v>948</v>
      </c>
      <c r="P1" s="47" t="s">
        <v>949</v>
      </c>
      <c r="Q1" s="47" t="s">
        <v>950</v>
      </c>
      <c r="R1" s="47" t="s">
        <v>951</v>
      </c>
      <c r="S1" s="47" t="s">
        <v>952</v>
      </c>
      <c r="T1" s="47" t="s">
        <v>953</v>
      </c>
      <c r="U1" s="47" t="s">
        <v>954</v>
      </c>
      <c r="V1" s="47" t="s">
        <v>955</v>
      </c>
      <c r="W1" s="47" t="s">
        <v>956</v>
      </c>
      <c r="X1" s="47" t="s">
        <v>957</v>
      </c>
      <c r="Y1" s="47" t="s">
        <v>958</v>
      </c>
    </row>
    <row r="2" ht="22.5" customHeight="1">
      <c r="A2" s="41" t="s">
        <v>959</v>
      </c>
      <c r="B2" s="41">
        <v>0.0</v>
      </c>
      <c r="C2" s="41"/>
      <c r="D2" s="41" t="s">
        <v>960</v>
      </c>
      <c r="E2" s="41" t="s">
        <v>960</v>
      </c>
      <c r="F2" s="41" t="s">
        <v>960</v>
      </c>
      <c r="G2" s="41" t="s">
        <v>960</v>
      </c>
      <c r="H2" s="41" t="s">
        <v>960</v>
      </c>
      <c r="I2" s="42" t="s">
        <v>961</v>
      </c>
      <c r="J2" s="41" t="s">
        <v>960</v>
      </c>
      <c r="K2" s="42"/>
      <c r="L2" s="42"/>
      <c r="M2" s="42" t="s">
        <v>962</v>
      </c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ht="22.5" customHeight="1">
      <c r="A3" s="41" t="s">
        <v>959</v>
      </c>
      <c r="B3" s="41">
        <v>1225.0</v>
      </c>
      <c r="C3" s="41" t="s">
        <v>963</v>
      </c>
      <c r="D3" s="41" t="s">
        <v>964</v>
      </c>
      <c r="E3" s="41" t="s">
        <v>964</v>
      </c>
      <c r="F3" s="41" t="s">
        <v>963</v>
      </c>
      <c r="G3" s="41">
        <v>121.0</v>
      </c>
      <c r="H3" s="41" t="s">
        <v>965</v>
      </c>
      <c r="I3" s="42" t="s">
        <v>966</v>
      </c>
      <c r="J3" s="41" t="s">
        <v>967</v>
      </c>
      <c r="K3" s="42" t="s">
        <v>968</v>
      </c>
      <c r="L3" s="42" t="s">
        <v>969</v>
      </c>
      <c r="M3" s="42" t="s">
        <v>970</v>
      </c>
      <c r="N3" s="42">
        <v>1.0</v>
      </c>
      <c r="O3" s="42">
        <v>1.0</v>
      </c>
      <c r="P3" s="42">
        <v>2.0</v>
      </c>
      <c r="Q3" s="42">
        <v>0.0</v>
      </c>
      <c r="R3" s="42">
        <v>2.0</v>
      </c>
      <c r="S3" s="42">
        <v>0.0</v>
      </c>
      <c r="T3" s="42" t="s">
        <v>971</v>
      </c>
      <c r="U3" s="42">
        <v>1.0</v>
      </c>
      <c r="V3" s="42">
        <v>0.0</v>
      </c>
      <c r="W3" s="42">
        <v>2.0</v>
      </c>
      <c r="X3" s="42">
        <v>100.0</v>
      </c>
      <c r="Y3" s="42">
        <v>0.0</v>
      </c>
    </row>
    <row r="4" ht="22.5" customHeight="1">
      <c r="A4" s="41" t="s">
        <v>972</v>
      </c>
      <c r="B4" s="41">
        <v>1236.0</v>
      </c>
      <c r="C4" s="41" t="s">
        <v>271</v>
      </c>
      <c r="D4" s="41" t="s">
        <v>973</v>
      </c>
      <c r="E4" s="41" t="s">
        <v>973</v>
      </c>
      <c r="F4" s="41" t="s">
        <v>271</v>
      </c>
      <c r="G4" s="41">
        <v>188.0</v>
      </c>
      <c r="H4" s="41" t="s">
        <v>974</v>
      </c>
      <c r="I4" s="42" t="s">
        <v>966</v>
      </c>
      <c r="J4" s="41" t="s">
        <v>974</v>
      </c>
      <c r="K4" s="42" t="s">
        <v>975</v>
      </c>
      <c r="L4" s="42" t="s">
        <v>976</v>
      </c>
      <c r="M4" s="42" t="s">
        <v>970</v>
      </c>
      <c r="N4" s="42">
        <v>1.0</v>
      </c>
      <c r="O4" s="42">
        <v>1.0</v>
      </c>
      <c r="P4" s="42">
        <v>2.0</v>
      </c>
      <c r="Q4" s="42">
        <v>0.0</v>
      </c>
      <c r="R4" s="42">
        <v>2.0</v>
      </c>
      <c r="S4" s="42">
        <v>0.0</v>
      </c>
      <c r="T4" s="42" t="s">
        <v>977</v>
      </c>
      <c r="U4" s="42">
        <v>1.0</v>
      </c>
      <c r="V4" s="42">
        <v>0.0</v>
      </c>
      <c r="W4" s="42">
        <v>0.0</v>
      </c>
      <c r="X4" s="42">
        <v>100.0</v>
      </c>
      <c r="Y4" s="42">
        <v>0.0</v>
      </c>
    </row>
    <row r="5" ht="22.5" customHeight="1">
      <c r="A5" s="41" t="s">
        <v>959</v>
      </c>
      <c r="B5" s="41">
        <v>3289.0</v>
      </c>
      <c r="C5" s="41" t="s">
        <v>271</v>
      </c>
      <c r="D5" s="41" t="s">
        <v>978</v>
      </c>
      <c r="E5" s="41" t="s">
        <v>978</v>
      </c>
      <c r="F5" s="41" t="s">
        <v>271</v>
      </c>
      <c r="G5" s="41">
        <v>233.0</v>
      </c>
      <c r="H5" s="41" t="s">
        <v>979</v>
      </c>
      <c r="I5" s="42" t="s">
        <v>966</v>
      </c>
      <c r="J5" s="41" t="s">
        <v>980</v>
      </c>
      <c r="K5" s="42" t="s">
        <v>981</v>
      </c>
      <c r="L5" s="42" t="s">
        <v>982</v>
      </c>
      <c r="M5" s="42" t="s">
        <v>970</v>
      </c>
      <c r="N5" s="42">
        <v>1.0</v>
      </c>
      <c r="O5" s="42">
        <v>1.0</v>
      </c>
      <c r="P5" s="42">
        <v>2.0</v>
      </c>
      <c r="Q5" s="42">
        <v>0.0</v>
      </c>
      <c r="R5" s="42">
        <v>2.0</v>
      </c>
      <c r="S5" s="42">
        <v>0.0</v>
      </c>
      <c r="T5" s="42" t="s">
        <v>983</v>
      </c>
      <c r="U5" s="42">
        <v>1.0</v>
      </c>
      <c r="V5" s="42">
        <v>0.0</v>
      </c>
      <c r="W5" s="42">
        <v>0.0</v>
      </c>
      <c r="X5" s="42">
        <v>100.0</v>
      </c>
      <c r="Y5" s="42">
        <v>0.0</v>
      </c>
    </row>
    <row r="6" ht="22.5" customHeight="1">
      <c r="A6" s="41" t="s">
        <v>959</v>
      </c>
      <c r="B6" s="41">
        <v>5383.0</v>
      </c>
      <c r="C6" s="41" t="s">
        <v>271</v>
      </c>
      <c r="D6" s="41" t="s">
        <v>984</v>
      </c>
      <c r="E6" s="41" t="s">
        <v>984</v>
      </c>
      <c r="F6" s="41" t="s">
        <v>271</v>
      </c>
      <c r="G6" s="41">
        <v>321.0</v>
      </c>
      <c r="H6" s="41" t="s">
        <v>985</v>
      </c>
      <c r="I6" s="42" t="s">
        <v>966</v>
      </c>
      <c r="J6" s="41" t="s">
        <v>985</v>
      </c>
      <c r="K6" s="42" t="s">
        <v>986</v>
      </c>
      <c r="L6" s="42" t="s">
        <v>987</v>
      </c>
      <c r="M6" s="42" t="s">
        <v>970</v>
      </c>
      <c r="N6" s="42">
        <v>1.0</v>
      </c>
      <c r="O6" s="42">
        <v>1.0</v>
      </c>
      <c r="P6" s="42">
        <v>2.0</v>
      </c>
      <c r="Q6" s="42">
        <v>0.0</v>
      </c>
      <c r="R6" s="42">
        <v>1.0</v>
      </c>
      <c r="S6" s="42">
        <v>0.0</v>
      </c>
      <c r="T6" s="42" t="s">
        <v>988</v>
      </c>
      <c r="U6" s="42">
        <v>1.0</v>
      </c>
      <c r="V6" s="42">
        <v>0.0</v>
      </c>
      <c r="W6" s="42">
        <v>2.0</v>
      </c>
      <c r="X6" s="42">
        <v>100.0</v>
      </c>
      <c r="Y6" s="42">
        <v>0.0</v>
      </c>
    </row>
    <row r="7" ht="22.5" customHeight="1">
      <c r="A7" s="41"/>
      <c r="B7" s="41">
        <v>1.0</v>
      </c>
      <c r="C7" s="41" t="s">
        <v>989</v>
      </c>
      <c r="D7" s="41" t="s">
        <v>990</v>
      </c>
      <c r="E7" s="41" t="s">
        <v>990</v>
      </c>
      <c r="F7" s="41" t="s">
        <v>991</v>
      </c>
      <c r="G7" s="41">
        <v>1.0</v>
      </c>
      <c r="H7" s="41" t="s">
        <v>992</v>
      </c>
      <c r="I7" s="41"/>
      <c r="J7" s="41" t="s">
        <v>992</v>
      </c>
      <c r="K7" s="42" t="s">
        <v>993</v>
      </c>
      <c r="L7" s="42" t="s">
        <v>994</v>
      </c>
      <c r="N7" s="42">
        <v>0.0</v>
      </c>
      <c r="O7" s="42">
        <v>0.0</v>
      </c>
      <c r="P7" s="42">
        <v>2.0</v>
      </c>
      <c r="Q7" s="42" t="s">
        <v>995</v>
      </c>
      <c r="R7" s="42">
        <v>0.0</v>
      </c>
      <c r="S7" s="42">
        <v>0.0</v>
      </c>
      <c r="T7" s="42" t="s">
        <v>996</v>
      </c>
      <c r="U7" s="42">
        <v>1.0</v>
      </c>
      <c r="V7" s="42">
        <v>0.0</v>
      </c>
      <c r="W7" s="42">
        <v>0.0</v>
      </c>
      <c r="X7" s="42">
        <v>100.0</v>
      </c>
      <c r="Y7" s="42">
        <v>0.0</v>
      </c>
    </row>
    <row r="8" ht="22.5" customHeight="1">
      <c r="A8" s="41"/>
      <c r="B8" s="41">
        <v>2.0</v>
      </c>
      <c r="C8" s="41" t="s">
        <v>997</v>
      </c>
      <c r="D8" s="41" t="s">
        <v>998</v>
      </c>
      <c r="E8" s="41" t="s">
        <v>998</v>
      </c>
      <c r="F8" s="41" t="s">
        <v>999</v>
      </c>
      <c r="G8" s="41">
        <v>2.0</v>
      </c>
      <c r="H8" s="41" t="s">
        <v>1000</v>
      </c>
      <c r="I8" s="41"/>
      <c r="J8" s="41" t="s">
        <v>1000</v>
      </c>
      <c r="K8" s="42" t="s">
        <v>1001</v>
      </c>
      <c r="L8" s="42" t="s">
        <v>1002</v>
      </c>
      <c r="N8" s="42">
        <v>0.0</v>
      </c>
      <c r="O8" s="42">
        <v>0.0</v>
      </c>
      <c r="P8" s="42">
        <v>1.0</v>
      </c>
      <c r="Q8" s="42" t="s">
        <v>995</v>
      </c>
      <c r="R8" s="42">
        <v>2.0</v>
      </c>
      <c r="S8" s="42">
        <v>0.0</v>
      </c>
      <c r="T8" s="42" t="s">
        <v>995</v>
      </c>
      <c r="U8" s="42">
        <v>0.0</v>
      </c>
      <c r="V8" s="42">
        <v>0.0</v>
      </c>
      <c r="W8" s="42">
        <v>0.0</v>
      </c>
      <c r="X8" s="42">
        <v>100.0</v>
      </c>
      <c r="Y8" s="42">
        <v>0.0</v>
      </c>
    </row>
    <row r="9" ht="22.5" customHeight="1">
      <c r="A9" s="41"/>
      <c r="B9" s="41">
        <v>3.0</v>
      </c>
      <c r="C9" s="41" t="s">
        <v>1003</v>
      </c>
      <c r="D9" s="41" t="s">
        <v>1004</v>
      </c>
      <c r="E9" s="41" t="s">
        <v>1004</v>
      </c>
      <c r="F9" s="41" t="s">
        <v>1005</v>
      </c>
      <c r="G9" s="41">
        <v>3.0</v>
      </c>
      <c r="H9" s="41" t="s">
        <v>1006</v>
      </c>
      <c r="I9" s="41"/>
      <c r="J9" s="41" t="s">
        <v>1006</v>
      </c>
      <c r="K9" s="42" t="s">
        <v>1007</v>
      </c>
      <c r="L9" s="42" t="s">
        <v>1008</v>
      </c>
      <c r="N9" s="42">
        <v>0.0</v>
      </c>
      <c r="O9" s="42">
        <v>0.0</v>
      </c>
      <c r="P9" s="42">
        <v>1.0</v>
      </c>
      <c r="Q9" s="42" t="s">
        <v>995</v>
      </c>
      <c r="R9" s="42">
        <v>2.0</v>
      </c>
      <c r="S9" s="42">
        <v>0.0</v>
      </c>
      <c r="T9" s="42" t="s">
        <v>995</v>
      </c>
      <c r="U9" s="42">
        <v>0.0</v>
      </c>
      <c r="V9" s="42">
        <v>0.0</v>
      </c>
      <c r="W9" s="42">
        <v>0.0</v>
      </c>
      <c r="X9" s="42">
        <v>100.0</v>
      </c>
      <c r="Y9" s="42">
        <v>0.0</v>
      </c>
    </row>
    <row r="10" ht="22.5" customHeight="1">
      <c r="A10" s="41"/>
      <c r="B10" s="41">
        <v>4.0</v>
      </c>
      <c r="C10" s="41" t="s">
        <v>1009</v>
      </c>
      <c r="D10" s="41" t="s">
        <v>1010</v>
      </c>
      <c r="E10" s="41" t="s">
        <v>1010</v>
      </c>
      <c r="F10" s="41" t="s">
        <v>1011</v>
      </c>
      <c r="G10" s="41">
        <v>4.0</v>
      </c>
      <c r="H10" s="41" t="s">
        <v>1012</v>
      </c>
      <c r="I10" s="41"/>
      <c r="J10" s="41" t="s">
        <v>1012</v>
      </c>
      <c r="K10" s="42" t="s">
        <v>1013</v>
      </c>
      <c r="L10" s="42" t="s">
        <v>1014</v>
      </c>
      <c r="N10" s="42">
        <v>0.0</v>
      </c>
      <c r="O10" s="42">
        <v>0.0</v>
      </c>
      <c r="P10" s="42">
        <v>1.0</v>
      </c>
      <c r="Q10" s="42" t="s">
        <v>995</v>
      </c>
      <c r="R10" s="42">
        <v>2.0</v>
      </c>
      <c r="S10" s="42">
        <v>0.0</v>
      </c>
      <c r="T10" s="42" t="s">
        <v>995</v>
      </c>
      <c r="U10" s="42">
        <v>0.0</v>
      </c>
      <c r="V10" s="42">
        <v>0.0</v>
      </c>
      <c r="W10" s="42">
        <v>0.0</v>
      </c>
      <c r="X10" s="42">
        <v>100.0</v>
      </c>
      <c r="Y10" s="42">
        <v>0.0</v>
      </c>
    </row>
    <row r="11" ht="22.5" customHeight="1">
      <c r="A11" s="41"/>
      <c r="B11" s="41">
        <v>5.0</v>
      </c>
      <c r="C11" s="41" t="s">
        <v>1015</v>
      </c>
      <c r="D11" s="41" t="s">
        <v>1016</v>
      </c>
      <c r="E11" s="41" t="s">
        <v>1016</v>
      </c>
      <c r="F11" s="41" t="s">
        <v>1017</v>
      </c>
      <c r="G11" s="41">
        <v>5.0</v>
      </c>
      <c r="H11" s="41" t="s">
        <v>1018</v>
      </c>
      <c r="I11" s="41"/>
      <c r="J11" s="41" t="s">
        <v>1018</v>
      </c>
      <c r="K11" s="42" t="s">
        <v>1019</v>
      </c>
      <c r="L11" s="42" t="s">
        <v>1020</v>
      </c>
      <c r="N11" s="42">
        <v>0.0</v>
      </c>
      <c r="O11" s="42">
        <v>0.0</v>
      </c>
      <c r="P11" s="42">
        <v>1.0</v>
      </c>
      <c r="Q11" s="42" t="s">
        <v>995</v>
      </c>
      <c r="R11" s="42">
        <v>2.0</v>
      </c>
      <c r="S11" s="42">
        <v>0.0</v>
      </c>
      <c r="T11" s="42" t="s">
        <v>995</v>
      </c>
      <c r="U11" s="42">
        <v>0.0</v>
      </c>
      <c r="V11" s="42">
        <v>0.0</v>
      </c>
      <c r="W11" s="42">
        <v>0.0</v>
      </c>
      <c r="X11" s="42">
        <v>100.0</v>
      </c>
      <c r="Y11" s="42">
        <v>0.0</v>
      </c>
    </row>
    <row r="12" ht="22.5" customHeight="1">
      <c r="A12" s="41"/>
      <c r="B12" s="41">
        <v>6.0</v>
      </c>
      <c r="C12" s="41" t="s">
        <v>1021</v>
      </c>
      <c r="D12" s="41" t="s">
        <v>1022</v>
      </c>
      <c r="E12" s="41" t="s">
        <v>1022</v>
      </c>
      <c r="F12" s="41" t="s">
        <v>1023</v>
      </c>
      <c r="G12" s="41">
        <v>6.0</v>
      </c>
      <c r="H12" s="41" t="s">
        <v>1024</v>
      </c>
      <c r="I12" s="41"/>
      <c r="J12" s="41" t="s">
        <v>1025</v>
      </c>
      <c r="K12" s="42" t="s">
        <v>1026</v>
      </c>
      <c r="L12" s="42" t="s">
        <v>1027</v>
      </c>
      <c r="M12" s="42" t="s">
        <v>1028</v>
      </c>
      <c r="N12" s="42">
        <v>0.0</v>
      </c>
      <c r="O12" s="42">
        <v>1.0</v>
      </c>
      <c r="P12" s="42">
        <v>2.0</v>
      </c>
      <c r="Q12" s="42" t="s">
        <v>995</v>
      </c>
      <c r="R12" s="42">
        <v>10.0</v>
      </c>
      <c r="S12" s="42">
        <v>0.0</v>
      </c>
      <c r="T12" s="42" t="s">
        <v>1029</v>
      </c>
      <c r="U12" s="42">
        <v>1.0</v>
      </c>
      <c r="V12" s="42">
        <v>8.0</v>
      </c>
      <c r="W12" s="42">
        <v>0.0</v>
      </c>
      <c r="X12" s="42">
        <v>100.0</v>
      </c>
      <c r="Y12" s="42">
        <v>0.0</v>
      </c>
    </row>
    <row r="13" ht="22.5" customHeight="1">
      <c r="A13" s="41"/>
      <c r="B13" s="41">
        <v>7.0</v>
      </c>
      <c r="C13" s="41" t="s">
        <v>1030</v>
      </c>
      <c r="D13" s="41" t="s">
        <v>1031</v>
      </c>
      <c r="E13" s="41" t="s">
        <v>1031</v>
      </c>
      <c r="F13" s="41" t="s">
        <v>1032</v>
      </c>
      <c r="G13" s="41">
        <v>7.0</v>
      </c>
      <c r="H13" s="41" t="s">
        <v>1033</v>
      </c>
      <c r="I13" s="41"/>
      <c r="J13" s="41" t="s">
        <v>1034</v>
      </c>
      <c r="K13" s="42" t="s">
        <v>1035</v>
      </c>
      <c r="L13" s="42" t="s">
        <v>1036</v>
      </c>
      <c r="N13" s="42">
        <v>0.0</v>
      </c>
      <c r="O13" s="42">
        <v>0.0</v>
      </c>
      <c r="P13" s="42">
        <v>1.0</v>
      </c>
      <c r="Q13" s="42" t="s">
        <v>995</v>
      </c>
      <c r="R13" s="42">
        <v>2.0</v>
      </c>
      <c r="S13" s="42">
        <v>0.0</v>
      </c>
      <c r="T13" s="42" t="s">
        <v>995</v>
      </c>
      <c r="U13" s="42">
        <v>0.0</v>
      </c>
      <c r="V13" s="42">
        <v>0.0</v>
      </c>
      <c r="W13" s="42">
        <v>0.0</v>
      </c>
      <c r="X13" s="42">
        <v>100.0</v>
      </c>
      <c r="Y13" s="42">
        <v>0.0</v>
      </c>
    </row>
    <row r="14" ht="22.5" customHeight="1">
      <c r="A14" s="41"/>
      <c r="B14" s="41">
        <v>8.0</v>
      </c>
      <c r="C14" s="41" t="s">
        <v>1037</v>
      </c>
      <c r="D14" s="41" t="s">
        <v>1038</v>
      </c>
      <c r="E14" s="41" t="s">
        <v>1038</v>
      </c>
      <c r="F14" s="41" t="s">
        <v>1039</v>
      </c>
      <c r="G14" s="41">
        <v>8.0</v>
      </c>
      <c r="H14" s="41" t="s">
        <v>1040</v>
      </c>
      <c r="I14" s="41"/>
      <c r="J14" s="41" t="s">
        <v>1040</v>
      </c>
      <c r="K14" s="42" t="s">
        <v>1041</v>
      </c>
      <c r="L14" s="42" t="s">
        <v>1042</v>
      </c>
      <c r="M14" s="42" t="s">
        <v>1043</v>
      </c>
      <c r="N14" s="42">
        <v>0.0</v>
      </c>
      <c r="O14" s="42">
        <v>1.0</v>
      </c>
      <c r="P14" s="42">
        <v>2.0</v>
      </c>
      <c r="Q14" s="42" t="s">
        <v>995</v>
      </c>
      <c r="R14" s="42">
        <v>3.0</v>
      </c>
      <c r="S14" s="42">
        <v>0.0</v>
      </c>
      <c r="T14" s="42" t="s">
        <v>1044</v>
      </c>
      <c r="U14" s="42">
        <v>1.0</v>
      </c>
      <c r="V14" s="42">
        <v>4.0</v>
      </c>
      <c r="W14" s="42">
        <v>0.0</v>
      </c>
      <c r="X14" s="42">
        <v>100.0</v>
      </c>
      <c r="Y14" s="42">
        <v>0.0</v>
      </c>
    </row>
    <row r="15" ht="22.5" customHeight="1">
      <c r="A15" s="41"/>
      <c r="B15" s="41">
        <v>9.0</v>
      </c>
      <c r="C15" s="41" t="s">
        <v>1045</v>
      </c>
      <c r="D15" s="41" t="s">
        <v>1046</v>
      </c>
      <c r="E15" s="41" t="s">
        <v>1046</v>
      </c>
      <c r="F15" s="41" t="s">
        <v>1047</v>
      </c>
      <c r="G15" s="41">
        <v>9.0</v>
      </c>
      <c r="H15" s="41" t="s">
        <v>1048</v>
      </c>
      <c r="I15" s="41"/>
      <c r="J15" s="41" t="s">
        <v>1048</v>
      </c>
      <c r="K15" s="42" t="s">
        <v>1049</v>
      </c>
      <c r="L15" s="42" t="s">
        <v>1050</v>
      </c>
      <c r="N15" s="42">
        <v>1.0</v>
      </c>
      <c r="O15" s="42">
        <v>0.0</v>
      </c>
      <c r="P15" s="42">
        <v>1.0</v>
      </c>
      <c r="Q15" s="42" t="s">
        <v>995</v>
      </c>
      <c r="R15" s="42">
        <v>2.0</v>
      </c>
      <c r="S15" s="42">
        <v>0.0</v>
      </c>
      <c r="T15" s="42" t="s">
        <v>995</v>
      </c>
      <c r="U15" s="42">
        <v>0.0</v>
      </c>
      <c r="V15" s="42">
        <v>0.0</v>
      </c>
      <c r="W15" s="42">
        <v>0.0</v>
      </c>
      <c r="X15" s="42">
        <v>100.0</v>
      </c>
      <c r="Y15" s="42">
        <v>0.0</v>
      </c>
    </row>
    <row r="16" ht="22.5" customHeight="1">
      <c r="A16" s="41"/>
      <c r="B16" s="41">
        <v>10.0</v>
      </c>
      <c r="C16" s="41" t="s">
        <v>1051</v>
      </c>
      <c r="D16" s="41" t="s">
        <v>1052</v>
      </c>
      <c r="E16" s="41" t="s">
        <v>1052</v>
      </c>
      <c r="F16" s="41" t="s">
        <v>1053</v>
      </c>
      <c r="G16" s="41">
        <v>10.0</v>
      </c>
      <c r="H16" s="41" t="s">
        <v>1054</v>
      </c>
      <c r="I16" s="41"/>
      <c r="J16" s="41" t="s">
        <v>1054</v>
      </c>
      <c r="K16" s="42" t="s">
        <v>1055</v>
      </c>
      <c r="L16" s="42" t="s">
        <v>1056</v>
      </c>
      <c r="M16" s="42" t="s">
        <v>1028</v>
      </c>
      <c r="N16" s="42">
        <v>0.0</v>
      </c>
      <c r="O16" s="42">
        <v>1.0</v>
      </c>
      <c r="P16" s="42">
        <v>2.0</v>
      </c>
      <c r="Q16" s="42">
        <v>1.0</v>
      </c>
      <c r="R16" s="42">
        <v>10.0</v>
      </c>
      <c r="S16" s="42">
        <v>0.0</v>
      </c>
      <c r="T16" s="42" t="s">
        <v>1057</v>
      </c>
      <c r="U16" s="42">
        <v>1.0</v>
      </c>
      <c r="V16" s="42">
        <v>1.0</v>
      </c>
      <c r="W16" s="42">
        <v>0.0</v>
      </c>
      <c r="X16" s="42">
        <v>100.0</v>
      </c>
      <c r="Y16" s="42">
        <v>0.0</v>
      </c>
    </row>
    <row r="17" ht="22.5" customHeight="1">
      <c r="A17" s="41"/>
      <c r="B17" s="41">
        <v>11.0</v>
      </c>
      <c r="C17" s="41" t="s">
        <v>1058</v>
      </c>
      <c r="D17" s="41" t="s">
        <v>1059</v>
      </c>
      <c r="E17" s="41" t="s">
        <v>1059</v>
      </c>
      <c r="F17" s="41" t="s">
        <v>1060</v>
      </c>
      <c r="G17" s="41">
        <v>11.0</v>
      </c>
      <c r="H17" s="41" t="s">
        <v>1061</v>
      </c>
      <c r="I17" s="41"/>
      <c r="J17" s="41" t="s">
        <v>1061</v>
      </c>
      <c r="K17" s="42" t="s">
        <v>1062</v>
      </c>
      <c r="L17" s="42" t="s">
        <v>1063</v>
      </c>
      <c r="N17" s="42">
        <v>0.0</v>
      </c>
      <c r="O17" s="42">
        <v>0.0</v>
      </c>
      <c r="P17" s="42">
        <v>1.0</v>
      </c>
      <c r="Q17" s="42" t="s">
        <v>995</v>
      </c>
      <c r="R17" s="42">
        <v>2.0</v>
      </c>
      <c r="S17" s="42">
        <v>0.0</v>
      </c>
      <c r="T17" s="42" t="s">
        <v>995</v>
      </c>
      <c r="U17" s="42">
        <v>0.0</v>
      </c>
      <c r="V17" s="42">
        <v>0.0</v>
      </c>
      <c r="W17" s="42">
        <v>0.0</v>
      </c>
      <c r="X17" s="42">
        <v>100.0</v>
      </c>
      <c r="Y17" s="42">
        <v>0.0</v>
      </c>
    </row>
    <row r="18" ht="22.5" customHeight="1">
      <c r="A18" s="41"/>
      <c r="B18" s="41">
        <v>12.0</v>
      </c>
      <c r="C18" s="41" t="s">
        <v>1064</v>
      </c>
      <c r="D18" s="41" t="s">
        <v>1065</v>
      </c>
      <c r="E18" s="41" t="s">
        <v>1065</v>
      </c>
      <c r="F18" s="41" t="s">
        <v>1066</v>
      </c>
      <c r="G18" s="41">
        <v>12.0</v>
      </c>
      <c r="H18" s="41" t="s">
        <v>1067</v>
      </c>
      <c r="I18" s="41"/>
      <c r="J18" s="41" t="s">
        <v>1067</v>
      </c>
      <c r="K18" s="42" t="s">
        <v>1068</v>
      </c>
      <c r="L18" s="42" t="s">
        <v>1069</v>
      </c>
      <c r="M18" s="42" t="s">
        <v>1043</v>
      </c>
      <c r="N18" s="42">
        <v>0.0</v>
      </c>
      <c r="O18" s="42">
        <v>1.0</v>
      </c>
      <c r="P18" s="42">
        <v>2.0</v>
      </c>
      <c r="Q18" s="42" t="s">
        <v>995</v>
      </c>
      <c r="R18" s="42">
        <v>2.0</v>
      </c>
      <c r="S18" s="42">
        <v>0.0</v>
      </c>
      <c r="T18" s="42" t="s">
        <v>1070</v>
      </c>
      <c r="U18" s="42">
        <v>1.0</v>
      </c>
      <c r="V18" s="42">
        <v>8.0</v>
      </c>
      <c r="W18" s="42">
        <v>0.0</v>
      </c>
      <c r="X18" s="42">
        <v>100.0</v>
      </c>
      <c r="Y18" s="42">
        <v>0.0</v>
      </c>
    </row>
    <row r="19" ht="22.5" customHeight="1">
      <c r="A19" s="41"/>
      <c r="B19" s="41">
        <v>13.0</v>
      </c>
      <c r="C19" s="41" t="s">
        <v>1045</v>
      </c>
      <c r="D19" s="41" t="s">
        <v>1071</v>
      </c>
      <c r="E19" s="41" t="s">
        <v>1071</v>
      </c>
      <c r="F19" s="41" t="s">
        <v>963</v>
      </c>
      <c r="G19" s="41">
        <v>13.0</v>
      </c>
      <c r="H19" s="41" t="s">
        <v>1072</v>
      </c>
      <c r="I19" s="41"/>
      <c r="J19" s="41" t="s">
        <v>1072</v>
      </c>
      <c r="K19" s="42" t="s">
        <v>1073</v>
      </c>
      <c r="L19" s="42" t="s">
        <v>1074</v>
      </c>
      <c r="M19" s="42" t="s">
        <v>970</v>
      </c>
      <c r="N19" s="42">
        <v>1.0</v>
      </c>
      <c r="O19" s="42">
        <v>1.0</v>
      </c>
      <c r="P19" s="42">
        <v>2.0</v>
      </c>
      <c r="Q19" s="42" t="s">
        <v>995</v>
      </c>
      <c r="R19" s="42">
        <v>2.0</v>
      </c>
      <c r="S19" s="42">
        <v>0.0</v>
      </c>
      <c r="T19" s="42" t="s">
        <v>1075</v>
      </c>
      <c r="U19" s="42">
        <v>1.0</v>
      </c>
      <c r="V19" s="42">
        <v>0.0</v>
      </c>
      <c r="W19" s="42">
        <v>0.0</v>
      </c>
      <c r="X19" s="42">
        <v>100.0</v>
      </c>
      <c r="Y19" s="42">
        <v>0.0</v>
      </c>
    </row>
    <row r="20" ht="22.5" customHeight="1">
      <c r="A20" s="41"/>
      <c r="B20" s="41">
        <v>14.0</v>
      </c>
      <c r="C20" s="41" t="s">
        <v>1076</v>
      </c>
      <c r="D20" s="41" t="s">
        <v>1077</v>
      </c>
      <c r="E20" s="41" t="s">
        <v>1077</v>
      </c>
      <c r="F20" s="41" t="s">
        <v>1078</v>
      </c>
      <c r="G20" s="41">
        <v>14.0</v>
      </c>
      <c r="H20" s="41" t="s">
        <v>1079</v>
      </c>
      <c r="I20" s="41"/>
      <c r="J20" s="41" t="s">
        <v>1079</v>
      </c>
      <c r="K20" s="42" t="s">
        <v>1080</v>
      </c>
      <c r="L20" s="42" t="s">
        <v>1081</v>
      </c>
      <c r="M20" s="42" t="s">
        <v>1082</v>
      </c>
      <c r="N20" s="42">
        <v>0.0</v>
      </c>
      <c r="O20" s="42">
        <v>0.0</v>
      </c>
      <c r="P20" s="42">
        <v>2.0</v>
      </c>
      <c r="Q20" s="42" t="s">
        <v>995</v>
      </c>
      <c r="R20" s="42">
        <v>2.0</v>
      </c>
      <c r="S20" s="42">
        <v>0.0</v>
      </c>
      <c r="T20" s="42" t="s">
        <v>995</v>
      </c>
      <c r="U20" s="42">
        <v>0.0</v>
      </c>
      <c r="V20" s="42">
        <v>0.0</v>
      </c>
      <c r="W20" s="42">
        <v>0.0</v>
      </c>
      <c r="X20" s="42">
        <v>100.0</v>
      </c>
      <c r="Y20" s="42">
        <v>0.0</v>
      </c>
    </row>
    <row r="21" ht="22.5" customHeight="1">
      <c r="A21" s="41"/>
      <c r="B21" s="41">
        <v>15.0</v>
      </c>
      <c r="C21" s="41" t="s">
        <v>1083</v>
      </c>
      <c r="D21" s="41" t="s">
        <v>1084</v>
      </c>
      <c r="E21" s="41" t="s">
        <v>1084</v>
      </c>
      <c r="F21" s="41" t="s">
        <v>1085</v>
      </c>
      <c r="G21" s="41">
        <v>15.0</v>
      </c>
      <c r="H21" s="41" t="s">
        <v>1086</v>
      </c>
      <c r="I21" s="41"/>
      <c r="J21" s="41" t="s">
        <v>1086</v>
      </c>
      <c r="K21" s="42" t="s">
        <v>1087</v>
      </c>
      <c r="L21" s="42" t="s">
        <v>1088</v>
      </c>
      <c r="N21" s="42">
        <v>0.0</v>
      </c>
      <c r="O21" s="42">
        <v>0.0</v>
      </c>
      <c r="P21" s="42">
        <v>2.0</v>
      </c>
      <c r="Q21" s="42" t="s">
        <v>995</v>
      </c>
      <c r="R21" s="42">
        <v>2.0</v>
      </c>
      <c r="S21" s="42">
        <v>0.0</v>
      </c>
      <c r="T21" s="42" t="s">
        <v>1089</v>
      </c>
      <c r="U21" s="42">
        <v>0.0</v>
      </c>
      <c r="V21" s="42">
        <v>0.0</v>
      </c>
      <c r="W21" s="42">
        <v>0.0</v>
      </c>
      <c r="X21" s="42">
        <v>100.0</v>
      </c>
      <c r="Y21" s="42">
        <v>0.0</v>
      </c>
    </row>
    <row r="22" ht="22.5" customHeight="1">
      <c r="A22" s="41"/>
      <c r="B22" s="41">
        <v>16.0</v>
      </c>
      <c r="C22" s="41" t="s">
        <v>1090</v>
      </c>
      <c r="D22" s="41" t="s">
        <v>1091</v>
      </c>
      <c r="E22" s="41" t="s">
        <v>1091</v>
      </c>
      <c r="F22" s="41" t="s">
        <v>1092</v>
      </c>
      <c r="G22" s="41">
        <v>16.0</v>
      </c>
      <c r="H22" s="41" t="s">
        <v>1093</v>
      </c>
      <c r="I22" s="41"/>
      <c r="J22" s="41" t="s">
        <v>1093</v>
      </c>
      <c r="K22" s="42" t="s">
        <v>1094</v>
      </c>
      <c r="L22" s="42" t="s">
        <v>1095</v>
      </c>
      <c r="M22" s="42" t="s">
        <v>1082</v>
      </c>
      <c r="N22" s="42">
        <v>0.0</v>
      </c>
      <c r="O22" s="42">
        <v>1.0</v>
      </c>
      <c r="P22" s="42">
        <v>2.0</v>
      </c>
      <c r="Q22" s="42" t="s">
        <v>995</v>
      </c>
      <c r="R22" s="42">
        <v>2.0</v>
      </c>
      <c r="S22" s="42">
        <v>0.0</v>
      </c>
      <c r="T22" s="42" t="s">
        <v>1096</v>
      </c>
      <c r="U22" s="42">
        <v>1.0</v>
      </c>
      <c r="V22" s="42">
        <v>5.0</v>
      </c>
      <c r="W22" s="42">
        <v>0.0</v>
      </c>
      <c r="X22" s="42">
        <v>100.0</v>
      </c>
      <c r="Y22" s="42">
        <v>0.0</v>
      </c>
    </row>
    <row r="23" ht="22.5" customHeight="1">
      <c r="A23" s="41"/>
      <c r="B23" s="41">
        <v>17.0</v>
      </c>
      <c r="C23" s="41" t="s">
        <v>1097</v>
      </c>
      <c r="D23" s="41" t="s">
        <v>1098</v>
      </c>
      <c r="E23" s="41" t="s">
        <v>1098</v>
      </c>
      <c r="F23" s="41" t="s">
        <v>1099</v>
      </c>
      <c r="G23" s="41">
        <v>17.0</v>
      </c>
      <c r="H23" s="41" t="s">
        <v>1100</v>
      </c>
      <c r="I23" s="41"/>
      <c r="J23" s="41" t="s">
        <v>1100</v>
      </c>
      <c r="K23" s="42" t="s">
        <v>1101</v>
      </c>
      <c r="L23" s="42" t="s">
        <v>1102</v>
      </c>
      <c r="M23" s="42" t="s">
        <v>1082</v>
      </c>
      <c r="N23" s="42">
        <v>0.0</v>
      </c>
      <c r="O23" s="42">
        <v>1.0</v>
      </c>
      <c r="P23" s="42">
        <v>2.0</v>
      </c>
      <c r="Q23" s="42" t="s">
        <v>995</v>
      </c>
      <c r="R23" s="42">
        <v>2.0</v>
      </c>
      <c r="S23" s="42">
        <v>0.0</v>
      </c>
      <c r="T23" s="42" t="s">
        <v>1103</v>
      </c>
      <c r="U23" s="42">
        <v>1.0</v>
      </c>
      <c r="V23" s="42">
        <v>8.0</v>
      </c>
      <c r="W23" s="42">
        <v>0.0</v>
      </c>
      <c r="X23" s="42">
        <v>100.0</v>
      </c>
      <c r="Y23" s="42">
        <v>0.0</v>
      </c>
    </row>
    <row r="24" ht="22.5" customHeight="1">
      <c r="A24" s="41"/>
      <c r="B24" s="41">
        <v>18.0</v>
      </c>
      <c r="C24" s="41" t="s">
        <v>1104</v>
      </c>
      <c r="D24" s="41" t="s">
        <v>1105</v>
      </c>
      <c r="E24" s="41" t="s">
        <v>1105</v>
      </c>
      <c r="F24" s="41" t="s">
        <v>1106</v>
      </c>
      <c r="G24" s="41">
        <v>18.0</v>
      </c>
      <c r="H24" s="41" t="s">
        <v>1107</v>
      </c>
      <c r="I24" s="41"/>
      <c r="J24" s="41" t="s">
        <v>1108</v>
      </c>
      <c r="K24" s="42" t="s">
        <v>1109</v>
      </c>
      <c r="L24" s="42" t="s">
        <v>1110</v>
      </c>
      <c r="M24" s="42" t="s">
        <v>1082</v>
      </c>
      <c r="N24" s="42">
        <v>0.0</v>
      </c>
      <c r="O24" s="42">
        <v>1.0</v>
      </c>
      <c r="P24" s="42">
        <v>2.0</v>
      </c>
      <c r="Q24" s="42" t="s">
        <v>995</v>
      </c>
      <c r="R24" s="42">
        <v>4.0</v>
      </c>
      <c r="S24" s="42">
        <v>0.0</v>
      </c>
      <c r="T24" s="42" t="s">
        <v>1111</v>
      </c>
      <c r="U24" s="42">
        <v>1.0</v>
      </c>
      <c r="V24" s="42">
        <v>4.0</v>
      </c>
      <c r="W24" s="42">
        <v>0.0</v>
      </c>
      <c r="X24" s="42">
        <v>100.0</v>
      </c>
      <c r="Y24" s="42">
        <v>0.0</v>
      </c>
    </row>
    <row r="25" ht="22.5" customHeight="1">
      <c r="A25" s="41"/>
      <c r="B25" s="41">
        <v>19.0</v>
      </c>
      <c r="C25" s="41" t="s">
        <v>1112</v>
      </c>
      <c r="D25" s="41" t="s">
        <v>1113</v>
      </c>
      <c r="E25" s="41" t="s">
        <v>1113</v>
      </c>
      <c r="F25" s="41" t="s">
        <v>1114</v>
      </c>
      <c r="G25" s="41">
        <v>19.0</v>
      </c>
      <c r="H25" s="41" t="s">
        <v>1115</v>
      </c>
      <c r="I25" s="41"/>
      <c r="J25" s="41" t="s">
        <v>1115</v>
      </c>
      <c r="K25" s="42" t="s">
        <v>1116</v>
      </c>
      <c r="L25" s="42" t="s">
        <v>1117</v>
      </c>
      <c r="N25" s="42">
        <v>0.0</v>
      </c>
      <c r="O25" s="42">
        <v>0.0</v>
      </c>
      <c r="P25" s="42">
        <v>1.0</v>
      </c>
      <c r="Q25" s="42" t="s">
        <v>995</v>
      </c>
      <c r="R25" s="42">
        <v>2.0</v>
      </c>
      <c r="S25" s="42">
        <v>0.0</v>
      </c>
      <c r="T25" s="42" t="s">
        <v>995</v>
      </c>
      <c r="U25" s="42">
        <v>0.0</v>
      </c>
      <c r="V25" s="42">
        <v>0.0</v>
      </c>
      <c r="W25" s="42">
        <v>0.0</v>
      </c>
      <c r="X25" s="42">
        <v>100.0</v>
      </c>
      <c r="Y25" s="42">
        <v>0.0</v>
      </c>
    </row>
    <row r="26" ht="22.5" customHeight="1">
      <c r="A26" s="41"/>
      <c r="B26" s="41">
        <v>20.0</v>
      </c>
      <c r="C26" s="41" t="s">
        <v>1118</v>
      </c>
      <c r="D26" s="41" t="s">
        <v>1119</v>
      </c>
      <c r="E26" s="41" t="s">
        <v>1119</v>
      </c>
      <c r="F26" s="41" t="s">
        <v>1120</v>
      </c>
      <c r="G26" s="41">
        <v>20.0</v>
      </c>
      <c r="H26" s="41" t="s">
        <v>1121</v>
      </c>
      <c r="I26" s="41"/>
      <c r="J26" s="41" t="s">
        <v>1121</v>
      </c>
      <c r="K26" s="42" t="s">
        <v>1122</v>
      </c>
      <c r="L26" s="42" t="s">
        <v>1123</v>
      </c>
      <c r="N26" s="42">
        <v>0.0</v>
      </c>
      <c r="O26" s="42">
        <v>0.0</v>
      </c>
      <c r="P26" s="42">
        <v>1.0</v>
      </c>
      <c r="Q26" s="42" t="s">
        <v>995</v>
      </c>
      <c r="R26" s="42">
        <v>2.0</v>
      </c>
      <c r="S26" s="42">
        <v>0.0</v>
      </c>
      <c r="T26" s="42" t="s">
        <v>995</v>
      </c>
      <c r="U26" s="42">
        <v>0.0</v>
      </c>
      <c r="V26" s="42">
        <v>0.0</v>
      </c>
      <c r="W26" s="42">
        <v>0.0</v>
      </c>
      <c r="X26" s="42">
        <v>100.0</v>
      </c>
      <c r="Y26" s="42">
        <v>0.0</v>
      </c>
    </row>
    <row r="27" ht="22.5" customHeight="1">
      <c r="A27" s="41"/>
      <c r="B27" s="41">
        <v>21.0</v>
      </c>
      <c r="C27" s="41" t="s">
        <v>1124</v>
      </c>
      <c r="D27" s="41" t="s">
        <v>1125</v>
      </c>
      <c r="E27" s="41" t="s">
        <v>1125</v>
      </c>
      <c r="F27" s="41" t="s">
        <v>1126</v>
      </c>
      <c r="G27" s="41">
        <v>21.0</v>
      </c>
      <c r="H27" s="41" t="s">
        <v>1127</v>
      </c>
      <c r="I27" s="41"/>
      <c r="J27" s="41" t="s">
        <v>1127</v>
      </c>
      <c r="K27" s="42" t="s">
        <v>1128</v>
      </c>
      <c r="L27" s="42" t="s">
        <v>1129</v>
      </c>
      <c r="M27" s="42" t="s">
        <v>1130</v>
      </c>
      <c r="N27" s="42">
        <v>0.0</v>
      </c>
      <c r="O27" s="42">
        <v>1.0</v>
      </c>
      <c r="P27" s="42">
        <v>2.0</v>
      </c>
      <c r="Q27" s="42" t="s">
        <v>995</v>
      </c>
      <c r="R27" s="42">
        <v>2.0</v>
      </c>
      <c r="S27" s="42">
        <v>0.0</v>
      </c>
      <c r="T27" s="42" t="s">
        <v>1131</v>
      </c>
      <c r="U27" s="42">
        <v>1.0</v>
      </c>
      <c r="V27" s="42">
        <v>6.0</v>
      </c>
      <c r="W27" s="42">
        <v>0.0</v>
      </c>
      <c r="X27" s="42">
        <v>100.0</v>
      </c>
      <c r="Y27" s="42">
        <v>0.0</v>
      </c>
    </row>
    <row r="28" ht="22.5" customHeight="1">
      <c r="A28" s="41"/>
      <c r="B28" s="41">
        <v>22.0</v>
      </c>
      <c r="C28" s="187"/>
      <c r="D28" s="41" t="s">
        <v>1132</v>
      </c>
      <c r="E28" s="41" t="s">
        <v>1132</v>
      </c>
      <c r="F28" s="41" t="s">
        <v>1133</v>
      </c>
      <c r="G28" s="41">
        <v>22.0</v>
      </c>
      <c r="H28" s="41" t="s">
        <v>1134</v>
      </c>
      <c r="I28" s="41"/>
      <c r="J28" s="41" t="s">
        <v>1134</v>
      </c>
      <c r="K28" s="42" t="s">
        <v>1135</v>
      </c>
      <c r="L28" s="42" t="s">
        <v>1136</v>
      </c>
      <c r="N28" s="42">
        <v>0.0</v>
      </c>
      <c r="O28" s="42">
        <v>0.0</v>
      </c>
      <c r="P28" s="42">
        <v>1.0</v>
      </c>
      <c r="Q28" s="42" t="s">
        <v>995</v>
      </c>
      <c r="R28" s="42">
        <v>2.0</v>
      </c>
      <c r="S28" s="42">
        <v>0.0</v>
      </c>
      <c r="T28" s="42" t="s">
        <v>995</v>
      </c>
      <c r="U28" s="42">
        <v>0.0</v>
      </c>
      <c r="V28" s="42">
        <v>0.0</v>
      </c>
      <c r="W28" s="42">
        <v>0.0</v>
      </c>
      <c r="X28" s="42">
        <v>100.0</v>
      </c>
      <c r="Y28" s="42">
        <v>0.0</v>
      </c>
    </row>
    <row r="29" ht="22.5" customHeight="1">
      <c r="A29" s="41"/>
      <c r="B29" s="41">
        <v>23.0</v>
      </c>
      <c r="C29" s="41" t="s">
        <v>1137</v>
      </c>
      <c r="D29" s="41" t="s">
        <v>1138</v>
      </c>
      <c r="E29" s="41" t="s">
        <v>1138</v>
      </c>
      <c r="F29" s="41" t="s">
        <v>1139</v>
      </c>
      <c r="G29" s="41">
        <v>23.0</v>
      </c>
      <c r="H29" s="41" t="s">
        <v>1140</v>
      </c>
      <c r="I29" s="41"/>
      <c r="J29" s="41" t="s">
        <v>1140</v>
      </c>
      <c r="K29" s="42" t="s">
        <v>1141</v>
      </c>
      <c r="L29" s="42" t="s">
        <v>1142</v>
      </c>
      <c r="N29" s="42">
        <v>1.0</v>
      </c>
      <c r="O29" s="42">
        <v>0.0</v>
      </c>
      <c r="P29" s="42">
        <v>1.0</v>
      </c>
      <c r="Q29" s="42" t="s">
        <v>995</v>
      </c>
      <c r="R29" s="42">
        <v>2.0</v>
      </c>
      <c r="S29" s="42">
        <v>0.0</v>
      </c>
      <c r="T29" s="42" t="s">
        <v>995</v>
      </c>
      <c r="U29" s="42">
        <v>0.0</v>
      </c>
      <c r="V29" s="42">
        <v>0.0</v>
      </c>
      <c r="W29" s="42">
        <v>0.0</v>
      </c>
      <c r="X29" s="42">
        <v>100.0</v>
      </c>
      <c r="Y29" s="42">
        <v>0.0</v>
      </c>
    </row>
    <row r="30" ht="22.5" customHeight="1">
      <c r="A30" s="41"/>
      <c r="B30" s="41">
        <v>24.0</v>
      </c>
      <c r="C30" s="41" t="s">
        <v>1143</v>
      </c>
      <c r="D30" s="41" t="s">
        <v>1144</v>
      </c>
      <c r="E30" s="41" t="s">
        <v>1144</v>
      </c>
      <c r="F30" s="41" t="s">
        <v>1145</v>
      </c>
      <c r="G30" s="41">
        <v>24.0</v>
      </c>
      <c r="H30" s="41" t="s">
        <v>1146</v>
      </c>
      <c r="I30" s="41"/>
      <c r="J30" s="41" t="s">
        <v>1146</v>
      </c>
      <c r="K30" s="42" t="s">
        <v>1147</v>
      </c>
      <c r="L30" s="42" t="s">
        <v>1148</v>
      </c>
      <c r="M30" s="42" t="s">
        <v>1130</v>
      </c>
      <c r="N30" s="42">
        <v>0.0</v>
      </c>
      <c r="O30" s="42">
        <v>1.0</v>
      </c>
      <c r="P30" s="42">
        <v>2.0</v>
      </c>
      <c r="Q30" s="42" t="s">
        <v>995</v>
      </c>
      <c r="R30" s="42">
        <v>8.0</v>
      </c>
      <c r="S30" s="42">
        <v>0.0</v>
      </c>
      <c r="T30" s="42" t="s">
        <v>1149</v>
      </c>
      <c r="U30" s="42">
        <v>1.0</v>
      </c>
      <c r="V30" s="42">
        <v>8.0</v>
      </c>
      <c r="W30" s="42">
        <v>0.0</v>
      </c>
      <c r="X30" s="42">
        <v>100.0</v>
      </c>
      <c r="Y30" s="42">
        <v>0.0</v>
      </c>
    </row>
    <row r="31" ht="22.5" customHeight="1">
      <c r="A31" s="41"/>
      <c r="B31" s="41">
        <v>25.0</v>
      </c>
      <c r="C31" s="41" t="s">
        <v>1150</v>
      </c>
      <c r="D31" s="41" t="s">
        <v>1151</v>
      </c>
      <c r="E31" s="41" t="s">
        <v>1151</v>
      </c>
      <c r="F31" s="41" t="s">
        <v>1152</v>
      </c>
      <c r="G31" s="41">
        <v>25.0</v>
      </c>
      <c r="H31" s="41" t="s">
        <v>1153</v>
      </c>
      <c r="I31" s="41"/>
      <c r="J31" s="41" t="s">
        <v>1153</v>
      </c>
      <c r="K31" s="42" t="s">
        <v>1154</v>
      </c>
      <c r="L31" s="42" t="s">
        <v>1155</v>
      </c>
      <c r="N31" s="42">
        <v>0.0</v>
      </c>
      <c r="O31" s="42">
        <v>0.0</v>
      </c>
      <c r="P31" s="42">
        <v>1.0</v>
      </c>
      <c r="Q31" s="42" t="s">
        <v>995</v>
      </c>
      <c r="R31" s="42">
        <v>2.0</v>
      </c>
      <c r="S31" s="42">
        <v>0.0</v>
      </c>
      <c r="T31" s="42" t="s">
        <v>995</v>
      </c>
      <c r="U31" s="42">
        <v>0.0</v>
      </c>
      <c r="V31" s="42">
        <v>0.0</v>
      </c>
      <c r="W31" s="42">
        <v>0.0</v>
      </c>
      <c r="X31" s="42">
        <v>100.0</v>
      </c>
      <c r="Y31" s="42">
        <v>0.0</v>
      </c>
    </row>
    <row r="32" ht="22.5" customHeight="1">
      <c r="A32" s="41"/>
      <c r="B32" s="41">
        <v>26.0</v>
      </c>
      <c r="C32" s="41" t="s">
        <v>1156</v>
      </c>
      <c r="D32" s="41" t="s">
        <v>1157</v>
      </c>
      <c r="E32" s="41" t="s">
        <v>1157</v>
      </c>
      <c r="F32" s="41" t="s">
        <v>1158</v>
      </c>
      <c r="G32" s="41">
        <v>26.0</v>
      </c>
      <c r="H32" s="41" t="s">
        <v>1159</v>
      </c>
      <c r="I32" s="41"/>
      <c r="J32" s="41" t="s">
        <v>1160</v>
      </c>
      <c r="K32" s="42" t="s">
        <v>1161</v>
      </c>
      <c r="L32" s="42" t="s">
        <v>1162</v>
      </c>
      <c r="N32" s="42">
        <v>0.0</v>
      </c>
      <c r="O32" s="42">
        <v>0.0</v>
      </c>
      <c r="P32" s="42">
        <v>2.0</v>
      </c>
      <c r="Q32" s="42" t="s">
        <v>995</v>
      </c>
      <c r="R32" s="42">
        <v>2.0</v>
      </c>
      <c r="S32" s="42">
        <v>0.0</v>
      </c>
      <c r="T32" s="42" t="s">
        <v>1163</v>
      </c>
      <c r="U32" s="42">
        <v>0.0</v>
      </c>
      <c r="V32" s="42">
        <v>0.0</v>
      </c>
      <c r="W32" s="42">
        <v>0.0</v>
      </c>
      <c r="X32" s="42">
        <v>100.0</v>
      </c>
      <c r="Y32" s="42">
        <v>0.0</v>
      </c>
    </row>
    <row r="33" ht="22.5" customHeight="1">
      <c r="A33" s="41"/>
      <c r="B33" s="41">
        <v>27.0</v>
      </c>
      <c r="C33" s="41" t="s">
        <v>1164</v>
      </c>
      <c r="D33" s="41" t="s">
        <v>1165</v>
      </c>
      <c r="E33" s="41" t="s">
        <v>1165</v>
      </c>
      <c r="F33" s="41" t="s">
        <v>1166</v>
      </c>
      <c r="G33" s="41">
        <v>27.0</v>
      </c>
      <c r="H33" s="41" t="s">
        <v>1167</v>
      </c>
      <c r="I33" s="41"/>
      <c r="J33" s="41" t="s">
        <v>1167</v>
      </c>
      <c r="K33" s="42" t="s">
        <v>1168</v>
      </c>
      <c r="L33" s="42" t="s">
        <v>1169</v>
      </c>
      <c r="N33" s="42">
        <v>0.0</v>
      </c>
      <c r="O33" s="42">
        <v>0.0</v>
      </c>
      <c r="P33" s="42">
        <v>1.0</v>
      </c>
      <c r="Q33" s="42" t="s">
        <v>995</v>
      </c>
      <c r="R33" s="42">
        <v>2.0</v>
      </c>
      <c r="S33" s="42">
        <v>0.0</v>
      </c>
      <c r="T33" s="42" t="s">
        <v>995</v>
      </c>
      <c r="U33" s="42">
        <v>0.0</v>
      </c>
      <c r="V33" s="42">
        <v>0.0</v>
      </c>
      <c r="W33" s="42">
        <v>0.0</v>
      </c>
      <c r="X33" s="42">
        <v>100.0</v>
      </c>
      <c r="Y33" s="42">
        <v>0.0</v>
      </c>
    </row>
    <row r="34" ht="22.5" customHeight="1">
      <c r="A34" s="41"/>
      <c r="B34" s="41">
        <v>28.0</v>
      </c>
      <c r="C34" s="41" t="s">
        <v>1170</v>
      </c>
      <c r="D34" s="41" t="s">
        <v>1171</v>
      </c>
      <c r="E34" s="41" t="s">
        <v>1171</v>
      </c>
      <c r="F34" s="41" t="s">
        <v>1172</v>
      </c>
      <c r="G34" s="41">
        <v>28.0</v>
      </c>
      <c r="H34" s="41" t="s">
        <v>1173</v>
      </c>
      <c r="I34" s="41"/>
      <c r="J34" s="41" t="s">
        <v>1173</v>
      </c>
      <c r="K34" s="42" t="s">
        <v>1174</v>
      </c>
      <c r="L34" s="42" t="s">
        <v>1175</v>
      </c>
      <c r="N34" s="42">
        <v>0.0</v>
      </c>
      <c r="O34" s="42">
        <v>0.0</v>
      </c>
      <c r="P34" s="42">
        <v>1.0</v>
      </c>
      <c r="Q34" s="42" t="s">
        <v>995</v>
      </c>
      <c r="R34" s="42">
        <v>2.0</v>
      </c>
      <c r="S34" s="42">
        <v>0.0</v>
      </c>
      <c r="T34" s="42" t="s">
        <v>995</v>
      </c>
      <c r="U34" s="42">
        <v>0.0</v>
      </c>
      <c r="V34" s="42">
        <v>0.0</v>
      </c>
      <c r="W34" s="42">
        <v>0.0</v>
      </c>
      <c r="X34" s="42">
        <v>100.0</v>
      </c>
      <c r="Y34" s="42">
        <v>0.0</v>
      </c>
    </row>
    <row r="35" ht="22.5" customHeight="1">
      <c r="A35" s="41"/>
      <c r="B35" s="41">
        <v>29.0</v>
      </c>
      <c r="C35" s="41" t="s">
        <v>1176</v>
      </c>
      <c r="D35" s="41" t="s">
        <v>1177</v>
      </c>
      <c r="E35" s="41" t="s">
        <v>1177</v>
      </c>
      <c r="F35" s="41" t="s">
        <v>1178</v>
      </c>
      <c r="G35" s="41">
        <v>29.0</v>
      </c>
      <c r="H35" s="41" t="s">
        <v>1179</v>
      </c>
      <c r="I35" s="41"/>
      <c r="J35" s="41" t="s">
        <v>1179</v>
      </c>
      <c r="K35" s="42" t="s">
        <v>1180</v>
      </c>
      <c r="L35" s="42" t="s">
        <v>1181</v>
      </c>
      <c r="M35" s="42" t="s">
        <v>1043</v>
      </c>
      <c r="N35" s="42">
        <v>0.0</v>
      </c>
      <c r="O35" s="42">
        <v>1.0</v>
      </c>
      <c r="P35" s="42">
        <v>2.0</v>
      </c>
      <c r="Q35" s="42" t="s">
        <v>995</v>
      </c>
      <c r="R35" s="42">
        <v>2.0</v>
      </c>
      <c r="S35" s="42">
        <v>0.0</v>
      </c>
      <c r="T35" s="42" t="s">
        <v>1182</v>
      </c>
      <c r="U35" s="42">
        <v>1.0</v>
      </c>
      <c r="V35" s="42">
        <v>4.0</v>
      </c>
      <c r="W35" s="42">
        <v>0.0</v>
      </c>
      <c r="X35" s="42">
        <v>100.0</v>
      </c>
      <c r="Y35" s="42">
        <v>0.0</v>
      </c>
    </row>
    <row r="36" ht="22.5" customHeight="1">
      <c r="A36" s="41"/>
      <c r="B36" s="41">
        <v>30.0</v>
      </c>
      <c r="C36" s="41" t="s">
        <v>1045</v>
      </c>
      <c r="D36" s="41" t="s">
        <v>1183</v>
      </c>
      <c r="E36" s="41" t="s">
        <v>1183</v>
      </c>
      <c r="F36" s="41" t="s">
        <v>963</v>
      </c>
      <c r="G36" s="41">
        <v>30.0</v>
      </c>
      <c r="H36" s="41" t="s">
        <v>1184</v>
      </c>
      <c r="I36" s="41"/>
      <c r="J36" s="41" t="s">
        <v>1184</v>
      </c>
      <c r="K36" s="42" t="s">
        <v>1185</v>
      </c>
      <c r="L36" s="42" t="s">
        <v>1186</v>
      </c>
      <c r="N36" s="42">
        <v>1.0</v>
      </c>
      <c r="O36" s="42">
        <v>0.0</v>
      </c>
      <c r="P36" s="42">
        <v>1.0</v>
      </c>
      <c r="Q36" s="42" t="s">
        <v>995</v>
      </c>
      <c r="R36" s="42">
        <v>2.0</v>
      </c>
      <c r="S36" s="42">
        <v>0.0</v>
      </c>
      <c r="T36" s="42" t="s">
        <v>995</v>
      </c>
      <c r="U36" s="42">
        <v>0.0</v>
      </c>
      <c r="V36" s="42">
        <v>0.0</v>
      </c>
      <c r="W36" s="42">
        <v>0.0</v>
      </c>
      <c r="X36" s="42">
        <v>100.0</v>
      </c>
      <c r="Y36" s="42">
        <v>0.0</v>
      </c>
    </row>
    <row r="37" ht="22.5" customHeight="1">
      <c r="A37" s="41"/>
      <c r="B37" s="41">
        <v>31.0</v>
      </c>
      <c r="C37" s="41" t="s">
        <v>1187</v>
      </c>
      <c r="D37" s="41" t="s">
        <v>1188</v>
      </c>
      <c r="E37" s="41" t="s">
        <v>1188</v>
      </c>
      <c r="F37" s="41" t="s">
        <v>1189</v>
      </c>
      <c r="G37" s="41">
        <v>31.0</v>
      </c>
      <c r="H37" s="41" t="s">
        <v>1190</v>
      </c>
      <c r="I37" s="41"/>
      <c r="J37" s="41" t="s">
        <v>1190</v>
      </c>
      <c r="K37" s="42" t="s">
        <v>1191</v>
      </c>
      <c r="L37" s="42" t="s">
        <v>1192</v>
      </c>
      <c r="N37" s="42">
        <v>0.0</v>
      </c>
      <c r="O37" s="42">
        <v>0.0</v>
      </c>
      <c r="P37" s="42">
        <v>1.0</v>
      </c>
      <c r="Q37" s="42" t="s">
        <v>995</v>
      </c>
      <c r="R37" s="42">
        <v>2.0</v>
      </c>
      <c r="S37" s="42">
        <v>0.0</v>
      </c>
      <c r="T37" s="42" t="s">
        <v>995</v>
      </c>
      <c r="U37" s="42">
        <v>0.0</v>
      </c>
      <c r="V37" s="42">
        <v>0.0</v>
      </c>
      <c r="W37" s="42">
        <v>0.0</v>
      </c>
      <c r="X37" s="42">
        <v>100.0</v>
      </c>
      <c r="Y37" s="42">
        <v>0.0</v>
      </c>
    </row>
    <row r="38" ht="22.5" customHeight="1">
      <c r="A38" s="41"/>
      <c r="B38" s="41">
        <v>32.0</v>
      </c>
      <c r="C38" s="41" t="s">
        <v>1193</v>
      </c>
      <c r="D38" s="41" t="s">
        <v>1194</v>
      </c>
      <c r="E38" s="41" t="s">
        <v>1194</v>
      </c>
      <c r="F38" s="41" t="s">
        <v>1195</v>
      </c>
      <c r="G38" s="41">
        <v>32.0</v>
      </c>
      <c r="H38" s="41" t="s">
        <v>1196</v>
      </c>
      <c r="I38" s="41"/>
      <c r="J38" s="41" t="s">
        <v>1196</v>
      </c>
      <c r="K38" s="42" t="s">
        <v>1197</v>
      </c>
      <c r="L38" s="42" t="s">
        <v>1198</v>
      </c>
      <c r="N38" s="42">
        <v>0.0</v>
      </c>
      <c r="O38" s="42">
        <v>0.0</v>
      </c>
      <c r="P38" s="42">
        <v>2.0</v>
      </c>
      <c r="Q38" s="42" t="s">
        <v>995</v>
      </c>
      <c r="R38" s="42">
        <v>2.0</v>
      </c>
      <c r="S38" s="42">
        <v>0.0</v>
      </c>
      <c r="T38" s="42" t="s">
        <v>995</v>
      </c>
      <c r="U38" s="42">
        <v>0.0</v>
      </c>
      <c r="V38" s="42">
        <v>0.0</v>
      </c>
      <c r="W38" s="42">
        <v>0.0</v>
      </c>
      <c r="X38" s="42">
        <v>100.0</v>
      </c>
      <c r="Y38" s="42">
        <v>0.0</v>
      </c>
    </row>
    <row r="39" ht="22.5" customHeight="1">
      <c r="A39" s="41"/>
      <c r="B39" s="41">
        <v>33.0</v>
      </c>
      <c r="C39" s="41" t="s">
        <v>1199</v>
      </c>
      <c r="D39" s="41" t="s">
        <v>1200</v>
      </c>
      <c r="E39" s="41" t="s">
        <v>1200</v>
      </c>
      <c r="F39" s="41" t="s">
        <v>1201</v>
      </c>
      <c r="G39" s="41">
        <v>33.0</v>
      </c>
      <c r="H39" s="41" t="s">
        <v>1202</v>
      </c>
      <c r="I39" s="41"/>
      <c r="J39" s="41" t="s">
        <v>1202</v>
      </c>
      <c r="K39" s="42" t="s">
        <v>1203</v>
      </c>
      <c r="L39" s="42" t="s">
        <v>1204</v>
      </c>
      <c r="M39" s="42" t="s">
        <v>1043</v>
      </c>
      <c r="N39" s="42">
        <v>0.0</v>
      </c>
      <c r="O39" s="42">
        <v>1.0</v>
      </c>
      <c r="P39" s="42">
        <v>2.0</v>
      </c>
      <c r="Q39" s="42" t="s">
        <v>995</v>
      </c>
      <c r="R39" s="42">
        <v>2.0</v>
      </c>
      <c r="S39" s="42">
        <v>0.0</v>
      </c>
      <c r="T39" s="42" t="s">
        <v>1205</v>
      </c>
      <c r="U39" s="42">
        <v>1.0</v>
      </c>
      <c r="V39" s="42">
        <v>5.0</v>
      </c>
      <c r="W39" s="42">
        <v>0.0</v>
      </c>
      <c r="X39" s="42">
        <v>100.0</v>
      </c>
      <c r="Y39" s="42">
        <v>0.0</v>
      </c>
    </row>
    <row r="40" ht="22.5" customHeight="1">
      <c r="A40" s="41"/>
      <c r="B40" s="41">
        <v>34.0</v>
      </c>
      <c r="C40" s="41" t="s">
        <v>1051</v>
      </c>
      <c r="D40" s="41" t="s">
        <v>1206</v>
      </c>
      <c r="E40" s="41" t="s">
        <v>1206</v>
      </c>
      <c r="F40" s="41" t="s">
        <v>1207</v>
      </c>
      <c r="G40" s="41">
        <v>34.0</v>
      </c>
      <c r="H40" s="41" t="s">
        <v>1208</v>
      </c>
      <c r="I40" s="41"/>
      <c r="J40" s="41" t="s">
        <v>1208</v>
      </c>
      <c r="K40" s="42" t="s">
        <v>1209</v>
      </c>
      <c r="L40" s="42" t="s">
        <v>1210</v>
      </c>
      <c r="M40" s="42" t="s">
        <v>1028</v>
      </c>
      <c r="N40" s="42">
        <v>0.0</v>
      </c>
      <c r="O40" s="42">
        <v>1.0</v>
      </c>
      <c r="P40" s="42">
        <v>2.0</v>
      </c>
      <c r="Q40" s="42">
        <v>1.0</v>
      </c>
      <c r="R40" s="42">
        <v>10.0</v>
      </c>
      <c r="S40" s="42">
        <v>0.0</v>
      </c>
      <c r="T40" s="42" t="s">
        <v>1211</v>
      </c>
      <c r="U40" s="42">
        <v>1.0</v>
      </c>
      <c r="V40" s="42">
        <v>4.0</v>
      </c>
      <c r="W40" s="42">
        <v>0.0</v>
      </c>
      <c r="X40" s="42">
        <v>100.0</v>
      </c>
      <c r="Y40" s="42">
        <v>0.0</v>
      </c>
    </row>
    <row r="41" ht="22.5" customHeight="1">
      <c r="A41" s="41"/>
      <c r="B41" s="41">
        <v>35.0</v>
      </c>
      <c r="C41" s="41" t="s">
        <v>1045</v>
      </c>
      <c r="D41" s="41" t="s">
        <v>1212</v>
      </c>
      <c r="E41" s="41" t="s">
        <v>1212</v>
      </c>
      <c r="F41" s="41" t="s">
        <v>963</v>
      </c>
      <c r="G41" s="41">
        <v>35.0</v>
      </c>
      <c r="H41" s="41" t="s">
        <v>1213</v>
      </c>
      <c r="I41" s="41"/>
      <c r="J41" s="41" t="s">
        <v>1213</v>
      </c>
      <c r="K41" s="42" t="s">
        <v>1214</v>
      </c>
      <c r="L41" s="42" t="s">
        <v>1215</v>
      </c>
      <c r="N41" s="42">
        <v>1.0</v>
      </c>
      <c r="O41" s="42">
        <v>0.0</v>
      </c>
      <c r="P41" s="42">
        <v>2.0</v>
      </c>
      <c r="Q41" s="42" t="s">
        <v>995</v>
      </c>
      <c r="R41" s="42">
        <v>2.0</v>
      </c>
      <c r="S41" s="42">
        <v>0.0</v>
      </c>
      <c r="T41" s="42" t="s">
        <v>995</v>
      </c>
      <c r="U41" s="42">
        <v>0.0</v>
      </c>
      <c r="V41" s="42">
        <v>0.0</v>
      </c>
      <c r="W41" s="42">
        <v>0.0</v>
      </c>
      <c r="X41" s="42">
        <v>100.0</v>
      </c>
      <c r="Y41" s="42">
        <v>0.0</v>
      </c>
    </row>
    <row r="42" ht="22.5" customHeight="1">
      <c r="A42" s="41"/>
      <c r="B42" s="41">
        <v>36.0</v>
      </c>
      <c r="C42" s="41" t="s">
        <v>1216</v>
      </c>
      <c r="D42" s="41" t="s">
        <v>1217</v>
      </c>
      <c r="E42" s="41" t="s">
        <v>1217</v>
      </c>
      <c r="F42" s="41" t="s">
        <v>1218</v>
      </c>
      <c r="G42" s="41">
        <v>36.0</v>
      </c>
      <c r="H42" s="41" t="s">
        <v>1219</v>
      </c>
      <c r="I42" s="41"/>
      <c r="J42" s="41" t="s">
        <v>1219</v>
      </c>
      <c r="K42" s="42" t="s">
        <v>1220</v>
      </c>
      <c r="L42" s="42" t="s">
        <v>1221</v>
      </c>
      <c r="M42" s="42" t="s">
        <v>1028</v>
      </c>
      <c r="N42" s="42">
        <v>0.0</v>
      </c>
      <c r="O42" s="42">
        <v>1.0</v>
      </c>
      <c r="P42" s="42">
        <v>2.0</v>
      </c>
      <c r="Q42" s="42" t="s">
        <v>995</v>
      </c>
      <c r="R42" s="42">
        <v>8.0</v>
      </c>
      <c r="S42" s="42">
        <v>0.0</v>
      </c>
      <c r="T42" s="42" t="s">
        <v>1222</v>
      </c>
      <c r="U42" s="42">
        <v>1.0</v>
      </c>
      <c r="V42" s="42">
        <v>8.0</v>
      </c>
      <c r="W42" s="42">
        <v>0.0</v>
      </c>
      <c r="X42" s="42">
        <v>100.0</v>
      </c>
      <c r="Y42" s="42">
        <v>0.0</v>
      </c>
    </row>
    <row r="43" ht="22.5" customHeight="1">
      <c r="A43" s="41"/>
      <c r="B43" s="41">
        <v>37.0</v>
      </c>
      <c r="C43" s="41" t="s">
        <v>1223</v>
      </c>
      <c r="D43" s="41" t="s">
        <v>1224</v>
      </c>
      <c r="E43" s="41" t="s">
        <v>1224</v>
      </c>
      <c r="F43" s="41" t="s">
        <v>1225</v>
      </c>
      <c r="G43" s="41">
        <v>37.0</v>
      </c>
      <c r="H43" s="41" t="s">
        <v>1226</v>
      </c>
      <c r="I43" s="41"/>
      <c r="J43" s="41" t="s">
        <v>1226</v>
      </c>
      <c r="K43" s="42" t="s">
        <v>1227</v>
      </c>
      <c r="L43" s="42" t="s">
        <v>1228</v>
      </c>
      <c r="N43" s="42">
        <v>0.0</v>
      </c>
      <c r="O43" s="42">
        <v>0.0</v>
      </c>
      <c r="P43" s="42">
        <v>1.0</v>
      </c>
      <c r="Q43" s="42" t="s">
        <v>995</v>
      </c>
      <c r="R43" s="42">
        <v>1.0</v>
      </c>
      <c r="S43" s="42">
        <v>0.0</v>
      </c>
      <c r="T43" s="42" t="s">
        <v>995</v>
      </c>
      <c r="U43" s="42">
        <v>0.0</v>
      </c>
      <c r="V43" s="42">
        <v>0.0</v>
      </c>
      <c r="W43" s="42">
        <v>0.0</v>
      </c>
      <c r="X43" s="42">
        <v>100.0</v>
      </c>
      <c r="Y43" s="42">
        <v>0.0</v>
      </c>
    </row>
    <row r="44" ht="22.5" customHeight="1">
      <c r="A44" s="41"/>
      <c r="B44" s="41">
        <v>38.0</v>
      </c>
      <c r="C44" s="41" t="s">
        <v>1229</v>
      </c>
      <c r="D44" s="41" t="s">
        <v>1230</v>
      </c>
      <c r="E44" s="41" t="s">
        <v>1230</v>
      </c>
      <c r="F44" s="41" t="s">
        <v>1231</v>
      </c>
      <c r="G44" s="41">
        <v>38.0</v>
      </c>
      <c r="H44" s="41" t="s">
        <v>1232</v>
      </c>
      <c r="I44" s="41"/>
      <c r="J44" s="41" t="s">
        <v>1232</v>
      </c>
      <c r="K44" s="42" t="s">
        <v>1233</v>
      </c>
      <c r="L44" s="42" t="s">
        <v>1234</v>
      </c>
      <c r="N44" s="42">
        <v>0.0</v>
      </c>
      <c r="O44" s="42">
        <v>0.0</v>
      </c>
      <c r="P44" s="42">
        <v>1.0</v>
      </c>
      <c r="Q44" s="42" t="s">
        <v>995</v>
      </c>
      <c r="R44" s="42">
        <v>1.0</v>
      </c>
      <c r="S44" s="42">
        <v>0.0</v>
      </c>
      <c r="T44" s="42" t="s">
        <v>995</v>
      </c>
      <c r="U44" s="42">
        <v>0.0</v>
      </c>
      <c r="V44" s="42">
        <v>0.0</v>
      </c>
      <c r="W44" s="42">
        <v>0.0</v>
      </c>
      <c r="X44" s="42">
        <v>100.0</v>
      </c>
      <c r="Y44" s="42">
        <v>0.0</v>
      </c>
    </row>
    <row r="45" ht="22.5" customHeight="1">
      <c r="A45" s="41"/>
      <c r="B45" s="41">
        <v>39.0</v>
      </c>
      <c r="C45" s="41" t="s">
        <v>1235</v>
      </c>
      <c r="D45" s="41" t="s">
        <v>1236</v>
      </c>
      <c r="E45" s="41" t="s">
        <v>1236</v>
      </c>
      <c r="F45" s="187"/>
      <c r="G45" s="41">
        <v>39.0</v>
      </c>
      <c r="H45" s="41" t="s">
        <v>1237</v>
      </c>
      <c r="I45" s="41"/>
      <c r="J45" s="41" t="s">
        <v>1237</v>
      </c>
      <c r="K45" s="42" t="s">
        <v>1238</v>
      </c>
      <c r="L45" s="42" t="s">
        <v>1239</v>
      </c>
      <c r="N45" s="42">
        <v>0.0</v>
      </c>
      <c r="O45" s="42">
        <v>0.0</v>
      </c>
      <c r="P45" s="42">
        <v>1.0</v>
      </c>
      <c r="Q45" s="42" t="s">
        <v>995</v>
      </c>
      <c r="R45" s="42">
        <v>1.0</v>
      </c>
      <c r="S45" s="42">
        <v>0.0</v>
      </c>
      <c r="T45" s="42" t="s">
        <v>995</v>
      </c>
      <c r="U45" s="42">
        <v>0.0</v>
      </c>
      <c r="V45" s="42">
        <v>0.0</v>
      </c>
      <c r="W45" s="42">
        <v>0.0</v>
      </c>
      <c r="X45" s="42">
        <v>100.0</v>
      </c>
      <c r="Y45" s="42">
        <v>0.0</v>
      </c>
    </row>
    <row r="46" ht="22.5" customHeight="1">
      <c r="A46" s="41"/>
      <c r="B46" s="41">
        <v>40.0</v>
      </c>
      <c r="C46" s="41" t="s">
        <v>1240</v>
      </c>
      <c r="D46" s="41" t="s">
        <v>1241</v>
      </c>
      <c r="E46" s="41" t="s">
        <v>1241</v>
      </c>
      <c r="F46" s="187"/>
      <c r="G46" s="41">
        <v>40.0</v>
      </c>
      <c r="H46" s="41" t="s">
        <v>1242</v>
      </c>
      <c r="I46" s="41"/>
      <c r="J46" s="41" t="s">
        <v>1242</v>
      </c>
      <c r="K46" s="42" t="s">
        <v>1243</v>
      </c>
      <c r="L46" s="42" t="s">
        <v>1244</v>
      </c>
      <c r="M46" s="42" t="s">
        <v>1130</v>
      </c>
      <c r="N46" s="42">
        <v>0.0</v>
      </c>
      <c r="O46" s="42">
        <v>1.0</v>
      </c>
      <c r="P46" s="42">
        <v>2.0</v>
      </c>
      <c r="Q46" s="42" t="s">
        <v>995</v>
      </c>
      <c r="R46" s="42">
        <v>0.0</v>
      </c>
      <c r="S46" s="42">
        <v>0.0</v>
      </c>
      <c r="T46" s="42" t="s">
        <v>995</v>
      </c>
      <c r="U46" s="42">
        <v>1.0</v>
      </c>
      <c r="V46" s="42">
        <v>8.0</v>
      </c>
      <c r="W46" s="42">
        <v>0.0</v>
      </c>
      <c r="X46" s="42">
        <v>100.0</v>
      </c>
      <c r="Y46" s="42">
        <v>0.0</v>
      </c>
    </row>
    <row r="47" ht="22.5" customHeight="1">
      <c r="A47" s="41"/>
      <c r="B47" s="41">
        <v>41.0</v>
      </c>
      <c r="C47" s="187"/>
      <c r="D47" s="41" t="s">
        <v>1245</v>
      </c>
      <c r="E47" s="41" t="s">
        <v>1245</v>
      </c>
      <c r="F47" s="187"/>
      <c r="G47" s="41">
        <v>41.0</v>
      </c>
      <c r="H47" s="41" t="s">
        <v>1246</v>
      </c>
      <c r="I47" s="41"/>
      <c r="J47" s="41" t="s">
        <v>1246</v>
      </c>
      <c r="K47" s="42" t="s">
        <v>1247</v>
      </c>
      <c r="L47" s="42" t="s">
        <v>1248</v>
      </c>
      <c r="N47" s="42">
        <v>0.0</v>
      </c>
      <c r="O47" s="42">
        <v>0.0</v>
      </c>
      <c r="P47" s="42">
        <v>1.0</v>
      </c>
      <c r="Q47" s="42" t="s">
        <v>995</v>
      </c>
      <c r="R47" s="42">
        <v>1.0</v>
      </c>
      <c r="S47" s="42">
        <v>0.0</v>
      </c>
      <c r="T47" s="42" t="s">
        <v>995</v>
      </c>
      <c r="U47" s="42">
        <v>0.0</v>
      </c>
      <c r="V47" s="42">
        <v>0.0</v>
      </c>
      <c r="W47" s="42">
        <v>0.0</v>
      </c>
      <c r="X47" s="42">
        <v>100.0</v>
      </c>
      <c r="Y47" s="42">
        <v>0.0</v>
      </c>
    </row>
    <row r="48" ht="22.5" customHeight="1">
      <c r="A48" s="41"/>
      <c r="B48" s="41">
        <v>42.0</v>
      </c>
      <c r="C48" s="187"/>
      <c r="D48" s="41" t="s">
        <v>1249</v>
      </c>
      <c r="E48" s="41" t="s">
        <v>1249</v>
      </c>
      <c r="F48" s="187"/>
      <c r="G48" s="41">
        <v>42.0</v>
      </c>
      <c r="H48" s="41" t="s">
        <v>1250</v>
      </c>
      <c r="I48" s="41"/>
      <c r="J48" s="41" t="s">
        <v>1250</v>
      </c>
      <c r="K48" s="42" t="s">
        <v>1251</v>
      </c>
      <c r="L48" s="42" t="s">
        <v>1252</v>
      </c>
      <c r="M48" s="42" t="s">
        <v>1028</v>
      </c>
      <c r="N48" s="42">
        <v>0.0</v>
      </c>
      <c r="O48" s="42">
        <v>1.0</v>
      </c>
      <c r="P48" s="42">
        <v>2.0</v>
      </c>
      <c r="Q48" s="42" t="s">
        <v>995</v>
      </c>
      <c r="R48" s="42">
        <v>7.0</v>
      </c>
      <c r="S48" s="42">
        <v>0.0</v>
      </c>
      <c r="T48" s="42" t="s">
        <v>1253</v>
      </c>
      <c r="U48" s="42">
        <v>1.0</v>
      </c>
      <c r="V48" s="42">
        <v>8.0</v>
      </c>
      <c r="W48" s="42">
        <v>0.0</v>
      </c>
      <c r="X48" s="42">
        <v>100.0</v>
      </c>
      <c r="Y48" s="42">
        <v>0.0</v>
      </c>
    </row>
    <row r="49" ht="22.5" customHeight="1">
      <c r="A49" s="41"/>
      <c r="B49" s="41">
        <v>43.0</v>
      </c>
      <c r="C49" s="187"/>
      <c r="D49" s="41" t="s">
        <v>1254</v>
      </c>
      <c r="E49" s="41" t="s">
        <v>1254</v>
      </c>
      <c r="F49" s="187"/>
      <c r="G49" s="41">
        <v>43.0</v>
      </c>
      <c r="H49" s="41" t="s">
        <v>1255</v>
      </c>
      <c r="I49" s="41"/>
      <c r="J49" s="41" t="s">
        <v>1255</v>
      </c>
      <c r="K49" s="42" t="s">
        <v>1256</v>
      </c>
      <c r="L49" s="42" t="s">
        <v>1257</v>
      </c>
      <c r="M49" s="42" t="s">
        <v>1043</v>
      </c>
      <c r="N49" s="42">
        <v>0.0</v>
      </c>
      <c r="O49" s="42">
        <v>1.0</v>
      </c>
      <c r="P49" s="42">
        <v>2.0</v>
      </c>
      <c r="Q49" s="42" t="s">
        <v>995</v>
      </c>
      <c r="R49" s="42">
        <v>3.0</v>
      </c>
      <c r="S49" s="42">
        <v>0.0</v>
      </c>
      <c r="T49" s="42" t="s">
        <v>1258</v>
      </c>
      <c r="U49" s="42">
        <v>1.0</v>
      </c>
      <c r="V49" s="42">
        <v>8.0</v>
      </c>
      <c r="W49" s="42">
        <v>0.0</v>
      </c>
      <c r="X49" s="42">
        <v>100.0</v>
      </c>
      <c r="Y49" s="42">
        <v>0.0</v>
      </c>
    </row>
    <row r="50" ht="22.5" customHeight="1">
      <c r="A50" s="41"/>
      <c r="B50" s="41">
        <v>48.0</v>
      </c>
      <c r="C50" s="187"/>
      <c r="D50" s="41" t="s">
        <v>1259</v>
      </c>
      <c r="E50" s="41" t="s">
        <v>1259</v>
      </c>
      <c r="F50" s="187"/>
      <c r="G50" s="41">
        <v>44.0</v>
      </c>
      <c r="H50" s="41" t="s">
        <v>1260</v>
      </c>
      <c r="I50" s="41"/>
      <c r="J50" s="41" t="s">
        <v>1260</v>
      </c>
      <c r="K50" s="42" t="s">
        <v>1261</v>
      </c>
      <c r="L50" s="42" t="s">
        <v>1262</v>
      </c>
      <c r="M50" s="42" t="s">
        <v>1043</v>
      </c>
      <c r="N50" s="42">
        <v>0.0</v>
      </c>
      <c r="O50" s="42">
        <v>1.0</v>
      </c>
      <c r="P50" s="42">
        <v>2.0</v>
      </c>
      <c r="Q50" s="42" t="s">
        <v>995</v>
      </c>
      <c r="R50" s="42">
        <v>3.0</v>
      </c>
      <c r="S50" s="42">
        <v>0.0</v>
      </c>
      <c r="T50" s="42" t="s">
        <v>1263</v>
      </c>
      <c r="U50" s="42">
        <v>1.0</v>
      </c>
      <c r="V50" s="42">
        <v>8.0</v>
      </c>
      <c r="W50" s="42">
        <v>0.0</v>
      </c>
      <c r="X50" s="42">
        <v>100.0</v>
      </c>
      <c r="Y50" s="42">
        <v>0.0</v>
      </c>
    </row>
    <row r="51" ht="22.5" customHeight="1">
      <c r="A51" s="41"/>
      <c r="B51" s="41">
        <v>49.0</v>
      </c>
      <c r="C51" s="187"/>
      <c r="D51" s="41" t="s">
        <v>1264</v>
      </c>
      <c r="E51" s="41" t="s">
        <v>1264</v>
      </c>
      <c r="F51" s="187"/>
      <c r="G51" s="41">
        <v>45.0</v>
      </c>
      <c r="H51" s="41" t="s">
        <v>1265</v>
      </c>
      <c r="I51" s="41"/>
      <c r="J51" s="41" t="s">
        <v>1265</v>
      </c>
      <c r="K51" s="42" t="s">
        <v>1266</v>
      </c>
      <c r="L51" s="42" t="s">
        <v>1267</v>
      </c>
      <c r="M51" s="42" t="s">
        <v>1043</v>
      </c>
      <c r="N51" s="42">
        <v>0.0</v>
      </c>
      <c r="O51" s="42">
        <v>0.0</v>
      </c>
      <c r="P51" s="42">
        <v>2.0</v>
      </c>
      <c r="Q51" s="42" t="s">
        <v>995</v>
      </c>
      <c r="R51" s="42">
        <v>1.0</v>
      </c>
      <c r="S51" s="42">
        <v>0.0</v>
      </c>
      <c r="T51" s="42" t="s">
        <v>1268</v>
      </c>
      <c r="U51" s="42">
        <v>0.0</v>
      </c>
      <c r="V51" s="42">
        <v>0.0</v>
      </c>
      <c r="W51" s="42">
        <v>0.0</v>
      </c>
      <c r="X51" s="42">
        <v>100.0</v>
      </c>
      <c r="Y51" s="42">
        <v>0.0</v>
      </c>
    </row>
    <row r="52" ht="22.5" customHeight="1">
      <c r="A52" s="41"/>
      <c r="B52" s="41">
        <v>50.0</v>
      </c>
      <c r="C52" s="41" t="s">
        <v>1269</v>
      </c>
      <c r="D52" s="41" t="s">
        <v>1270</v>
      </c>
      <c r="E52" s="41" t="s">
        <v>1270</v>
      </c>
      <c r="F52" s="41" t="s">
        <v>1269</v>
      </c>
      <c r="G52" s="41">
        <v>0.0</v>
      </c>
      <c r="H52" s="41" t="s">
        <v>1271</v>
      </c>
      <c r="I52" s="41"/>
      <c r="J52" s="41" t="s">
        <v>1272</v>
      </c>
      <c r="K52" s="42" t="s">
        <v>1273</v>
      </c>
      <c r="L52" s="42" t="s">
        <v>1274</v>
      </c>
      <c r="N52" s="42">
        <v>1.0</v>
      </c>
      <c r="O52" s="42">
        <v>0.0</v>
      </c>
      <c r="P52" s="42">
        <v>2.0</v>
      </c>
      <c r="Q52" s="42" t="s">
        <v>995</v>
      </c>
      <c r="R52" s="42">
        <v>0.0</v>
      </c>
      <c r="S52" s="42">
        <v>0.0</v>
      </c>
      <c r="T52" s="42" t="s">
        <v>995</v>
      </c>
      <c r="U52" s="42">
        <v>0.0</v>
      </c>
      <c r="V52" s="42">
        <v>0.0</v>
      </c>
      <c r="W52" s="42">
        <v>0.0</v>
      </c>
      <c r="X52" s="42">
        <v>100.0</v>
      </c>
      <c r="Y52" s="42">
        <v>0.0</v>
      </c>
    </row>
    <row r="53" ht="22.5" customHeight="1">
      <c r="A53" s="41"/>
      <c r="B53" s="41">
        <v>52.0</v>
      </c>
      <c r="C53" s="41" t="s">
        <v>1269</v>
      </c>
      <c r="D53" s="41" t="s">
        <v>1275</v>
      </c>
      <c r="E53" s="41" t="s">
        <v>1275</v>
      </c>
      <c r="F53" s="41" t="s">
        <v>1269</v>
      </c>
      <c r="G53" s="41">
        <v>46.0</v>
      </c>
      <c r="H53" s="41" t="s">
        <v>1276</v>
      </c>
      <c r="I53" s="41"/>
      <c r="J53" s="41" t="s">
        <v>1276</v>
      </c>
      <c r="K53" s="42" t="s">
        <v>1277</v>
      </c>
      <c r="L53" s="42" t="s">
        <v>1278</v>
      </c>
      <c r="N53" s="42">
        <v>1.0</v>
      </c>
      <c r="O53" s="42">
        <v>0.0</v>
      </c>
      <c r="P53" s="42">
        <v>1.0</v>
      </c>
      <c r="Q53" s="42" t="s">
        <v>995</v>
      </c>
      <c r="R53" s="42">
        <v>1.0</v>
      </c>
      <c r="S53" s="42">
        <v>0.0</v>
      </c>
      <c r="T53" s="42" t="s">
        <v>995</v>
      </c>
      <c r="U53" s="42">
        <v>0.0</v>
      </c>
      <c r="V53" s="42">
        <v>0.0</v>
      </c>
      <c r="W53" s="42">
        <v>0.0</v>
      </c>
      <c r="X53" s="42">
        <v>100.0</v>
      </c>
      <c r="Y53" s="42">
        <v>0.0</v>
      </c>
    </row>
    <row r="54" ht="22.5" customHeight="1">
      <c r="A54" s="41"/>
      <c r="B54" s="41">
        <v>62.0</v>
      </c>
      <c r="C54" s="41" t="s">
        <v>271</v>
      </c>
      <c r="D54" s="41" t="s">
        <v>1279</v>
      </c>
      <c r="E54" s="41" t="s">
        <v>1279</v>
      </c>
      <c r="F54" s="41" t="s">
        <v>271</v>
      </c>
      <c r="G54" s="41">
        <v>47.0</v>
      </c>
      <c r="H54" s="41" t="s">
        <v>1280</v>
      </c>
      <c r="I54" s="41"/>
      <c r="J54" s="41" t="s">
        <v>1280</v>
      </c>
      <c r="K54" s="42" t="s">
        <v>1281</v>
      </c>
      <c r="L54" s="42" t="s">
        <v>1282</v>
      </c>
      <c r="N54" s="42">
        <v>0.0</v>
      </c>
      <c r="O54" s="42">
        <v>0.0</v>
      </c>
      <c r="P54" s="42">
        <v>2.0</v>
      </c>
      <c r="Q54" s="42" t="s">
        <v>995</v>
      </c>
      <c r="R54" s="42">
        <v>0.0</v>
      </c>
      <c r="S54" s="42">
        <v>0.0</v>
      </c>
      <c r="T54" s="42" t="s">
        <v>1283</v>
      </c>
      <c r="U54" s="42">
        <v>1.0</v>
      </c>
      <c r="V54" s="42">
        <v>0.0</v>
      </c>
      <c r="W54" s="42">
        <v>0.0</v>
      </c>
      <c r="X54" s="42">
        <v>100.0</v>
      </c>
      <c r="Y54" s="42">
        <v>0.0</v>
      </c>
    </row>
    <row r="55" ht="22.5" customHeight="1">
      <c r="A55" s="41"/>
      <c r="B55" s="41">
        <v>64.0</v>
      </c>
      <c r="C55" s="41" t="s">
        <v>271</v>
      </c>
      <c r="D55" s="41" t="s">
        <v>1284</v>
      </c>
      <c r="E55" s="41" t="s">
        <v>1284</v>
      </c>
      <c r="F55" s="41" t="s">
        <v>271</v>
      </c>
      <c r="G55" s="41">
        <v>48.0</v>
      </c>
      <c r="H55" s="41" t="s">
        <v>1285</v>
      </c>
      <c r="I55" s="41"/>
      <c r="J55" s="41" t="s">
        <v>1285</v>
      </c>
      <c r="K55" s="42" t="s">
        <v>1286</v>
      </c>
      <c r="L55" s="42" t="s">
        <v>1287</v>
      </c>
      <c r="N55" s="42">
        <v>0.0</v>
      </c>
      <c r="O55" s="42">
        <v>0.0</v>
      </c>
      <c r="P55" s="42">
        <v>1.0</v>
      </c>
      <c r="Q55" s="42" t="s">
        <v>995</v>
      </c>
      <c r="R55" s="42">
        <v>1.0</v>
      </c>
      <c r="S55" s="42">
        <v>0.0</v>
      </c>
      <c r="T55" s="42" t="s">
        <v>995</v>
      </c>
      <c r="U55" s="42">
        <v>0.0</v>
      </c>
      <c r="V55" s="42">
        <v>0.0</v>
      </c>
      <c r="W55" s="42">
        <v>0.0</v>
      </c>
      <c r="X55" s="42">
        <v>100.0</v>
      </c>
      <c r="Y55" s="42">
        <v>0.0</v>
      </c>
    </row>
    <row r="56" ht="22.5" customHeight="1">
      <c r="A56" s="41"/>
      <c r="B56" s="41">
        <v>66.0</v>
      </c>
      <c r="C56" s="41" t="s">
        <v>271</v>
      </c>
      <c r="D56" s="41" t="s">
        <v>1288</v>
      </c>
      <c r="E56" s="41" t="s">
        <v>1288</v>
      </c>
      <c r="F56" s="41" t="s">
        <v>271</v>
      </c>
      <c r="G56" s="41">
        <v>49.0</v>
      </c>
      <c r="H56" s="41" t="s">
        <v>1289</v>
      </c>
      <c r="I56" s="41"/>
      <c r="J56" s="41" t="s">
        <v>1289</v>
      </c>
      <c r="K56" s="42" t="s">
        <v>1290</v>
      </c>
      <c r="L56" s="42" t="s">
        <v>1291</v>
      </c>
      <c r="N56" s="42">
        <v>1.0</v>
      </c>
      <c r="O56" s="42">
        <v>0.0</v>
      </c>
      <c r="P56" s="42">
        <v>2.0</v>
      </c>
      <c r="Q56" s="42" t="s">
        <v>995</v>
      </c>
      <c r="R56" s="42">
        <v>1.0</v>
      </c>
      <c r="S56" s="42">
        <v>0.0</v>
      </c>
      <c r="T56" s="42" t="s">
        <v>995</v>
      </c>
      <c r="U56" s="42">
        <v>0.0</v>
      </c>
      <c r="V56" s="42">
        <v>0.0</v>
      </c>
      <c r="W56" s="42">
        <v>0.0</v>
      </c>
      <c r="X56" s="42">
        <v>100.0</v>
      </c>
      <c r="Y56" s="42">
        <v>0.0</v>
      </c>
    </row>
    <row r="57" ht="22.5" customHeight="1">
      <c r="A57" s="41"/>
      <c r="B57" s="41">
        <v>67.0</v>
      </c>
      <c r="C57" s="41" t="s">
        <v>271</v>
      </c>
      <c r="D57" s="41" t="s">
        <v>1292</v>
      </c>
      <c r="E57" s="41" t="s">
        <v>1292</v>
      </c>
      <c r="F57" s="41" t="s">
        <v>271</v>
      </c>
      <c r="G57" s="41">
        <v>50.0</v>
      </c>
      <c r="H57" s="41" t="s">
        <v>1293</v>
      </c>
      <c r="I57" s="41"/>
      <c r="J57" s="41" t="s">
        <v>1293</v>
      </c>
      <c r="K57" s="42" t="s">
        <v>1294</v>
      </c>
      <c r="L57" s="42" t="s">
        <v>1295</v>
      </c>
      <c r="M57" s="42" t="s">
        <v>1130</v>
      </c>
      <c r="N57" s="42">
        <v>0.0</v>
      </c>
      <c r="O57" s="42">
        <v>1.0</v>
      </c>
      <c r="P57" s="42">
        <v>2.0</v>
      </c>
      <c r="Q57" s="42" t="s">
        <v>995</v>
      </c>
      <c r="R57" s="42">
        <v>3.0</v>
      </c>
      <c r="S57" s="42">
        <v>0.0</v>
      </c>
      <c r="T57" s="42" t="s">
        <v>1296</v>
      </c>
      <c r="U57" s="42">
        <v>1.0</v>
      </c>
      <c r="V57" s="42">
        <v>8.0</v>
      </c>
      <c r="W57" s="42">
        <v>0.0</v>
      </c>
      <c r="X57" s="42">
        <v>100.0</v>
      </c>
      <c r="Y57" s="42">
        <v>0.0</v>
      </c>
    </row>
    <row r="58" ht="22.5" customHeight="1">
      <c r="A58" s="41"/>
      <c r="B58" s="41">
        <v>68.0</v>
      </c>
      <c r="C58" s="41" t="s">
        <v>271</v>
      </c>
      <c r="D58" s="41" t="s">
        <v>1297</v>
      </c>
      <c r="E58" s="41" t="s">
        <v>1297</v>
      </c>
      <c r="F58" s="41" t="s">
        <v>271</v>
      </c>
      <c r="G58" s="41">
        <v>51.0</v>
      </c>
      <c r="H58" s="41" t="s">
        <v>1298</v>
      </c>
      <c r="I58" s="41"/>
      <c r="J58" s="41" t="s">
        <v>1298</v>
      </c>
      <c r="K58" s="42" t="s">
        <v>1299</v>
      </c>
      <c r="L58" s="42" t="s">
        <v>1300</v>
      </c>
      <c r="M58" s="42" t="s">
        <v>1130</v>
      </c>
      <c r="N58" s="42">
        <v>0.0</v>
      </c>
      <c r="O58" s="42">
        <v>1.0</v>
      </c>
      <c r="P58" s="42">
        <v>2.0</v>
      </c>
      <c r="Q58" s="42" t="s">
        <v>995</v>
      </c>
      <c r="R58" s="42">
        <v>6.0</v>
      </c>
      <c r="S58" s="42">
        <v>0.0</v>
      </c>
      <c r="T58" s="42" t="s">
        <v>1301</v>
      </c>
      <c r="U58" s="42">
        <v>1.0</v>
      </c>
      <c r="V58" s="42">
        <v>5.0</v>
      </c>
      <c r="W58" s="42">
        <v>0.0</v>
      </c>
      <c r="X58" s="42">
        <v>100.0</v>
      </c>
      <c r="Y58" s="42">
        <v>0.0</v>
      </c>
    </row>
    <row r="59" ht="22.5" customHeight="1">
      <c r="A59" s="41"/>
      <c r="B59" s="41">
        <v>69.0</v>
      </c>
      <c r="C59" s="41" t="s">
        <v>271</v>
      </c>
      <c r="D59" s="41" t="s">
        <v>1302</v>
      </c>
      <c r="E59" s="41" t="s">
        <v>1303</v>
      </c>
      <c r="F59" s="41" t="s">
        <v>271</v>
      </c>
      <c r="G59" s="41">
        <v>52.0</v>
      </c>
      <c r="H59" s="41" t="s">
        <v>979</v>
      </c>
      <c r="I59" s="41"/>
      <c r="J59" s="41" t="s">
        <v>1304</v>
      </c>
      <c r="K59" s="42" t="s">
        <v>1305</v>
      </c>
      <c r="L59" s="42" t="s">
        <v>1306</v>
      </c>
      <c r="N59" s="42">
        <v>1.0</v>
      </c>
      <c r="O59" s="42">
        <v>0.0</v>
      </c>
      <c r="P59" s="42">
        <v>2.0</v>
      </c>
      <c r="Q59" s="42" t="s">
        <v>995</v>
      </c>
      <c r="R59" s="42">
        <v>1.0</v>
      </c>
      <c r="S59" s="42">
        <v>0.0</v>
      </c>
      <c r="T59" s="42" t="s">
        <v>1307</v>
      </c>
      <c r="U59" s="42">
        <v>0.0</v>
      </c>
      <c r="V59" s="42">
        <v>0.0</v>
      </c>
      <c r="W59" s="42">
        <v>0.0</v>
      </c>
      <c r="X59" s="42">
        <v>100.0</v>
      </c>
      <c r="Y59" s="42">
        <v>0.0</v>
      </c>
    </row>
    <row r="60" ht="22.5" customHeight="1">
      <c r="A60" s="41"/>
      <c r="B60" s="41">
        <v>70.0</v>
      </c>
      <c r="C60" s="41" t="s">
        <v>271</v>
      </c>
      <c r="D60" s="41" t="s">
        <v>1308</v>
      </c>
      <c r="E60" s="41" t="s">
        <v>1308</v>
      </c>
      <c r="F60" s="41" t="s">
        <v>271</v>
      </c>
      <c r="G60" s="41">
        <v>53.0</v>
      </c>
      <c r="H60" s="41" t="s">
        <v>1309</v>
      </c>
      <c r="I60" s="41"/>
      <c r="J60" s="41" t="s">
        <v>1309</v>
      </c>
      <c r="K60" s="42" t="s">
        <v>1310</v>
      </c>
      <c r="L60" s="42" t="s">
        <v>1311</v>
      </c>
      <c r="N60" s="42">
        <v>0.0</v>
      </c>
      <c r="O60" s="42">
        <v>0.0</v>
      </c>
      <c r="P60" s="42">
        <v>2.0</v>
      </c>
      <c r="Q60" s="42" t="s">
        <v>995</v>
      </c>
      <c r="R60" s="42">
        <v>1.0</v>
      </c>
      <c r="S60" s="42">
        <v>0.0</v>
      </c>
      <c r="T60" s="42" t="s">
        <v>995</v>
      </c>
      <c r="U60" s="42">
        <v>0.0</v>
      </c>
      <c r="V60" s="42">
        <v>0.0</v>
      </c>
      <c r="W60" s="42">
        <v>0.0</v>
      </c>
      <c r="X60" s="42">
        <v>100.0</v>
      </c>
      <c r="Y60" s="42">
        <v>0.0</v>
      </c>
    </row>
    <row r="61" ht="22.5" customHeight="1">
      <c r="A61" s="41"/>
      <c r="B61" s="41">
        <v>71.0</v>
      </c>
      <c r="C61" s="41" t="s">
        <v>271</v>
      </c>
      <c r="D61" s="41" t="s">
        <v>1312</v>
      </c>
      <c r="E61" s="41" t="s">
        <v>1312</v>
      </c>
      <c r="F61" s="41" t="s">
        <v>271</v>
      </c>
      <c r="G61" s="41">
        <v>54.0</v>
      </c>
      <c r="H61" s="41" t="s">
        <v>1313</v>
      </c>
      <c r="I61" s="41"/>
      <c r="J61" s="41" t="s">
        <v>1313</v>
      </c>
      <c r="K61" s="42" t="s">
        <v>1314</v>
      </c>
      <c r="L61" s="42" t="s">
        <v>1315</v>
      </c>
      <c r="N61" s="42">
        <v>0.0</v>
      </c>
      <c r="O61" s="42">
        <v>0.0</v>
      </c>
      <c r="P61" s="42">
        <v>2.0</v>
      </c>
      <c r="Q61" s="42" t="s">
        <v>995</v>
      </c>
      <c r="R61" s="42">
        <v>1.0</v>
      </c>
      <c r="S61" s="42">
        <v>0.0</v>
      </c>
      <c r="T61" s="42" t="s">
        <v>995</v>
      </c>
      <c r="U61" s="42">
        <v>0.0</v>
      </c>
      <c r="V61" s="42">
        <v>0.0</v>
      </c>
      <c r="W61" s="42">
        <v>0.0</v>
      </c>
      <c r="X61" s="42">
        <v>100.0</v>
      </c>
      <c r="Y61" s="42">
        <v>0.0</v>
      </c>
    </row>
    <row r="62" ht="22.5" customHeight="1">
      <c r="A62" s="41"/>
      <c r="B62" s="41">
        <v>73.0</v>
      </c>
      <c r="C62" s="41" t="s">
        <v>271</v>
      </c>
      <c r="D62" s="41" t="s">
        <v>1316</v>
      </c>
      <c r="E62" s="41" t="s">
        <v>1316</v>
      </c>
      <c r="F62" s="41" t="s">
        <v>271</v>
      </c>
      <c r="G62" s="41">
        <v>55.0</v>
      </c>
      <c r="H62" s="41" t="s">
        <v>1317</v>
      </c>
      <c r="I62" s="41"/>
      <c r="J62" s="41" t="s">
        <v>1317</v>
      </c>
      <c r="K62" s="42" t="s">
        <v>1318</v>
      </c>
      <c r="L62" s="42" t="s">
        <v>1319</v>
      </c>
      <c r="M62" s="42" t="s">
        <v>1043</v>
      </c>
      <c r="N62" s="42">
        <v>0.0</v>
      </c>
      <c r="O62" s="42">
        <v>1.0</v>
      </c>
      <c r="P62" s="42">
        <v>2.0</v>
      </c>
      <c r="Q62" s="42" t="s">
        <v>995</v>
      </c>
      <c r="R62" s="42">
        <v>3.0</v>
      </c>
      <c r="S62" s="42">
        <v>0.0</v>
      </c>
      <c r="T62" s="42" t="s">
        <v>1320</v>
      </c>
      <c r="U62" s="42">
        <v>1.0</v>
      </c>
      <c r="V62" s="42">
        <v>1.0</v>
      </c>
      <c r="W62" s="42">
        <v>0.0</v>
      </c>
      <c r="X62" s="42">
        <v>100.0</v>
      </c>
      <c r="Y62" s="42">
        <v>0.0</v>
      </c>
    </row>
    <row r="63" ht="22.5" customHeight="1">
      <c r="A63" s="41"/>
      <c r="B63" s="41">
        <v>75.0</v>
      </c>
      <c r="C63" s="41" t="s">
        <v>271</v>
      </c>
      <c r="D63" s="41" t="s">
        <v>1321</v>
      </c>
      <c r="E63" s="41" t="s">
        <v>1321</v>
      </c>
      <c r="F63" s="41" t="s">
        <v>271</v>
      </c>
      <c r="G63" s="41">
        <v>57.0</v>
      </c>
      <c r="H63" s="41" t="s">
        <v>1322</v>
      </c>
      <c r="I63" s="41"/>
      <c r="J63" s="41" t="s">
        <v>1322</v>
      </c>
      <c r="K63" s="42" t="s">
        <v>1323</v>
      </c>
      <c r="L63" s="42" t="s">
        <v>1324</v>
      </c>
      <c r="N63" s="42">
        <v>0.0</v>
      </c>
      <c r="O63" s="42">
        <v>0.0</v>
      </c>
      <c r="P63" s="42">
        <v>2.0</v>
      </c>
      <c r="Q63" s="42" t="s">
        <v>995</v>
      </c>
      <c r="R63" s="42">
        <v>1.0</v>
      </c>
      <c r="S63" s="42">
        <v>0.0</v>
      </c>
      <c r="T63" s="42" t="s">
        <v>995</v>
      </c>
      <c r="U63" s="42">
        <v>0.0</v>
      </c>
      <c r="V63" s="42">
        <v>0.0</v>
      </c>
      <c r="W63" s="42">
        <v>0.0</v>
      </c>
      <c r="X63" s="42">
        <v>100.0</v>
      </c>
      <c r="Y63" s="42">
        <v>0.0</v>
      </c>
    </row>
    <row r="64" ht="22.5" customHeight="1">
      <c r="A64" s="41"/>
      <c r="B64" s="41">
        <v>78.0</v>
      </c>
      <c r="C64" s="41" t="s">
        <v>271</v>
      </c>
      <c r="D64" s="41" t="s">
        <v>1325</v>
      </c>
      <c r="E64" s="41" t="s">
        <v>1325</v>
      </c>
      <c r="F64" s="41" t="s">
        <v>271</v>
      </c>
      <c r="G64" s="41">
        <v>59.0</v>
      </c>
      <c r="H64" s="41" t="s">
        <v>1326</v>
      </c>
      <c r="I64" s="41"/>
      <c r="J64" s="41" t="s">
        <v>1326</v>
      </c>
      <c r="K64" s="42" t="s">
        <v>1327</v>
      </c>
      <c r="L64" s="42" t="s">
        <v>1328</v>
      </c>
      <c r="N64" s="42">
        <v>0.0</v>
      </c>
      <c r="O64" s="42">
        <v>0.0</v>
      </c>
      <c r="P64" s="42">
        <v>2.0</v>
      </c>
      <c r="Q64" s="42" t="s">
        <v>995</v>
      </c>
      <c r="R64" s="42">
        <v>1.0</v>
      </c>
      <c r="S64" s="42">
        <v>0.0</v>
      </c>
      <c r="T64" s="42" t="s">
        <v>995</v>
      </c>
      <c r="U64" s="42">
        <v>0.0</v>
      </c>
      <c r="V64" s="42">
        <v>0.0</v>
      </c>
      <c r="W64" s="42">
        <v>0.0</v>
      </c>
      <c r="X64" s="42">
        <v>100.0</v>
      </c>
      <c r="Y64" s="42">
        <v>0.0</v>
      </c>
    </row>
    <row r="65" ht="22.5" customHeight="1">
      <c r="A65" s="41"/>
      <c r="B65" s="41">
        <v>79.0</v>
      </c>
      <c r="C65" s="41" t="s">
        <v>271</v>
      </c>
      <c r="D65" s="41" t="s">
        <v>1329</v>
      </c>
      <c r="E65" s="41" t="s">
        <v>1329</v>
      </c>
      <c r="F65" s="41" t="s">
        <v>271</v>
      </c>
      <c r="G65" s="41">
        <v>60.0</v>
      </c>
      <c r="H65" s="41" t="s">
        <v>1330</v>
      </c>
      <c r="I65" s="41"/>
      <c r="J65" s="41" t="s">
        <v>1330</v>
      </c>
      <c r="K65" s="42" t="s">
        <v>1331</v>
      </c>
      <c r="L65" s="42" t="s">
        <v>1332</v>
      </c>
      <c r="M65" s="42" t="s">
        <v>1130</v>
      </c>
      <c r="N65" s="42">
        <v>0.0</v>
      </c>
      <c r="O65" s="42">
        <v>1.0</v>
      </c>
      <c r="P65" s="42">
        <v>2.0</v>
      </c>
      <c r="Q65" s="42" t="s">
        <v>995</v>
      </c>
      <c r="R65" s="42">
        <v>3.0</v>
      </c>
      <c r="S65" s="42">
        <v>0.0</v>
      </c>
      <c r="T65" s="42" t="s">
        <v>1333</v>
      </c>
      <c r="U65" s="42">
        <v>1.0</v>
      </c>
      <c r="V65" s="42">
        <v>6.0</v>
      </c>
      <c r="W65" s="42">
        <v>0.0</v>
      </c>
      <c r="X65" s="42">
        <v>100.0</v>
      </c>
      <c r="Y65" s="42">
        <v>0.0</v>
      </c>
    </row>
    <row r="66" ht="22.5" customHeight="1">
      <c r="A66" s="41"/>
      <c r="B66" s="41">
        <v>80.0</v>
      </c>
      <c r="C66" s="41" t="s">
        <v>271</v>
      </c>
      <c r="D66" s="41" t="s">
        <v>1334</v>
      </c>
      <c r="E66" s="41" t="s">
        <v>1334</v>
      </c>
      <c r="F66" s="41" t="s">
        <v>271</v>
      </c>
      <c r="G66" s="41">
        <v>61.0</v>
      </c>
      <c r="H66" s="41" t="s">
        <v>1335</v>
      </c>
      <c r="I66" s="41"/>
      <c r="J66" s="41" t="s">
        <v>1335</v>
      </c>
      <c r="K66" s="42" t="s">
        <v>1336</v>
      </c>
      <c r="L66" s="42" t="s">
        <v>1337</v>
      </c>
      <c r="M66" s="42" t="s">
        <v>1028</v>
      </c>
      <c r="N66" s="42">
        <v>0.0</v>
      </c>
      <c r="O66" s="42">
        <v>1.0</v>
      </c>
      <c r="P66" s="42">
        <v>2.0</v>
      </c>
      <c r="Q66" s="42" t="s">
        <v>995</v>
      </c>
      <c r="R66" s="42">
        <v>6.0</v>
      </c>
      <c r="S66" s="42">
        <v>0.0</v>
      </c>
      <c r="T66" s="42" t="s">
        <v>1338</v>
      </c>
      <c r="U66" s="42">
        <v>1.0</v>
      </c>
      <c r="V66" s="42">
        <v>5.0</v>
      </c>
      <c r="W66" s="42">
        <v>0.0</v>
      </c>
      <c r="X66" s="42">
        <v>100.0</v>
      </c>
      <c r="Y66" s="42">
        <v>0.0</v>
      </c>
    </row>
    <row r="67" ht="22.5" customHeight="1">
      <c r="A67" s="41"/>
      <c r="B67" s="41">
        <v>81.0</v>
      </c>
      <c r="C67" s="41" t="s">
        <v>271</v>
      </c>
      <c r="D67" s="41" t="s">
        <v>1339</v>
      </c>
      <c r="E67" s="41" t="s">
        <v>1339</v>
      </c>
      <c r="F67" s="41" t="s">
        <v>271</v>
      </c>
      <c r="G67" s="41">
        <v>62.0</v>
      </c>
      <c r="H67" s="41" t="s">
        <v>1340</v>
      </c>
      <c r="I67" s="41"/>
      <c r="J67" s="41" t="s">
        <v>1340</v>
      </c>
      <c r="K67" s="42" t="s">
        <v>1341</v>
      </c>
      <c r="L67" s="42" t="s">
        <v>1342</v>
      </c>
      <c r="M67" s="42" t="s">
        <v>1130</v>
      </c>
      <c r="N67" s="42">
        <v>0.0</v>
      </c>
      <c r="O67" s="42">
        <v>1.0</v>
      </c>
      <c r="P67" s="42">
        <v>2.0</v>
      </c>
      <c r="Q67" s="42" t="s">
        <v>995</v>
      </c>
      <c r="R67" s="42">
        <v>3.0</v>
      </c>
      <c r="S67" s="42">
        <v>0.0</v>
      </c>
      <c r="T67" s="42" t="s">
        <v>1343</v>
      </c>
      <c r="U67" s="42">
        <v>1.0</v>
      </c>
      <c r="V67" s="42">
        <v>5.0</v>
      </c>
      <c r="W67" s="42">
        <v>0.0</v>
      </c>
      <c r="X67" s="42">
        <v>100.0</v>
      </c>
      <c r="Y67" s="42">
        <v>0.0</v>
      </c>
    </row>
    <row r="68" ht="22.5" customHeight="1">
      <c r="A68" s="41"/>
      <c r="B68" s="41">
        <v>82.0</v>
      </c>
      <c r="C68" s="41" t="s">
        <v>271</v>
      </c>
      <c r="D68" s="41" t="s">
        <v>1344</v>
      </c>
      <c r="E68" s="41" t="s">
        <v>1345</v>
      </c>
      <c r="F68" s="41" t="s">
        <v>271</v>
      </c>
      <c r="G68" s="41">
        <v>63.0</v>
      </c>
      <c r="H68" s="41" t="s">
        <v>1346</v>
      </c>
      <c r="I68" s="41"/>
      <c r="J68" s="41" t="s">
        <v>1346</v>
      </c>
      <c r="K68" s="42" t="s">
        <v>1347</v>
      </c>
      <c r="L68" s="42" t="s">
        <v>1348</v>
      </c>
      <c r="M68" s="42" t="s">
        <v>1082</v>
      </c>
      <c r="N68" s="42">
        <v>0.0</v>
      </c>
      <c r="O68" s="42">
        <v>1.0</v>
      </c>
      <c r="P68" s="42">
        <v>2.0</v>
      </c>
      <c r="Q68" s="42" t="s">
        <v>995</v>
      </c>
      <c r="R68" s="42">
        <v>3.0</v>
      </c>
      <c r="S68" s="42">
        <v>0.0</v>
      </c>
      <c r="T68" s="42" t="s">
        <v>1349</v>
      </c>
      <c r="U68" s="42">
        <v>1.0</v>
      </c>
      <c r="V68" s="42">
        <v>5.0</v>
      </c>
      <c r="W68" s="42">
        <v>0.0</v>
      </c>
      <c r="X68" s="42">
        <v>100.0</v>
      </c>
      <c r="Y68" s="42">
        <v>0.0</v>
      </c>
    </row>
    <row r="69" ht="22.5" customHeight="1">
      <c r="A69" s="41"/>
      <c r="B69" s="41">
        <v>83.0</v>
      </c>
      <c r="C69" s="41" t="s">
        <v>271</v>
      </c>
      <c r="D69" s="41" t="s">
        <v>1350</v>
      </c>
      <c r="E69" s="41" t="s">
        <v>1350</v>
      </c>
      <c r="F69" s="41" t="s">
        <v>271</v>
      </c>
      <c r="G69" s="41">
        <v>64.0</v>
      </c>
      <c r="H69" s="41" t="s">
        <v>1351</v>
      </c>
      <c r="I69" s="41"/>
      <c r="J69" s="41" t="s">
        <v>1351</v>
      </c>
      <c r="K69" s="42" t="s">
        <v>1352</v>
      </c>
      <c r="L69" s="42" t="s">
        <v>1353</v>
      </c>
      <c r="N69" s="42">
        <v>0.0</v>
      </c>
      <c r="O69" s="42">
        <v>0.0</v>
      </c>
      <c r="P69" s="42">
        <v>2.0</v>
      </c>
      <c r="Q69" s="42" t="s">
        <v>995</v>
      </c>
      <c r="R69" s="42">
        <v>1.0</v>
      </c>
      <c r="S69" s="42">
        <v>0.0</v>
      </c>
      <c r="T69" s="42" t="s">
        <v>995</v>
      </c>
      <c r="U69" s="42">
        <v>0.0</v>
      </c>
      <c r="V69" s="42">
        <v>0.0</v>
      </c>
      <c r="W69" s="42">
        <v>0.0</v>
      </c>
      <c r="X69" s="42">
        <v>100.0</v>
      </c>
      <c r="Y69" s="42">
        <v>0.0</v>
      </c>
    </row>
    <row r="70" ht="22.5" customHeight="1">
      <c r="A70" s="41"/>
      <c r="B70" s="41">
        <v>84.0</v>
      </c>
      <c r="C70" s="41" t="s">
        <v>271</v>
      </c>
      <c r="D70" s="41" t="s">
        <v>306</v>
      </c>
      <c r="E70" s="41" t="s">
        <v>306</v>
      </c>
      <c r="F70" s="41" t="s">
        <v>271</v>
      </c>
      <c r="G70" s="41">
        <v>65.0</v>
      </c>
      <c r="H70" s="41" t="s">
        <v>1354</v>
      </c>
      <c r="I70" s="41"/>
      <c r="J70" s="41" t="s">
        <v>1354</v>
      </c>
      <c r="K70" s="42" t="s">
        <v>1355</v>
      </c>
      <c r="L70" s="42" t="s">
        <v>1356</v>
      </c>
      <c r="M70" s="42" t="s">
        <v>1082</v>
      </c>
      <c r="N70" s="42">
        <v>0.0</v>
      </c>
      <c r="O70" s="42">
        <v>1.0</v>
      </c>
      <c r="P70" s="42">
        <v>2.0</v>
      </c>
      <c r="Q70" s="42" t="s">
        <v>995</v>
      </c>
      <c r="R70" s="42">
        <v>6.0</v>
      </c>
      <c r="S70" s="42">
        <v>0.0</v>
      </c>
      <c r="T70" s="42" t="s">
        <v>1357</v>
      </c>
      <c r="U70" s="42">
        <v>1.0</v>
      </c>
      <c r="V70" s="42">
        <v>1.0</v>
      </c>
      <c r="W70" s="42">
        <v>0.0</v>
      </c>
      <c r="X70" s="42">
        <v>100.0</v>
      </c>
      <c r="Y70" s="42">
        <v>0.0</v>
      </c>
    </row>
    <row r="71" ht="22.5" customHeight="1">
      <c r="A71" s="41"/>
      <c r="B71" s="41">
        <v>86.0</v>
      </c>
      <c r="C71" s="41" t="s">
        <v>271</v>
      </c>
      <c r="D71" s="41" t="s">
        <v>1358</v>
      </c>
      <c r="E71" s="41" t="s">
        <v>1358</v>
      </c>
      <c r="F71" s="41" t="s">
        <v>271</v>
      </c>
      <c r="G71" s="41">
        <v>67.0</v>
      </c>
      <c r="H71" s="41" t="s">
        <v>1359</v>
      </c>
      <c r="I71" s="41"/>
      <c r="J71" s="41" t="s">
        <v>1359</v>
      </c>
      <c r="K71" s="42" t="s">
        <v>1360</v>
      </c>
      <c r="L71" s="42" t="s">
        <v>1361</v>
      </c>
      <c r="N71" s="42">
        <v>0.0</v>
      </c>
      <c r="O71" s="42">
        <v>0.0</v>
      </c>
      <c r="P71" s="42">
        <v>1.0</v>
      </c>
      <c r="Q71" s="42" t="s">
        <v>995</v>
      </c>
      <c r="R71" s="42">
        <v>1.0</v>
      </c>
      <c r="S71" s="42">
        <v>0.0</v>
      </c>
      <c r="T71" s="42" t="s">
        <v>995</v>
      </c>
      <c r="U71" s="42">
        <v>0.0</v>
      </c>
      <c r="V71" s="42">
        <v>0.0</v>
      </c>
      <c r="W71" s="42">
        <v>0.0</v>
      </c>
      <c r="X71" s="42">
        <v>100.0</v>
      </c>
      <c r="Y71" s="42">
        <v>0.0</v>
      </c>
    </row>
    <row r="72" ht="22.5" customHeight="1">
      <c r="A72" s="41"/>
      <c r="B72" s="41">
        <v>88.0</v>
      </c>
      <c r="C72" s="41" t="s">
        <v>271</v>
      </c>
      <c r="D72" s="41" t="s">
        <v>1362</v>
      </c>
      <c r="E72" s="41" t="s">
        <v>1362</v>
      </c>
      <c r="F72" s="41" t="s">
        <v>271</v>
      </c>
      <c r="G72" s="41">
        <v>69.0</v>
      </c>
      <c r="H72" s="41" t="s">
        <v>1363</v>
      </c>
      <c r="I72" s="41"/>
      <c r="J72" s="41" t="s">
        <v>1363</v>
      </c>
      <c r="K72" s="42" t="s">
        <v>1364</v>
      </c>
      <c r="L72" s="42" t="s">
        <v>1365</v>
      </c>
      <c r="M72" s="42" t="s">
        <v>1082</v>
      </c>
      <c r="N72" s="42">
        <v>0.0</v>
      </c>
      <c r="O72" s="42">
        <v>1.0</v>
      </c>
      <c r="P72" s="42">
        <v>2.0</v>
      </c>
      <c r="Q72" s="42" t="s">
        <v>995</v>
      </c>
      <c r="R72" s="42">
        <v>3.0</v>
      </c>
      <c r="S72" s="42">
        <v>0.0</v>
      </c>
      <c r="T72" s="42" t="s">
        <v>1366</v>
      </c>
      <c r="U72" s="42">
        <v>1.0</v>
      </c>
      <c r="V72" s="42">
        <v>8.0</v>
      </c>
      <c r="W72" s="42">
        <v>0.0</v>
      </c>
      <c r="X72" s="42">
        <v>100.0</v>
      </c>
      <c r="Y72" s="42">
        <v>0.0</v>
      </c>
    </row>
    <row r="73" ht="22.5" customHeight="1">
      <c r="A73" s="41"/>
      <c r="B73" s="41">
        <v>89.0</v>
      </c>
      <c r="C73" s="41" t="s">
        <v>271</v>
      </c>
      <c r="D73" s="41" t="s">
        <v>1367</v>
      </c>
      <c r="E73" s="41" t="s">
        <v>1367</v>
      </c>
      <c r="F73" s="41" t="s">
        <v>271</v>
      </c>
      <c r="G73" s="41">
        <v>70.0</v>
      </c>
      <c r="H73" s="41" t="s">
        <v>1368</v>
      </c>
      <c r="I73" s="41"/>
      <c r="J73" s="41" t="s">
        <v>1368</v>
      </c>
      <c r="K73" s="42" t="s">
        <v>1369</v>
      </c>
      <c r="L73" s="42" t="s">
        <v>1370</v>
      </c>
      <c r="N73" s="42">
        <v>0.0</v>
      </c>
      <c r="O73" s="42">
        <v>0.0</v>
      </c>
      <c r="P73" s="42">
        <v>2.0</v>
      </c>
      <c r="Q73" s="42" t="s">
        <v>995</v>
      </c>
      <c r="R73" s="42">
        <v>1.0</v>
      </c>
      <c r="S73" s="42">
        <v>0.0</v>
      </c>
      <c r="T73" s="42" t="s">
        <v>995</v>
      </c>
      <c r="U73" s="42">
        <v>0.0</v>
      </c>
      <c r="V73" s="42">
        <v>0.0</v>
      </c>
      <c r="W73" s="42">
        <v>0.0</v>
      </c>
      <c r="X73" s="42">
        <v>100.0</v>
      </c>
      <c r="Y73" s="42">
        <v>0.0</v>
      </c>
    </row>
    <row r="74" ht="22.5" customHeight="1">
      <c r="A74" s="41"/>
      <c r="B74" s="41">
        <v>90.0</v>
      </c>
      <c r="C74" s="41" t="s">
        <v>271</v>
      </c>
      <c r="D74" s="41" t="s">
        <v>1371</v>
      </c>
      <c r="E74" s="41" t="s">
        <v>1371</v>
      </c>
      <c r="F74" s="41" t="s">
        <v>271</v>
      </c>
      <c r="G74" s="41">
        <v>71.0</v>
      </c>
      <c r="H74" s="41" t="s">
        <v>1372</v>
      </c>
      <c r="I74" s="41"/>
      <c r="J74" s="41" t="s">
        <v>1372</v>
      </c>
      <c r="K74" s="42" t="s">
        <v>1373</v>
      </c>
      <c r="L74" s="42" t="s">
        <v>1374</v>
      </c>
      <c r="M74" s="42" t="s">
        <v>1130</v>
      </c>
      <c r="N74" s="42">
        <v>0.0</v>
      </c>
      <c r="O74" s="42">
        <v>1.0</v>
      </c>
      <c r="P74" s="42">
        <v>2.0</v>
      </c>
      <c r="Q74" s="42" t="s">
        <v>995</v>
      </c>
      <c r="R74" s="42">
        <v>5.0</v>
      </c>
      <c r="S74" s="42">
        <v>0.0</v>
      </c>
      <c r="T74" s="42" t="s">
        <v>1375</v>
      </c>
      <c r="U74" s="42">
        <v>1.0</v>
      </c>
      <c r="V74" s="42">
        <v>2.0</v>
      </c>
      <c r="W74" s="42">
        <v>0.0</v>
      </c>
      <c r="X74" s="42">
        <v>100.0</v>
      </c>
      <c r="Y74" s="42">
        <v>0.0</v>
      </c>
    </row>
    <row r="75" ht="22.5" customHeight="1">
      <c r="A75" s="41"/>
      <c r="B75" s="41">
        <v>92.0</v>
      </c>
      <c r="C75" s="41" t="s">
        <v>271</v>
      </c>
      <c r="D75" s="41" t="s">
        <v>1376</v>
      </c>
      <c r="E75" s="41" t="s">
        <v>1376</v>
      </c>
      <c r="F75" s="41" t="s">
        <v>271</v>
      </c>
      <c r="G75" s="41">
        <v>73.0</v>
      </c>
      <c r="H75" s="41" t="s">
        <v>1377</v>
      </c>
      <c r="I75" s="41"/>
      <c r="J75" s="41" t="s">
        <v>1377</v>
      </c>
      <c r="K75" s="42" t="s">
        <v>1378</v>
      </c>
      <c r="L75" s="42" t="s">
        <v>1379</v>
      </c>
      <c r="M75" s="42" t="s">
        <v>1380</v>
      </c>
      <c r="N75" s="42">
        <v>0.0</v>
      </c>
      <c r="O75" s="42">
        <v>1.0</v>
      </c>
      <c r="P75" s="42">
        <v>2.0</v>
      </c>
      <c r="Q75" s="42" t="s">
        <v>995</v>
      </c>
      <c r="R75" s="42">
        <v>6.0</v>
      </c>
      <c r="S75" s="42">
        <v>0.0</v>
      </c>
      <c r="T75" s="42" t="s">
        <v>1381</v>
      </c>
      <c r="U75" s="42">
        <v>1.0</v>
      </c>
      <c r="V75" s="42">
        <v>4.0</v>
      </c>
      <c r="W75" s="42">
        <v>1.0</v>
      </c>
      <c r="X75" s="42">
        <v>100.0</v>
      </c>
      <c r="Y75" s="42">
        <v>0.0</v>
      </c>
    </row>
    <row r="76" ht="22.5" customHeight="1">
      <c r="A76" s="41"/>
      <c r="B76" s="41">
        <v>94.0</v>
      </c>
      <c r="C76" s="41" t="s">
        <v>271</v>
      </c>
      <c r="D76" s="41" t="s">
        <v>1382</v>
      </c>
      <c r="E76" s="41" t="s">
        <v>1382</v>
      </c>
      <c r="F76" s="41" t="s">
        <v>271</v>
      </c>
      <c r="G76" s="41">
        <v>75.0</v>
      </c>
      <c r="H76" s="41" t="s">
        <v>1383</v>
      </c>
      <c r="I76" s="41"/>
      <c r="J76" s="41" t="s">
        <v>1384</v>
      </c>
      <c r="K76" s="42" t="s">
        <v>1385</v>
      </c>
      <c r="L76" s="42" t="s">
        <v>1386</v>
      </c>
      <c r="M76" s="42" t="s">
        <v>1043</v>
      </c>
      <c r="N76" s="42">
        <v>0.0</v>
      </c>
      <c r="O76" s="42">
        <v>1.0</v>
      </c>
      <c r="P76" s="42">
        <v>2.0</v>
      </c>
      <c r="Q76" s="42" t="s">
        <v>995</v>
      </c>
      <c r="R76" s="42">
        <v>5.0</v>
      </c>
      <c r="S76" s="42">
        <v>0.0</v>
      </c>
      <c r="T76" s="42" t="s">
        <v>1387</v>
      </c>
      <c r="U76" s="42">
        <v>1.0</v>
      </c>
      <c r="V76" s="42">
        <v>3.0</v>
      </c>
      <c r="W76" s="42">
        <v>0.0</v>
      </c>
      <c r="X76" s="42">
        <v>100.0</v>
      </c>
      <c r="Y76" s="42">
        <v>0.0</v>
      </c>
    </row>
    <row r="77" ht="22.5" customHeight="1">
      <c r="A77" s="41"/>
      <c r="B77" s="41">
        <v>95.0</v>
      </c>
      <c r="C77" s="41" t="s">
        <v>271</v>
      </c>
      <c r="D77" s="41" t="s">
        <v>1388</v>
      </c>
      <c r="E77" s="41" t="s">
        <v>1388</v>
      </c>
      <c r="F77" s="41" t="s">
        <v>271</v>
      </c>
      <c r="G77" s="41">
        <v>76.0</v>
      </c>
      <c r="H77" s="41" t="s">
        <v>1389</v>
      </c>
      <c r="I77" s="41"/>
      <c r="J77" s="41" t="s">
        <v>1389</v>
      </c>
      <c r="K77" s="42" t="s">
        <v>1390</v>
      </c>
      <c r="L77" s="42" t="s">
        <v>1391</v>
      </c>
      <c r="N77" s="42">
        <v>0.0</v>
      </c>
      <c r="O77" s="42">
        <v>0.0</v>
      </c>
      <c r="P77" s="42">
        <v>2.0</v>
      </c>
      <c r="Q77" s="42" t="s">
        <v>995</v>
      </c>
      <c r="R77" s="42">
        <v>1.0</v>
      </c>
      <c r="S77" s="42">
        <v>0.0</v>
      </c>
      <c r="T77" s="42" t="s">
        <v>995</v>
      </c>
      <c r="U77" s="42">
        <v>0.0</v>
      </c>
      <c r="V77" s="42">
        <v>0.0</v>
      </c>
      <c r="W77" s="42">
        <v>0.0</v>
      </c>
      <c r="X77" s="42">
        <v>100.0</v>
      </c>
      <c r="Y77" s="42">
        <v>0.0</v>
      </c>
    </row>
    <row r="78" ht="22.5" customHeight="1">
      <c r="A78" s="41"/>
      <c r="B78" s="41">
        <v>96.0</v>
      </c>
      <c r="C78" s="41" t="s">
        <v>271</v>
      </c>
      <c r="D78" s="41" t="s">
        <v>1392</v>
      </c>
      <c r="E78" s="41" t="s">
        <v>1392</v>
      </c>
      <c r="F78" s="41" t="s">
        <v>271</v>
      </c>
      <c r="G78" s="41">
        <v>77.0</v>
      </c>
      <c r="H78" s="41" t="s">
        <v>1393</v>
      </c>
      <c r="I78" s="41"/>
      <c r="J78" s="41" t="s">
        <v>1393</v>
      </c>
      <c r="K78" s="42" t="s">
        <v>1394</v>
      </c>
      <c r="L78" s="42" t="s">
        <v>1395</v>
      </c>
      <c r="N78" s="42">
        <v>0.0</v>
      </c>
      <c r="O78" s="42">
        <v>0.0</v>
      </c>
      <c r="P78" s="42">
        <v>2.0</v>
      </c>
      <c r="Q78" s="42" t="s">
        <v>995</v>
      </c>
      <c r="R78" s="42">
        <v>1.0</v>
      </c>
      <c r="S78" s="42">
        <v>0.0</v>
      </c>
      <c r="T78" s="42" t="s">
        <v>995</v>
      </c>
      <c r="U78" s="42">
        <v>0.0</v>
      </c>
      <c r="V78" s="42">
        <v>0.0</v>
      </c>
      <c r="W78" s="42">
        <v>0.0</v>
      </c>
      <c r="X78" s="42">
        <v>100.0</v>
      </c>
      <c r="Y78" s="42">
        <v>0.0</v>
      </c>
    </row>
    <row r="79" ht="22.5" customHeight="1">
      <c r="A79" s="41"/>
      <c r="B79" s="41">
        <v>97.0</v>
      </c>
      <c r="C79" s="41" t="s">
        <v>271</v>
      </c>
      <c r="D79" s="41" t="s">
        <v>1396</v>
      </c>
      <c r="E79" s="41" t="s">
        <v>1397</v>
      </c>
      <c r="F79" s="41" t="s">
        <v>271</v>
      </c>
      <c r="G79" s="41">
        <v>78.0</v>
      </c>
      <c r="H79" s="41" t="s">
        <v>1398</v>
      </c>
      <c r="I79" s="41"/>
      <c r="J79" s="41" t="s">
        <v>1398</v>
      </c>
      <c r="K79" s="42" t="s">
        <v>1399</v>
      </c>
      <c r="L79" s="42" t="s">
        <v>1400</v>
      </c>
      <c r="N79" s="42">
        <v>0.0</v>
      </c>
      <c r="O79" s="42">
        <v>0.0</v>
      </c>
      <c r="P79" s="42">
        <v>2.0</v>
      </c>
      <c r="Q79" s="42" t="s">
        <v>995</v>
      </c>
      <c r="R79" s="42">
        <v>1.0</v>
      </c>
      <c r="S79" s="42">
        <v>0.0</v>
      </c>
      <c r="T79" s="42" t="s">
        <v>995</v>
      </c>
      <c r="U79" s="42">
        <v>0.0</v>
      </c>
      <c r="V79" s="42">
        <v>0.0</v>
      </c>
      <c r="W79" s="42">
        <v>0.0</v>
      </c>
      <c r="X79" s="42">
        <v>100.0</v>
      </c>
      <c r="Y79" s="42">
        <v>0.0</v>
      </c>
    </row>
    <row r="80" ht="22.5" customHeight="1">
      <c r="A80" s="41"/>
      <c r="B80" s="41">
        <v>98.0</v>
      </c>
      <c r="C80" s="41" t="s">
        <v>271</v>
      </c>
      <c r="D80" s="41" t="s">
        <v>1401</v>
      </c>
      <c r="E80" s="41" t="s">
        <v>1401</v>
      </c>
      <c r="F80" s="41" t="s">
        <v>271</v>
      </c>
      <c r="G80" s="41">
        <v>79.0</v>
      </c>
      <c r="H80" s="41" t="s">
        <v>1402</v>
      </c>
      <c r="I80" s="41"/>
      <c r="J80" s="41" t="s">
        <v>1402</v>
      </c>
      <c r="K80" s="42" t="s">
        <v>1403</v>
      </c>
      <c r="L80" s="42" t="s">
        <v>1404</v>
      </c>
      <c r="N80" s="42">
        <v>0.0</v>
      </c>
      <c r="O80" s="42">
        <v>0.0</v>
      </c>
      <c r="P80" s="42">
        <v>2.0</v>
      </c>
      <c r="Q80" s="42">
        <v>1.0</v>
      </c>
      <c r="R80" s="42">
        <v>1.0</v>
      </c>
      <c r="S80" s="42">
        <v>0.0</v>
      </c>
      <c r="T80" s="42" t="s">
        <v>1405</v>
      </c>
      <c r="U80" s="42">
        <v>0.0</v>
      </c>
      <c r="V80" s="42">
        <v>0.0</v>
      </c>
      <c r="W80" s="42">
        <v>0.0</v>
      </c>
      <c r="X80" s="42">
        <v>100.0</v>
      </c>
      <c r="Y80" s="42">
        <v>0.0</v>
      </c>
    </row>
    <row r="81" ht="22.5" customHeight="1">
      <c r="A81" s="41"/>
      <c r="B81" s="41">
        <v>99.0</v>
      </c>
      <c r="C81" s="41" t="s">
        <v>271</v>
      </c>
      <c r="D81" s="41" t="s">
        <v>1406</v>
      </c>
      <c r="E81" s="41" t="s">
        <v>1407</v>
      </c>
      <c r="F81" s="41" t="s">
        <v>271</v>
      </c>
      <c r="G81" s="41">
        <v>80.0</v>
      </c>
      <c r="H81" s="41" t="s">
        <v>1408</v>
      </c>
      <c r="I81" s="41"/>
      <c r="J81" s="41" t="s">
        <v>1408</v>
      </c>
      <c r="K81" s="42" t="s">
        <v>1409</v>
      </c>
      <c r="L81" s="42" t="s">
        <v>1410</v>
      </c>
      <c r="N81" s="42">
        <v>0.0</v>
      </c>
      <c r="O81" s="42">
        <v>0.0</v>
      </c>
      <c r="P81" s="42">
        <v>2.0</v>
      </c>
      <c r="Q81" s="42" t="s">
        <v>995</v>
      </c>
      <c r="R81" s="42">
        <v>1.0</v>
      </c>
      <c r="S81" s="42">
        <v>0.0</v>
      </c>
      <c r="T81" s="42" t="s">
        <v>995</v>
      </c>
      <c r="U81" s="42">
        <v>0.0</v>
      </c>
      <c r="V81" s="42">
        <v>0.0</v>
      </c>
      <c r="W81" s="42">
        <v>0.0</v>
      </c>
      <c r="X81" s="42">
        <v>100.0</v>
      </c>
      <c r="Y81" s="42">
        <v>0.0</v>
      </c>
    </row>
    <row r="82" ht="22.5" customHeight="1">
      <c r="A82" s="41"/>
      <c r="B82" s="41">
        <v>100.0</v>
      </c>
      <c r="C82" s="41" t="s">
        <v>271</v>
      </c>
      <c r="D82" s="41" t="s">
        <v>1411</v>
      </c>
      <c r="E82" s="41" t="s">
        <v>1411</v>
      </c>
      <c r="F82" s="41" t="s">
        <v>271</v>
      </c>
      <c r="G82" s="41">
        <v>81.0</v>
      </c>
      <c r="H82" s="41" t="s">
        <v>1412</v>
      </c>
      <c r="I82" s="41"/>
      <c r="J82" s="41" t="s">
        <v>1412</v>
      </c>
      <c r="K82" s="42" t="s">
        <v>1413</v>
      </c>
      <c r="L82" s="42" t="s">
        <v>1414</v>
      </c>
      <c r="N82" s="42">
        <v>1.0</v>
      </c>
      <c r="O82" s="42">
        <v>0.0</v>
      </c>
      <c r="P82" s="42">
        <v>2.0</v>
      </c>
      <c r="Q82" s="42" t="s">
        <v>995</v>
      </c>
      <c r="R82" s="42">
        <v>1.0</v>
      </c>
      <c r="S82" s="42">
        <v>0.0</v>
      </c>
      <c r="T82" s="42" t="s">
        <v>995</v>
      </c>
      <c r="U82" s="42">
        <v>0.0</v>
      </c>
      <c r="V82" s="42">
        <v>0.0</v>
      </c>
      <c r="W82" s="42">
        <v>0.0</v>
      </c>
      <c r="X82" s="42">
        <v>100.0</v>
      </c>
      <c r="Y82" s="42">
        <v>0.0</v>
      </c>
    </row>
    <row r="83" ht="22.5" customHeight="1">
      <c r="A83" s="41"/>
      <c r="B83" s="41">
        <v>101.0</v>
      </c>
      <c r="C83" s="41" t="s">
        <v>271</v>
      </c>
      <c r="D83" s="41" t="s">
        <v>1415</v>
      </c>
      <c r="E83" s="41" t="s">
        <v>1415</v>
      </c>
      <c r="F83" s="41" t="s">
        <v>271</v>
      </c>
      <c r="G83" s="41">
        <v>82.0</v>
      </c>
      <c r="H83" s="41" t="s">
        <v>1416</v>
      </c>
      <c r="I83" s="41"/>
      <c r="J83" s="41" t="s">
        <v>1416</v>
      </c>
      <c r="K83" s="42" t="s">
        <v>1417</v>
      </c>
      <c r="L83" s="42" t="s">
        <v>1418</v>
      </c>
      <c r="N83" s="42">
        <v>1.0</v>
      </c>
      <c r="O83" s="42">
        <v>0.0</v>
      </c>
      <c r="P83" s="42">
        <v>2.0</v>
      </c>
      <c r="Q83" s="42" t="s">
        <v>995</v>
      </c>
      <c r="R83" s="42">
        <v>1.0</v>
      </c>
      <c r="S83" s="42">
        <v>0.0</v>
      </c>
      <c r="T83" s="42" t="s">
        <v>995</v>
      </c>
      <c r="U83" s="42">
        <v>0.0</v>
      </c>
      <c r="V83" s="42">
        <v>0.0</v>
      </c>
      <c r="W83" s="42">
        <v>0.0</v>
      </c>
      <c r="X83" s="42">
        <v>100.0</v>
      </c>
      <c r="Y83" s="42">
        <v>0.0</v>
      </c>
    </row>
    <row r="84" ht="22.5" customHeight="1">
      <c r="A84" s="41"/>
      <c r="B84" s="41">
        <v>102.0</v>
      </c>
      <c r="C84" s="41" t="s">
        <v>271</v>
      </c>
      <c r="D84" s="41" t="s">
        <v>1419</v>
      </c>
      <c r="E84" s="41" t="s">
        <v>1419</v>
      </c>
      <c r="F84" s="41" t="s">
        <v>271</v>
      </c>
      <c r="G84" s="41">
        <v>83.0</v>
      </c>
      <c r="H84" s="41" t="s">
        <v>1420</v>
      </c>
      <c r="I84" s="41"/>
      <c r="J84" s="41" t="s">
        <v>1420</v>
      </c>
      <c r="K84" s="42" t="s">
        <v>1421</v>
      </c>
      <c r="L84" s="42" t="s">
        <v>1422</v>
      </c>
      <c r="M84" s="42" t="s">
        <v>1082</v>
      </c>
      <c r="N84" s="42">
        <v>0.0</v>
      </c>
      <c r="O84" s="42">
        <v>1.0</v>
      </c>
      <c r="P84" s="42">
        <v>2.0</v>
      </c>
      <c r="Q84" s="42" t="s">
        <v>995</v>
      </c>
      <c r="R84" s="42">
        <v>6.0</v>
      </c>
      <c r="S84" s="42">
        <v>0.0</v>
      </c>
      <c r="T84" s="42" t="s">
        <v>1423</v>
      </c>
      <c r="U84" s="42">
        <v>1.0</v>
      </c>
      <c r="V84" s="42">
        <v>5.0</v>
      </c>
      <c r="W84" s="42">
        <v>0.0</v>
      </c>
      <c r="X84" s="42">
        <v>100.0</v>
      </c>
      <c r="Y84" s="42">
        <v>0.0</v>
      </c>
    </row>
    <row r="85" ht="22.5" customHeight="1">
      <c r="A85" s="41"/>
      <c r="B85" s="41">
        <v>103.0</v>
      </c>
      <c r="C85" s="41" t="s">
        <v>271</v>
      </c>
      <c r="D85" s="41" t="s">
        <v>1424</v>
      </c>
      <c r="E85" s="41" t="s">
        <v>1425</v>
      </c>
      <c r="F85" s="41" t="s">
        <v>271</v>
      </c>
      <c r="G85" s="41">
        <v>84.0</v>
      </c>
      <c r="H85" s="41" t="s">
        <v>1426</v>
      </c>
      <c r="I85" s="41"/>
      <c r="J85" s="41" t="s">
        <v>1426</v>
      </c>
      <c r="K85" s="42" t="s">
        <v>1427</v>
      </c>
      <c r="L85" s="42" t="s">
        <v>1428</v>
      </c>
      <c r="N85" s="42">
        <v>0.0</v>
      </c>
      <c r="O85" s="42">
        <v>0.0</v>
      </c>
      <c r="P85" s="42">
        <v>2.0</v>
      </c>
      <c r="Q85" s="42" t="s">
        <v>995</v>
      </c>
      <c r="R85" s="42">
        <v>1.0</v>
      </c>
      <c r="S85" s="42">
        <v>0.0</v>
      </c>
      <c r="T85" s="42" t="s">
        <v>995</v>
      </c>
      <c r="U85" s="42">
        <v>0.0</v>
      </c>
      <c r="V85" s="42">
        <v>5.0</v>
      </c>
      <c r="W85" s="42">
        <v>0.0</v>
      </c>
      <c r="X85" s="42">
        <v>100.0</v>
      </c>
      <c r="Y85" s="42">
        <v>0.0</v>
      </c>
    </row>
    <row r="86" ht="22.5" customHeight="1">
      <c r="A86" s="41"/>
      <c r="B86" s="41">
        <v>104.0</v>
      </c>
      <c r="C86" s="41" t="s">
        <v>271</v>
      </c>
      <c r="D86" s="41" t="s">
        <v>1382</v>
      </c>
      <c r="E86" s="41" t="s">
        <v>1382</v>
      </c>
      <c r="F86" s="41" t="s">
        <v>271</v>
      </c>
      <c r="G86" s="41">
        <v>85.0</v>
      </c>
      <c r="H86" s="41" t="s">
        <v>1429</v>
      </c>
      <c r="I86" s="41"/>
      <c r="J86" s="41" t="s">
        <v>1429</v>
      </c>
      <c r="K86" s="42" t="s">
        <v>1430</v>
      </c>
      <c r="L86" s="42" t="s">
        <v>1431</v>
      </c>
      <c r="N86" s="42">
        <v>0.0</v>
      </c>
      <c r="O86" s="42">
        <v>0.0</v>
      </c>
      <c r="P86" s="42">
        <v>2.0</v>
      </c>
      <c r="Q86" s="42" t="s">
        <v>995</v>
      </c>
      <c r="R86" s="42">
        <v>0.0</v>
      </c>
      <c r="S86" s="42">
        <v>0.0</v>
      </c>
      <c r="T86" s="42" t="s">
        <v>1432</v>
      </c>
      <c r="U86" s="42">
        <v>1.0</v>
      </c>
      <c r="V86" s="42">
        <v>0.0</v>
      </c>
      <c r="W86" s="42">
        <v>0.0</v>
      </c>
      <c r="X86" s="42">
        <v>100.0</v>
      </c>
      <c r="Y86" s="42">
        <v>0.0</v>
      </c>
    </row>
    <row r="87" ht="22.5" customHeight="1">
      <c r="A87" s="41"/>
      <c r="B87" s="41">
        <v>105.0</v>
      </c>
      <c r="C87" s="41" t="s">
        <v>271</v>
      </c>
      <c r="D87" s="41" t="s">
        <v>1433</v>
      </c>
      <c r="E87" s="41" t="s">
        <v>1433</v>
      </c>
      <c r="F87" s="41" t="s">
        <v>271</v>
      </c>
      <c r="G87" s="41">
        <v>86.0</v>
      </c>
      <c r="H87" s="41" t="s">
        <v>1434</v>
      </c>
      <c r="I87" s="41"/>
      <c r="J87" s="41" t="s">
        <v>1434</v>
      </c>
      <c r="K87" s="42" t="s">
        <v>1435</v>
      </c>
      <c r="L87" s="42" t="s">
        <v>1436</v>
      </c>
      <c r="M87" s="42" t="s">
        <v>1130</v>
      </c>
      <c r="N87" s="42">
        <v>0.0</v>
      </c>
      <c r="O87" s="42">
        <v>1.0</v>
      </c>
      <c r="P87" s="42">
        <v>2.0</v>
      </c>
      <c r="Q87" s="42" t="s">
        <v>995</v>
      </c>
      <c r="R87" s="42">
        <v>6.0</v>
      </c>
      <c r="S87" s="42">
        <v>0.0</v>
      </c>
      <c r="T87" s="42" t="s">
        <v>1437</v>
      </c>
      <c r="U87" s="42">
        <v>1.0</v>
      </c>
      <c r="V87" s="42">
        <v>4.0</v>
      </c>
      <c r="W87" s="42">
        <v>0.0</v>
      </c>
      <c r="X87" s="42">
        <v>100.0</v>
      </c>
      <c r="Y87" s="42">
        <v>0.0</v>
      </c>
    </row>
    <row r="88" ht="22.5" customHeight="1">
      <c r="A88" s="41"/>
      <c r="B88" s="41">
        <v>106.0</v>
      </c>
      <c r="C88" s="41" t="s">
        <v>271</v>
      </c>
      <c r="D88" s="41" t="s">
        <v>1438</v>
      </c>
      <c r="E88" s="41" t="s">
        <v>1438</v>
      </c>
      <c r="F88" s="41" t="s">
        <v>271</v>
      </c>
      <c r="G88" s="41">
        <v>87.0</v>
      </c>
      <c r="H88" s="41" t="s">
        <v>1439</v>
      </c>
      <c r="I88" s="41"/>
      <c r="J88" s="41" t="s">
        <v>1439</v>
      </c>
      <c r="K88" s="42" t="s">
        <v>1440</v>
      </c>
      <c r="L88" s="42" t="s">
        <v>1441</v>
      </c>
      <c r="N88" s="42">
        <v>1.0</v>
      </c>
      <c r="O88" s="42">
        <v>0.0</v>
      </c>
      <c r="P88" s="42">
        <v>2.0</v>
      </c>
      <c r="Q88" s="42" t="s">
        <v>995</v>
      </c>
      <c r="R88" s="42">
        <v>1.0</v>
      </c>
      <c r="S88" s="42">
        <v>0.0</v>
      </c>
      <c r="T88" s="42" t="s">
        <v>995</v>
      </c>
      <c r="U88" s="42">
        <v>0.0</v>
      </c>
      <c r="V88" s="42">
        <v>0.0</v>
      </c>
      <c r="W88" s="42">
        <v>0.0</v>
      </c>
      <c r="X88" s="42">
        <v>100.0</v>
      </c>
      <c r="Y88" s="42">
        <v>0.0</v>
      </c>
    </row>
    <row r="89" ht="22.5" customHeight="1">
      <c r="A89" s="41"/>
      <c r="B89" s="41">
        <v>108.0</v>
      </c>
      <c r="C89" s="41" t="s">
        <v>271</v>
      </c>
      <c r="D89" s="41" t="s">
        <v>1442</v>
      </c>
      <c r="E89" s="41" t="s">
        <v>1442</v>
      </c>
      <c r="F89" s="41" t="s">
        <v>271</v>
      </c>
      <c r="G89" s="41">
        <v>89.0</v>
      </c>
      <c r="H89" s="41" t="s">
        <v>1443</v>
      </c>
      <c r="I89" s="41"/>
      <c r="J89" s="41" t="s">
        <v>1443</v>
      </c>
      <c r="K89" s="42" t="s">
        <v>1444</v>
      </c>
      <c r="L89" s="42" t="s">
        <v>1445</v>
      </c>
      <c r="N89" s="42">
        <v>1.0</v>
      </c>
      <c r="O89" s="42">
        <v>0.0</v>
      </c>
      <c r="P89" s="42">
        <v>2.0</v>
      </c>
      <c r="Q89" s="42" t="s">
        <v>995</v>
      </c>
      <c r="R89" s="42">
        <v>1.0</v>
      </c>
      <c r="S89" s="42">
        <v>0.0</v>
      </c>
      <c r="T89" s="42" t="s">
        <v>995</v>
      </c>
      <c r="U89" s="42">
        <v>0.0</v>
      </c>
      <c r="V89" s="42">
        <v>0.0</v>
      </c>
      <c r="W89" s="42">
        <v>0.0</v>
      </c>
      <c r="X89" s="42">
        <v>100.0</v>
      </c>
      <c r="Y89" s="42">
        <v>0.0</v>
      </c>
    </row>
    <row r="90" ht="22.5" customHeight="1">
      <c r="A90" s="41"/>
      <c r="B90" s="41">
        <v>109.0</v>
      </c>
      <c r="C90" s="41" t="s">
        <v>271</v>
      </c>
      <c r="D90" s="41" t="s">
        <v>1446</v>
      </c>
      <c r="E90" s="41" t="s">
        <v>1446</v>
      </c>
      <c r="F90" s="41" t="s">
        <v>271</v>
      </c>
      <c r="G90" s="41">
        <v>90.0</v>
      </c>
      <c r="H90" s="41" t="s">
        <v>1447</v>
      </c>
      <c r="I90" s="41"/>
      <c r="J90" s="41" t="s">
        <v>1447</v>
      </c>
      <c r="K90" s="42" t="s">
        <v>1448</v>
      </c>
      <c r="L90" s="42" t="s">
        <v>1449</v>
      </c>
      <c r="N90" s="42">
        <v>1.0</v>
      </c>
      <c r="O90" s="42">
        <v>0.0</v>
      </c>
      <c r="P90" s="42">
        <v>2.0</v>
      </c>
      <c r="Q90" s="42" t="s">
        <v>995</v>
      </c>
      <c r="R90" s="42">
        <v>1.0</v>
      </c>
      <c r="S90" s="42">
        <v>0.0</v>
      </c>
      <c r="T90" s="42" t="s">
        <v>995</v>
      </c>
      <c r="U90" s="42">
        <v>0.0</v>
      </c>
      <c r="V90" s="42">
        <v>0.0</v>
      </c>
      <c r="W90" s="42">
        <v>0.0</v>
      </c>
      <c r="X90" s="42">
        <v>100.0</v>
      </c>
      <c r="Y90" s="42">
        <v>0.0</v>
      </c>
    </row>
    <row r="91" ht="22.5" customHeight="1">
      <c r="A91" s="41"/>
      <c r="B91" s="41">
        <v>113.0</v>
      </c>
      <c r="C91" s="41" t="s">
        <v>271</v>
      </c>
      <c r="D91" s="41" t="s">
        <v>1450</v>
      </c>
      <c r="E91" s="41" t="s">
        <v>1450</v>
      </c>
      <c r="F91" s="41" t="s">
        <v>271</v>
      </c>
      <c r="G91" s="41">
        <v>92.0</v>
      </c>
      <c r="H91" s="41" t="s">
        <v>1451</v>
      </c>
      <c r="I91" s="41"/>
      <c r="J91" s="41" t="s">
        <v>1451</v>
      </c>
      <c r="K91" s="42" t="s">
        <v>1452</v>
      </c>
      <c r="L91" s="42" t="s">
        <v>1453</v>
      </c>
      <c r="N91" s="42">
        <v>0.0</v>
      </c>
      <c r="O91" s="42">
        <v>0.0</v>
      </c>
      <c r="P91" s="42">
        <v>2.0</v>
      </c>
      <c r="Q91" s="42" t="s">
        <v>995</v>
      </c>
      <c r="R91" s="42">
        <v>1.0</v>
      </c>
      <c r="S91" s="42">
        <v>0.0</v>
      </c>
      <c r="T91" s="42" t="s">
        <v>1454</v>
      </c>
      <c r="U91" s="42">
        <v>0.0</v>
      </c>
      <c r="V91" s="42">
        <v>0.0</v>
      </c>
      <c r="W91" s="42">
        <v>0.0</v>
      </c>
      <c r="X91" s="42">
        <v>100.0</v>
      </c>
      <c r="Y91" s="42">
        <v>0.0</v>
      </c>
    </row>
    <row r="92" ht="22.5" customHeight="1">
      <c r="A92" s="41"/>
      <c r="B92" s="41">
        <v>114.0</v>
      </c>
      <c r="C92" s="41" t="s">
        <v>271</v>
      </c>
      <c r="D92" s="41" t="s">
        <v>1455</v>
      </c>
      <c r="E92" s="41" t="s">
        <v>1455</v>
      </c>
      <c r="F92" s="41" t="s">
        <v>271</v>
      </c>
      <c r="G92" s="41">
        <v>93.0</v>
      </c>
      <c r="H92" s="41" t="s">
        <v>1456</v>
      </c>
      <c r="I92" s="41"/>
      <c r="J92" s="41" t="s">
        <v>1456</v>
      </c>
      <c r="K92" s="42" t="s">
        <v>1457</v>
      </c>
      <c r="L92" s="42" t="s">
        <v>1458</v>
      </c>
      <c r="M92" s="42" t="s">
        <v>1043</v>
      </c>
      <c r="N92" s="42">
        <v>0.0</v>
      </c>
      <c r="O92" s="42">
        <v>1.0</v>
      </c>
      <c r="P92" s="42">
        <v>2.0</v>
      </c>
      <c r="Q92" s="42" t="s">
        <v>995</v>
      </c>
      <c r="R92" s="42">
        <v>10.0</v>
      </c>
      <c r="S92" s="42">
        <v>0.0</v>
      </c>
      <c r="T92" s="42" t="s">
        <v>1459</v>
      </c>
      <c r="U92" s="42">
        <v>1.0</v>
      </c>
      <c r="V92" s="42">
        <v>6.0</v>
      </c>
      <c r="W92" s="42">
        <v>0.0</v>
      </c>
      <c r="X92" s="42">
        <v>100.0</v>
      </c>
      <c r="Y92" s="42">
        <v>0.0</v>
      </c>
    </row>
    <row r="93" ht="22.5" customHeight="1">
      <c r="A93" s="41"/>
      <c r="B93" s="41">
        <v>116.0</v>
      </c>
      <c r="C93" s="41" t="s">
        <v>271</v>
      </c>
      <c r="D93" s="41" t="s">
        <v>1460</v>
      </c>
      <c r="E93" s="41" t="s">
        <v>1460</v>
      </c>
      <c r="F93" s="41" t="s">
        <v>271</v>
      </c>
      <c r="G93" s="41">
        <v>95.0</v>
      </c>
      <c r="H93" s="41" t="s">
        <v>1461</v>
      </c>
      <c r="I93" s="41"/>
      <c r="J93" s="41" t="s">
        <v>1461</v>
      </c>
      <c r="K93" s="42" t="s">
        <v>1462</v>
      </c>
      <c r="L93" s="42" t="s">
        <v>1463</v>
      </c>
      <c r="M93" s="42" t="s">
        <v>1028</v>
      </c>
      <c r="N93" s="42">
        <v>0.0</v>
      </c>
      <c r="O93" s="42">
        <v>1.0</v>
      </c>
      <c r="P93" s="42">
        <v>2.0</v>
      </c>
      <c r="Q93" s="42" t="s">
        <v>995</v>
      </c>
      <c r="R93" s="42">
        <v>3.0</v>
      </c>
      <c r="S93" s="42">
        <v>0.0</v>
      </c>
      <c r="T93" s="42" t="s">
        <v>1464</v>
      </c>
      <c r="U93" s="42">
        <v>1.0</v>
      </c>
      <c r="V93" s="42">
        <v>2.0</v>
      </c>
      <c r="W93" s="42">
        <v>0.0</v>
      </c>
      <c r="X93" s="42">
        <v>100.0</v>
      </c>
      <c r="Y93" s="42">
        <v>0.0</v>
      </c>
    </row>
    <row r="94" ht="22.5" customHeight="1">
      <c r="A94" s="41"/>
      <c r="B94" s="41">
        <v>117.0</v>
      </c>
      <c r="C94" s="41" t="s">
        <v>271</v>
      </c>
      <c r="D94" s="41" t="s">
        <v>1465</v>
      </c>
      <c r="E94" s="41" t="s">
        <v>1465</v>
      </c>
      <c r="F94" s="41" t="s">
        <v>271</v>
      </c>
      <c r="G94" s="41">
        <v>96.0</v>
      </c>
      <c r="H94" s="41" t="s">
        <v>1466</v>
      </c>
      <c r="I94" s="41"/>
      <c r="J94" s="41" t="s">
        <v>1466</v>
      </c>
      <c r="K94" s="42" t="s">
        <v>1467</v>
      </c>
      <c r="L94" s="42" t="s">
        <v>1468</v>
      </c>
      <c r="M94" s="42" t="s">
        <v>1028</v>
      </c>
      <c r="N94" s="42">
        <v>0.0</v>
      </c>
      <c r="O94" s="42">
        <v>1.0</v>
      </c>
      <c r="P94" s="42">
        <v>2.0</v>
      </c>
      <c r="Q94" s="42" t="s">
        <v>995</v>
      </c>
      <c r="R94" s="42">
        <v>6.0</v>
      </c>
      <c r="S94" s="42">
        <v>0.0</v>
      </c>
      <c r="T94" s="42" t="s">
        <v>1469</v>
      </c>
      <c r="U94" s="42">
        <v>1.0</v>
      </c>
      <c r="V94" s="42">
        <v>5.0</v>
      </c>
      <c r="W94" s="42">
        <v>0.0</v>
      </c>
      <c r="X94" s="42">
        <v>100.0</v>
      </c>
      <c r="Y94" s="42">
        <v>0.0</v>
      </c>
    </row>
    <row r="95" ht="22.5" customHeight="1">
      <c r="A95" s="41"/>
      <c r="B95" s="41">
        <v>118.0</v>
      </c>
      <c r="C95" s="41" t="s">
        <v>271</v>
      </c>
      <c r="D95" s="41" t="s">
        <v>1470</v>
      </c>
      <c r="E95" s="41" t="s">
        <v>1470</v>
      </c>
      <c r="F95" s="41" t="s">
        <v>271</v>
      </c>
      <c r="G95" s="41">
        <v>97.0</v>
      </c>
      <c r="H95" s="41" t="s">
        <v>1471</v>
      </c>
      <c r="I95" s="41"/>
      <c r="J95" s="41" t="s">
        <v>1471</v>
      </c>
      <c r="K95" s="42" t="s">
        <v>1472</v>
      </c>
      <c r="L95" s="42" t="s">
        <v>1473</v>
      </c>
      <c r="N95" s="42">
        <v>0.0</v>
      </c>
      <c r="O95" s="42">
        <v>0.0</v>
      </c>
      <c r="P95" s="42">
        <v>2.0</v>
      </c>
      <c r="Q95" s="42" t="s">
        <v>995</v>
      </c>
      <c r="R95" s="42">
        <v>1.0</v>
      </c>
      <c r="S95" s="42">
        <v>0.0</v>
      </c>
      <c r="T95" s="42" t="s">
        <v>995</v>
      </c>
      <c r="U95" s="42">
        <v>0.0</v>
      </c>
      <c r="V95" s="42">
        <v>0.0</v>
      </c>
      <c r="W95" s="42">
        <v>0.0</v>
      </c>
      <c r="X95" s="42">
        <v>100.0</v>
      </c>
      <c r="Y95" s="42">
        <v>0.0</v>
      </c>
    </row>
    <row r="96" ht="22.5" customHeight="1">
      <c r="A96" s="41"/>
      <c r="B96" s="41">
        <v>119.0</v>
      </c>
      <c r="C96" s="41" t="s">
        <v>271</v>
      </c>
      <c r="D96" s="41" t="s">
        <v>1474</v>
      </c>
      <c r="E96" s="41" t="s">
        <v>1474</v>
      </c>
      <c r="F96" s="41" t="s">
        <v>271</v>
      </c>
      <c r="G96" s="41">
        <v>98.0</v>
      </c>
      <c r="H96" s="41" t="s">
        <v>1475</v>
      </c>
      <c r="I96" s="41"/>
      <c r="J96" s="41" t="s">
        <v>1475</v>
      </c>
      <c r="K96" s="42" t="s">
        <v>1476</v>
      </c>
      <c r="L96" s="42" t="s">
        <v>1477</v>
      </c>
      <c r="N96" s="42">
        <v>0.0</v>
      </c>
      <c r="O96" s="42">
        <v>0.0</v>
      </c>
      <c r="P96" s="42">
        <v>2.0</v>
      </c>
      <c r="Q96" s="42" t="s">
        <v>995</v>
      </c>
      <c r="R96" s="42">
        <v>1.0</v>
      </c>
      <c r="S96" s="42">
        <v>0.0</v>
      </c>
      <c r="T96" s="42" t="s">
        <v>995</v>
      </c>
      <c r="U96" s="42">
        <v>0.0</v>
      </c>
      <c r="V96" s="42">
        <v>0.0</v>
      </c>
      <c r="W96" s="42">
        <v>0.0</v>
      </c>
      <c r="X96" s="42">
        <v>100.0</v>
      </c>
      <c r="Y96" s="42">
        <v>0.0</v>
      </c>
    </row>
    <row r="97" ht="22.5" customHeight="1">
      <c r="A97" s="41"/>
      <c r="B97" s="41">
        <v>120.0</v>
      </c>
      <c r="C97" s="41" t="s">
        <v>271</v>
      </c>
      <c r="D97" s="41" t="s">
        <v>1478</v>
      </c>
      <c r="E97" s="41" t="s">
        <v>1478</v>
      </c>
      <c r="F97" s="41" t="s">
        <v>271</v>
      </c>
      <c r="G97" s="41">
        <v>99.0</v>
      </c>
      <c r="H97" s="41" t="s">
        <v>1479</v>
      </c>
      <c r="I97" s="41"/>
      <c r="J97" s="41" t="s">
        <v>1479</v>
      </c>
      <c r="K97" s="42" t="s">
        <v>1480</v>
      </c>
      <c r="L97" s="42" t="s">
        <v>1481</v>
      </c>
      <c r="M97" s="42" t="s">
        <v>1082</v>
      </c>
      <c r="N97" s="42">
        <v>0.0</v>
      </c>
      <c r="O97" s="42">
        <v>1.0</v>
      </c>
      <c r="P97" s="42">
        <v>2.0</v>
      </c>
      <c r="Q97" s="42">
        <v>1.0</v>
      </c>
      <c r="R97" s="42">
        <v>6.0</v>
      </c>
      <c r="S97" s="42">
        <v>0.0</v>
      </c>
      <c r="T97" s="42" t="s">
        <v>1482</v>
      </c>
      <c r="U97" s="42">
        <v>1.0</v>
      </c>
      <c r="V97" s="42">
        <v>3.0</v>
      </c>
      <c r="W97" s="42">
        <v>0.0</v>
      </c>
      <c r="X97" s="42">
        <v>100.0</v>
      </c>
      <c r="Y97" s="42">
        <v>0.0</v>
      </c>
    </row>
    <row r="98" ht="22.5" customHeight="1">
      <c r="A98" s="41"/>
      <c r="B98" s="41">
        <v>121.0</v>
      </c>
      <c r="C98" s="41" t="s">
        <v>271</v>
      </c>
      <c r="D98" s="41" t="s">
        <v>1483</v>
      </c>
      <c r="E98" s="41" t="s">
        <v>1483</v>
      </c>
      <c r="F98" s="41" t="s">
        <v>271</v>
      </c>
      <c r="G98" s="41">
        <v>100.0</v>
      </c>
      <c r="H98" s="41" t="s">
        <v>1484</v>
      </c>
      <c r="I98" s="41"/>
      <c r="J98" s="41" t="s">
        <v>1484</v>
      </c>
      <c r="K98" s="42" t="s">
        <v>1485</v>
      </c>
      <c r="L98" s="42" t="s">
        <v>1486</v>
      </c>
      <c r="M98" s="42" t="s">
        <v>1082</v>
      </c>
      <c r="N98" s="42">
        <v>0.0</v>
      </c>
      <c r="O98" s="42">
        <v>1.0</v>
      </c>
      <c r="P98" s="42">
        <v>2.0</v>
      </c>
      <c r="Q98" s="42" t="s">
        <v>995</v>
      </c>
      <c r="R98" s="42">
        <v>12.0</v>
      </c>
      <c r="S98" s="42">
        <v>0.0</v>
      </c>
      <c r="T98" s="42" t="s">
        <v>1487</v>
      </c>
      <c r="U98" s="42">
        <v>1.0</v>
      </c>
      <c r="V98" s="42">
        <v>2.0</v>
      </c>
      <c r="W98" s="42">
        <v>0.0</v>
      </c>
      <c r="X98" s="42">
        <v>100.0</v>
      </c>
      <c r="Y98" s="42">
        <v>0.0</v>
      </c>
    </row>
    <row r="99" ht="22.5" customHeight="1">
      <c r="A99" s="41"/>
      <c r="B99" s="41">
        <v>122.0</v>
      </c>
      <c r="C99" s="41" t="s">
        <v>271</v>
      </c>
      <c r="D99" s="41" t="s">
        <v>1488</v>
      </c>
      <c r="E99" s="41" t="s">
        <v>1488</v>
      </c>
      <c r="F99" s="41" t="s">
        <v>271</v>
      </c>
      <c r="G99" s="41">
        <v>101.0</v>
      </c>
      <c r="H99" s="41" t="s">
        <v>1489</v>
      </c>
      <c r="I99" s="41"/>
      <c r="J99" s="41" t="s">
        <v>1489</v>
      </c>
      <c r="K99" s="42" t="s">
        <v>1490</v>
      </c>
      <c r="L99" s="42" t="s">
        <v>1491</v>
      </c>
      <c r="N99" s="42">
        <v>1.0</v>
      </c>
      <c r="O99" s="42">
        <v>0.0</v>
      </c>
      <c r="P99" s="42">
        <v>2.0</v>
      </c>
      <c r="Q99" s="42" t="s">
        <v>995</v>
      </c>
      <c r="R99" s="42">
        <v>1.0</v>
      </c>
      <c r="S99" s="42">
        <v>0.0</v>
      </c>
      <c r="T99" s="42" t="s">
        <v>995</v>
      </c>
      <c r="U99" s="42">
        <v>0.0</v>
      </c>
      <c r="V99" s="42">
        <v>0.0</v>
      </c>
      <c r="W99" s="42">
        <v>0.0</v>
      </c>
      <c r="X99" s="42">
        <v>100.0</v>
      </c>
      <c r="Y99" s="42">
        <v>0.0</v>
      </c>
    </row>
    <row r="100" ht="22.5" customHeight="1">
      <c r="A100" s="41"/>
      <c r="B100" s="41">
        <v>124.0</v>
      </c>
      <c r="C100" s="41" t="s">
        <v>271</v>
      </c>
      <c r="D100" s="41" t="s">
        <v>1492</v>
      </c>
      <c r="E100" s="41" t="s">
        <v>1492</v>
      </c>
      <c r="F100" s="41" t="s">
        <v>271</v>
      </c>
      <c r="G100" s="41">
        <v>102.0</v>
      </c>
      <c r="H100" s="41" t="s">
        <v>1493</v>
      </c>
      <c r="I100" s="41"/>
      <c r="J100" s="41" t="s">
        <v>1493</v>
      </c>
      <c r="K100" s="42" t="s">
        <v>1494</v>
      </c>
      <c r="L100" s="42" t="s">
        <v>1495</v>
      </c>
      <c r="N100" s="42">
        <v>0.0</v>
      </c>
      <c r="O100" s="42">
        <v>0.0</v>
      </c>
      <c r="P100" s="42">
        <v>2.0</v>
      </c>
      <c r="Q100" s="42" t="s">
        <v>995</v>
      </c>
      <c r="R100" s="42">
        <v>1.0</v>
      </c>
      <c r="S100" s="42">
        <v>0.0</v>
      </c>
      <c r="T100" s="42" t="s">
        <v>995</v>
      </c>
      <c r="U100" s="42">
        <v>0.0</v>
      </c>
      <c r="V100" s="42">
        <v>0.0</v>
      </c>
      <c r="W100" s="42">
        <v>0.0</v>
      </c>
      <c r="X100" s="42">
        <v>100.0</v>
      </c>
      <c r="Y100" s="42">
        <v>0.0</v>
      </c>
    </row>
    <row r="101" ht="22.5" customHeight="1">
      <c r="A101" s="41"/>
      <c r="B101" s="41">
        <v>126.0</v>
      </c>
      <c r="C101" s="41" t="s">
        <v>271</v>
      </c>
      <c r="D101" s="41" t="s">
        <v>1496</v>
      </c>
      <c r="E101" s="41" t="s">
        <v>1496</v>
      </c>
      <c r="F101" s="41" t="s">
        <v>271</v>
      </c>
      <c r="G101" s="41">
        <v>103.0</v>
      </c>
      <c r="H101" s="41" t="s">
        <v>1497</v>
      </c>
      <c r="I101" s="41"/>
      <c r="J101" s="41" t="s">
        <v>1497</v>
      </c>
      <c r="K101" s="42" t="s">
        <v>1498</v>
      </c>
      <c r="L101" s="42" t="s">
        <v>1499</v>
      </c>
      <c r="N101" s="42">
        <v>0.0</v>
      </c>
      <c r="O101" s="42">
        <v>0.0</v>
      </c>
      <c r="P101" s="42">
        <v>2.0</v>
      </c>
      <c r="Q101" s="42" t="s">
        <v>995</v>
      </c>
      <c r="R101" s="42">
        <v>1.0</v>
      </c>
      <c r="S101" s="42">
        <v>0.0</v>
      </c>
      <c r="T101" s="42" t="s">
        <v>995</v>
      </c>
      <c r="U101" s="42">
        <v>0.0</v>
      </c>
      <c r="V101" s="42">
        <v>0.0</v>
      </c>
      <c r="W101" s="42">
        <v>0.0</v>
      </c>
      <c r="X101" s="42">
        <v>100.0</v>
      </c>
      <c r="Y101" s="42">
        <v>0.0</v>
      </c>
    </row>
    <row r="102" ht="22.5" customHeight="1">
      <c r="A102" s="41"/>
      <c r="B102" s="41">
        <v>127.0</v>
      </c>
      <c r="C102" s="41" t="s">
        <v>271</v>
      </c>
      <c r="D102" s="41" t="s">
        <v>1500</v>
      </c>
      <c r="E102" s="41" t="s">
        <v>1500</v>
      </c>
      <c r="F102" s="41" t="s">
        <v>271</v>
      </c>
      <c r="G102" s="41">
        <v>104.0</v>
      </c>
      <c r="H102" s="41" t="s">
        <v>1501</v>
      </c>
      <c r="I102" s="41"/>
      <c r="J102" s="41" t="s">
        <v>1501</v>
      </c>
      <c r="K102" s="42" t="s">
        <v>1502</v>
      </c>
      <c r="L102" s="42" t="s">
        <v>1503</v>
      </c>
      <c r="M102" s="42" t="s">
        <v>1043</v>
      </c>
      <c r="N102" s="42">
        <v>0.0</v>
      </c>
      <c r="O102" s="42">
        <v>1.0</v>
      </c>
      <c r="P102" s="42">
        <v>2.0</v>
      </c>
      <c r="Q102" s="42" t="s">
        <v>995</v>
      </c>
      <c r="R102" s="42">
        <v>3.0</v>
      </c>
      <c r="S102" s="42">
        <v>0.0</v>
      </c>
      <c r="T102" s="42" t="s">
        <v>1504</v>
      </c>
      <c r="U102" s="42">
        <v>1.0</v>
      </c>
      <c r="V102" s="42">
        <v>1.0</v>
      </c>
      <c r="W102" s="42">
        <v>0.0</v>
      </c>
      <c r="X102" s="42">
        <v>100.0</v>
      </c>
      <c r="Y102" s="42">
        <v>0.0</v>
      </c>
    </row>
    <row r="103" ht="22.5" customHeight="1">
      <c r="A103" s="41"/>
      <c r="B103" s="41">
        <v>128.0</v>
      </c>
      <c r="C103" s="41" t="s">
        <v>271</v>
      </c>
      <c r="D103" s="41" t="s">
        <v>1505</v>
      </c>
      <c r="E103" s="41" t="s">
        <v>1505</v>
      </c>
      <c r="F103" s="41" t="s">
        <v>271</v>
      </c>
      <c r="G103" s="41">
        <v>105.0</v>
      </c>
      <c r="H103" s="41" t="s">
        <v>1506</v>
      </c>
      <c r="I103" s="41"/>
      <c r="J103" s="41" t="s">
        <v>1506</v>
      </c>
      <c r="K103" s="42" t="s">
        <v>1507</v>
      </c>
      <c r="L103" s="42" t="s">
        <v>1508</v>
      </c>
      <c r="N103" s="42">
        <v>0.0</v>
      </c>
      <c r="O103" s="42">
        <v>0.0</v>
      </c>
      <c r="P103" s="42">
        <v>2.0</v>
      </c>
      <c r="Q103" s="42" t="s">
        <v>995</v>
      </c>
      <c r="R103" s="42">
        <v>1.0</v>
      </c>
      <c r="S103" s="42">
        <v>0.0</v>
      </c>
      <c r="T103" s="42" t="s">
        <v>995</v>
      </c>
      <c r="U103" s="42">
        <v>0.0</v>
      </c>
      <c r="V103" s="42">
        <v>0.0</v>
      </c>
      <c r="W103" s="42">
        <v>0.0</v>
      </c>
      <c r="X103" s="42">
        <v>100.0</v>
      </c>
      <c r="Y103" s="42">
        <v>0.0</v>
      </c>
    </row>
    <row r="104" ht="22.5" customHeight="1">
      <c r="A104" s="41"/>
      <c r="B104" s="41">
        <v>129.0</v>
      </c>
      <c r="C104" s="41" t="s">
        <v>271</v>
      </c>
      <c r="D104" s="41" t="s">
        <v>1509</v>
      </c>
      <c r="E104" s="41" t="s">
        <v>1509</v>
      </c>
      <c r="F104" s="41" t="s">
        <v>271</v>
      </c>
      <c r="G104" s="41">
        <v>106.0</v>
      </c>
      <c r="H104" s="41" t="s">
        <v>1510</v>
      </c>
      <c r="I104" s="41"/>
      <c r="J104" s="41" t="s">
        <v>1510</v>
      </c>
      <c r="K104" s="42" t="s">
        <v>1511</v>
      </c>
      <c r="L104" s="42" t="s">
        <v>1512</v>
      </c>
      <c r="N104" s="42">
        <v>0.0</v>
      </c>
      <c r="O104" s="42">
        <v>0.0</v>
      </c>
      <c r="P104" s="42">
        <v>2.0</v>
      </c>
      <c r="Q104" s="42" t="s">
        <v>995</v>
      </c>
      <c r="R104" s="42">
        <v>1.0</v>
      </c>
      <c r="S104" s="42">
        <v>0.0</v>
      </c>
      <c r="T104" s="42" t="s">
        <v>995</v>
      </c>
      <c r="U104" s="42">
        <v>0.0</v>
      </c>
      <c r="V104" s="42">
        <v>0.0</v>
      </c>
      <c r="W104" s="42">
        <v>0.0</v>
      </c>
      <c r="X104" s="42">
        <v>100.0</v>
      </c>
      <c r="Y104" s="42">
        <v>0.0</v>
      </c>
    </row>
    <row r="105" ht="22.5" customHeight="1">
      <c r="A105" s="41"/>
      <c r="B105" s="41">
        <v>130.0</v>
      </c>
      <c r="C105" s="41" t="s">
        <v>271</v>
      </c>
      <c r="D105" s="41" t="s">
        <v>1513</v>
      </c>
      <c r="E105" s="41" t="s">
        <v>1513</v>
      </c>
      <c r="F105" s="41" t="s">
        <v>271</v>
      </c>
      <c r="G105" s="41">
        <v>107.0</v>
      </c>
      <c r="H105" s="41" t="s">
        <v>1514</v>
      </c>
      <c r="I105" s="41"/>
      <c r="J105" s="41" t="s">
        <v>1514</v>
      </c>
      <c r="K105" s="42" t="s">
        <v>1515</v>
      </c>
      <c r="L105" s="42" t="s">
        <v>1516</v>
      </c>
      <c r="M105" s="42" t="s">
        <v>1028</v>
      </c>
      <c r="N105" s="42">
        <v>0.0</v>
      </c>
      <c r="O105" s="42">
        <v>1.0</v>
      </c>
      <c r="P105" s="42">
        <v>2.0</v>
      </c>
      <c r="Q105" s="42" t="s">
        <v>995</v>
      </c>
      <c r="R105" s="42">
        <v>0.0</v>
      </c>
      <c r="S105" s="42">
        <v>0.0</v>
      </c>
      <c r="T105" s="42" t="s">
        <v>995</v>
      </c>
      <c r="U105" s="42">
        <v>0.0</v>
      </c>
      <c r="V105" s="42">
        <v>0.0</v>
      </c>
      <c r="W105" s="42">
        <v>0.0</v>
      </c>
      <c r="X105" s="42">
        <v>100.0</v>
      </c>
      <c r="Y105" s="42">
        <v>0.0</v>
      </c>
    </row>
    <row r="106" ht="22.5" customHeight="1">
      <c r="A106" s="41"/>
      <c r="B106" s="41">
        <v>132.0</v>
      </c>
      <c r="C106" s="41" t="s">
        <v>271</v>
      </c>
      <c r="D106" s="41" t="s">
        <v>1517</v>
      </c>
      <c r="E106" s="41" t="s">
        <v>1517</v>
      </c>
      <c r="F106" s="41" t="s">
        <v>271</v>
      </c>
      <c r="G106" s="41">
        <v>108.0</v>
      </c>
      <c r="H106" s="41" t="s">
        <v>1518</v>
      </c>
      <c r="I106" s="41"/>
      <c r="J106" s="41" t="s">
        <v>1518</v>
      </c>
      <c r="K106" s="42" t="s">
        <v>1519</v>
      </c>
      <c r="L106" s="42" t="s">
        <v>1520</v>
      </c>
      <c r="N106" s="42">
        <v>0.0</v>
      </c>
      <c r="O106" s="42">
        <v>0.0</v>
      </c>
      <c r="P106" s="42">
        <v>2.0</v>
      </c>
      <c r="Q106" s="42" t="s">
        <v>995</v>
      </c>
      <c r="R106" s="42">
        <v>1.0</v>
      </c>
      <c r="S106" s="42">
        <v>0.0</v>
      </c>
      <c r="T106" s="42" t="s">
        <v>995</v>
      </c>
      <c r="U106" s="42">
        <v>0.0</v>
      </c>
      <c r="V106" s="42">
        <v>0.0</v>
      </c>
      <c r="W106" s="42">
        <v>0.0</v>
      </c>
      <c r="X106" s="42">
        <v>100.0</v>
      </c>
      <c r="Y106" s="42">
        <v>0.0</v>
      </c>
    </row>
    <row r="107" ht="22.5" customHeight="1">
      <c r="A107" s="41"/>
      <c r="B107" s="41">
        <v>133.0</v>
      </c>
      <c r="C107" s="41" t="s">
        <v>271</v>
      </c>
      <c r="D107" s="41" t="s">
        <v>1521</v>
      </c>
      <c r="E107" s="41" t="s">
        <v>1521</v>
      </c>
      <c r="F107" s="41" t="s">
        <v>271</v>
      </c>
      <c r="G107" s="41">
        <v>109.0</v>
      </c>
      <c r="H107" s="41" t="s">
        <v>1522</v>
      </c>
      <c r="I107" s="41"/>
      <c r="J107" s="41" t="s">
        <v>1522</v>
      </c>
      <c r="K107" s="42" t="s">
        <v>1523</v>
      </c>
      <c r="L107" s="42" t="s">
        <v>1524</v>
      </c>
      <c r="M107" s="42" t="s">
        <v>1130</v>
      </c>
      <c r="N107" s="42">
        <v>0.0</v>
      </c>
      <c r="O107" s="42">
        <v>1.0</v>
      </c>
      <c r="P107" s="42">
        <v>2.0</v>
      </c>
      <c r="Q107" s="42" t="s">
        <v>995</v>
      </c>
      <c r="R107" s="42">
        <v>6.0</v>
      </c>
      <c r="S107" s="42">
        <v>0.0</v>
      </c>
      <c r="T107" s="42" t="s">
        <v>1525</v>
      </c>
      <c r="U107" s="42">
        <v>1.0</v>
      </c>
      <c r="V107" s="42">
        <v>6.0</v>
      </c>
      <c r="W107" s="42">
        <v>0.0</v>
      </c>
      <c r="X107" s="42">
        <v>100.0</v>
      </c>
      <c r="Y107" s="42">
        <v>0.0</v>
      </c>
    </row>
    <row r="108" ht="22.5" customHeight="1">
      <c r="A108" s="41"/>
      <c r="B108" s="41">
        <v>134.0</v>
      </c>
      <c r="C108" s="41" t="s">
        <v>271</v>
      </c>
      <c r="D108" s="41" t="s">
        <v>1526</v>
      </c>
      <c r="E108" s="41" t="s">
        <v>1526</v>
      </c>
      <c r="F108" s="41" t="s">
        <v>271</v>
      </c>
      <c r="G108" s="41">
        <v>110.0</v>
      </c>
      <c r="H108" s="41" t="s">
        <v>1527</v>
      </c>
      <c r="I108" s="41"/>
      <c r="J108" s="41" t="s">
        <v>1527</v>
      </c>
      <c r="K108" s="42" t="s">
        <v>1528</v>
      </c>
      <c r="L108" s="42" t="s">
        <v>1529</v>
      </c>
      <c r="N108" s="42">
        <v>0.0</v>
      </c>
      <c r="O108" s="42">
        <v>0.0</v>
      </c>
      <c r="P108" s="42">
        <v>2.0</v>
      </c>
      <c r="Q108" s="42" t="s">
        <v>995</v>
      </c>
      <c r="R108" s="42">
        <v>1.0</v>
      </c>
      <c r="S108" s="42">
        <v>0.0</v>
      </c>
      <c r="T108" s="42" t="s">
        <v>995</v>
      </c>
      <c r="U108" s="42">
        <v>0.0</v>
      </c>
      <c r="V108" s="42">
        <v>0.0</v>
      </c>
      <c r="W108" s="42">
        <v>0.0</v>
      </c>
      <c r="X108" s="42">
        <v>100.0</v>
      </c>
      <c r="Y108" s="42">
        <v>0.0</v>
      </c>
    </row>
    <row r="109" ht="22.5" customHeight="1">
      <c r="A109" s="41"/>
      <c r="B109" s="41">
        <v>135.0</v>
      </c>
      <c r="C109" s="41" t="s">
        <v>271</v>
      </c>
      <c r="D109" s="41" t="s">
        <v>1530</v>
      </c>
      <c r="E109" s="41" t="s">
        <v>1530</v>
      </c>
      <c r="F109" s="41" t="s">
        <v>271</v>
      </c>
      <c r="G109" s="41">
        <v>111.0</v>
      </c>
      <c r="H109" s="41" t="s">
        <v>1531</v>
      </c>
      <c r="I109" s="41"/>
      <c r="J109" s="41" t="s">
        <v>1531</v>
      </c>
      <c r="K109" s="42" t="s">
        <v>1532</v>
      </c>
      <c r="L109" s="42" t="s">
        <v>1533</v>
      </c>
      <c r="M109" s="42" t="s">
        <v>1082</v>
      </c>
      <c r="N109" s="42">
        <v>0.0</v>
      </c>
      <c r="O109" s="42">
        <v>1.0</v>
      </c>
      <c r="P109" s="42">
        <v>2.0</v>
      </c>
      <c r="Q109" s="42" t="s">
        <v>995</v>
      </c>
      <c r="R109" s="42">
        <v>6.0</v>
      </c>
      <c r="S109" s="42">
        <v>0.0</v>
      </c>
      <c r="T109" s="42" t="s">
        <v>1534</v>
      </c>
      <c r="U109" s="42">
        <v>1.0</v>
      </c>
      <c r="V109" s="42">
        <v>3.0</v>
      </c>
      <c r="W109" s="42">
        <v>0.0</v>
      </c>
      <c r="X109" s="42">
        <v>100.0</v>
      </c>
      <c r="Y109" s="42">
        <v>0.0</v>
      </c>
    </row>
    <row r="110" ht="22.5" customHeight="1">
      <c r="A110" s="41"/>
      <c r="B110" s="41">
        <v>136.0</v>
      </c>
      <c r="C110" s="41" t="s">
        <v>271</v>
      </c>
      <c r="D110" s="41" t="s">
        <v>1535</v>
      </c>
      <c r="E110" s="41" t="s">
        <v>1535</v>
      </c>
      <c r="F110" s="41" t="s">
        <v>271</v>
      </c>
      <c r="G110" s="41">
        <v>112.0</v>
      </c>
      <c r="H110" s="41" t="s">
        <v>1536</v>
      </c>
      <c r="I110" s="41"/>
      <c r="J110" s="41" t="s">
        <v>1536</v>
      </c>
      <c r="K110" s="42" t="s">
        <v>1537</v>
      </c>
      <c r="L110" s="42" t="s">
        <v>1538</v>
      </c>
      <c r="N110" s="42">
        <v>0.0</v>
      </c>
      <c r="O110" s="42">
        <v>0.0</v>
      </c>
      <c r="P110" s="42">
        <v>2.0</v>
      </c>
      <c r="Q110" s="42" t="s">
        <v>995</v>
      </c>
      <c r="R110" s="42">
        <v>1.0</v>
      </c>
      <c r="S110" s="42">
        <v>0.0</v>
      </c>
      <c r="T110" s="42" t="s">
        <v>995</v>
      </c>
      <c r="U110" s="42">
        <v>0.0</v>
      </c>
      <c r="V110" s="42">
        <v>0.0</v>
      </c>
      <c r="W110" s="42">
        <v>0.0</v>
      </c>
      <c r="X110" s="42">
        <v>100.0</v>
      </c>
      <c r="Y110" s="42">
        <v>0.0</v>
      </c>
    </row>
    <row r="111" ht="22.5" customHeight="1">
      <c r="A111" s="41"/>
      <c r="B111" s="41">
        <v>137.0</v>
      </c>
      <c r="C111" s="41" t="s">
        <v>271</v>
      </c>
      <c r="D111" s="41" t="s">
        <v>1539</v>
      </c>
      <c r="E111" s="41" t="s">
        <v>1539</v>
      </c>
      <c r="F111" s="41" t="s">
        <v>271</v>
      </c>
      <c r="G111" s="41">
        <v>113.0</v>
      </c>
      <c r="H111" s="41" t="s">
        <v>1540</v>
      </c>
      <c r="I111" s="41"/>
      <c r="J111" s="41" t="s">
        <v>1540</v>
      </c>
      <c r="K111" s="42" t="s">
        <v>1541</v>
      </c>
      <c r="L111" s="42" t="s">
        <v>1542</v>
      </c>
      <c r="N111" s="42">
        <v>0.0</v>
      </c>
      <c r="O111" s="42">
        <v>0.0</v>
      </c>
      <c r="P111" s="42">
        <v>2.0</v>
      </c>
      <c r="Q111" s="42" t="s">
        <v>995</v>
      </c>
      <c r="R111" s="42">
        <v>1.0</v>
      </c>
      <c r="S111" s="42">
        <v>0.0</v>
      </c>
      <c r="T111" s="42" t="s">
        <v>1543</v>
      </c>
      <c r="U111" s="42">
        <v>0.0</v>
      </c>
      <c r="V111" s="42">
        <v>3.0</v>
      </c>
      <c r="W111" s="42">
        <v>0.0</v>
      </c>
      <c r="X111" s="42">
        <v>100.0</v>
      </c>
      <c r="Y111" s="42">
        <v>0.0</v>
      </c>
    </row>
    <row r="112" ht="22.5" customHeight="1">
      <c r="A112" s="41"/>
      <c r="B112" s="41">
        <v>138.0</v>
      </c>
      <c r="C112" s="41" t="s">
        <v>271</v>
      </c>
      <c r="D112" s="41" t="s">
        <v>1544</v>
      </c>
      <c r="E112" s="41" t="s">
        <v>1544</v>
      </c>
      <c r="F112" s="41" t="s">
        <v>271</v>
      </c>
      <c r="G112" s="41">
        <v>114.0</v>
      </c>
      <c r="H112" s="41" t="s">
        <v>1545</v>
      </c>
      <c r="I112" s="41"/>
      <c r="J112" s="41" t="s">
        <v>1545</v>
      </c>
      <c r="K112" s="42" t="s">
        <v>1546</v>
      </c>
      <c r="L112" s="42" t="s">
        <v>1547</v>
      </c>
      <c r="M112" s="42" t="s">
        <v>1043</v>
      </c>
      <c r="N112" s="42">
        <v>0.0</v>
      </c>
      <c r="O112" s="42">
        <v>1.0</v>
      </c>
      <c r="P112" s="42">
        <v>2.0</v>
      </c>
      <c r="Q112" s="42" t="s">
        <v>995</v>
      </c>
      <c r="R112" s="42">
        <v>3.0</v>
      </c>
      <c r="S112" s="42">
        <v>0.0</v>
      </c>
      <c r="T112" s="42" t="s">
        <v>1548</v>
      </c>
      <c r="U112" s="42">
        <v>1.0</v>
      </c>
      <c r="V112" s="42">
        <v>5.0</v>
      </c>
      <c r="W112" s="42">
        <v>0.0</v>
      </c>
      <c r="X112" s="42">
        <v>100.0</v>
      </c>
      <c r="Y112" s="42">
        <v>0.0</v>
      </c>
    </row>
    <row r="113" ht="22.5" customHeight="1">
      <c r="A113" s="41"/>
      <c r="B113" s="41">
        <v>139.0</v>
      </c>
      <c r="C113" s="41" t="s">
        <v>271</v>
      </c>
      <c r="D113" s="41" t="s">
        <v>1549</v>
      </c>
      <c r="E113" s="41" t="s">
        <v>1549</v>
      </c>
      <c r="F113" s="41" t="s">
        <v>271</v>
      </c>
      <c r="G113" s="41">
        <v>115.0</v>
      </c>
      <c r="H113" s="41" t="s">
        <v>1550</v>
      </c>
      <c r="I113" s="41"/>
      <c r="J113" s="41" t="s">
        <v>1550</v>
      </c>
      <c r="K113" s="42" t="s">
        <v>1551</v>
      </c>
      <c r="L113" s="42" t="s">
        <v>1552</v>
      </c>
      <c r="N113" s="42">
        <v>1.0</v>
      </c>
      <c r="O113" s="42">
        <v>0.0</v>
      </c>
      <c r="P113" s="42">
        <v>2.0</v>
      </c>
      <c r="Q113" s="42" t="s">
        <v>995</v>
      </c>
      <c r="R113" s="42">
        <v>1.0</v>
      </c>
      <c r="S113" s="42">
        <v>0.0</v>
      </c>
      <c r="T113" s="42" t="s">
        <v>995</v>
      </c>
      <c r="U113" s="42">
        <v>0.0</v>
      </c>
      <c r="V113" s="42">
        <v>0.0</v>
      </c>
      <c r="W113" s="42">
        <v>0.0</v>
      </c>
      <c r="X113" s="42">
        <v>100.0</v>
      </c>
      <c r="Y113" s="42">
        <v>0.0</v>
      </c>
    </row>
    <row r="114" ht="22.5" customHeight="1">
      <c r="A114" s="41"/>
      <c r="B114" s="41">
        <v>140.0</v>
      </c>
      <c r="C114" s="41" t="s">
        <v>271</v>
      </c>
      <c r="D114" s="41" t="s">
        <v>1553</v>
      </c>
      <c r="E114" s="41" t="s">
        <v>1553</v>
      </c>
      <c r="F114" s="41" t="s">
        <v>271</v>
      </c>
      <c r="G114" s="41">
        <v>116.0</v>
      </c>
      <c r="H114" s="41" t="s">
        <v>1554</v>
      </c>
      <c r="I114" s="41"/>
      <c r="J114" s="41" t="s">
        <v>1554</v>
      </c>
      <c r="K114" s="42" t="s">
        <v>1555</v>
      </c>
      <c r="L114" s="42" t="s">
        <v>1556</v>
      </c>
      <c r="M114" s="42" t="s">
        <v>1557</v>
      </c>
      <c r="N114" s="42">
        <v>0.0</v>
      </c>
      <c r="O114" s="42">
        <v>1.0</v>
      </c>
      <c r="P114" s="42">
        <v>2.0</v>
      </c>
      <c r="Q114" s="42" t="s">
        <v>995</v>
      </c>
      <c r="R114" s="42">
        <v>6.0</v>
      </c>
      <c r="S114" s="42">
        <v>0.0</v>
      </c>
      <c r="T114" s="42" t="s">
        <v>1558</v>
      </c>
      <c r="U114" s="42">
        <v>1.0</v>
      </c>
      <c r="V114" s="42">
        <v>6.0</v>
      </c>
      <c r="W114" s="42">
        <v>0.0</v>
      </c>
      <c r="X114" s="42">
        <v>100.0</v>
      </c>
      <c r="Y114" s="42">
        <v>0.0</v>
      </c>
    </row>
    <row r="115" ht="22.5" customHeight="1">
      <c r="A115" s="41"/>
      <c r="B115" s="41">
        <v>142.0</v>
      </c>
      <c r="C115" s="41" t="s">
        <v>271</v>
      </c>
      <c r="D115" s="41" t="s">
        <v>1559</v>
      </c>
      <c r="E115" s="41" t="s">
        <v>1559</v>
      </c>
      <c r="F115" s="41" t="s">
        <v>271</v>
      </c>
      <c r="G115" s="41">
        <v>118.0</v>
      </c>
      <c r="H115" s="41" t="s">
        <v>1560</v>
      </c>
      <c r="I115" s="41"/>
      <c r="J115" s="41" t="s">
        <v>1560</v>
      </c>
      <c r="K115" s="42" t="s">
        <v>1561</v>
      </c>
      <c r="L115" s="42" t="s">
        <v>1562</v>
      </c>
      <c r="N115" s="42">
        <v>0.0</v>
      </c>
      <c r="O115" s="42">
        <v>0.0</v>
      </c>
      <c r="P115" s="42">
        <v>2.0</v>
      </c>
      <c r="Q115" s="42" t="s">
        <v>995</v>
      </c>
      <c r="R115" s="42">
        <v>1.0</v>
      </c>
      <c r="S115" s="42">
        <v>0.0</v>
      </c>
      <c r="T115" s="42" t="s">
        <v>1563</v>
      </c>
      <c r="U115" s="42">
        <v>0.0</v>
      </c>
      <c r="V115" s="42">
        <v>0.0</v>
      </c>
      <c r="W115" s="42">
        <v>0.0</v>
      </c>
      <c r="X115" s="42">
        <v>100.0</v>
      </c>
      <c r="Y115" s="42">
        <v>0.0</v>
      </c>
    </row>
    <row r="116" ht="22.5" customHeight="1">
      <c r="A116" s="41"/>
      <c r="B116" s="41">
        <v>143.0</v>
      </c>
      <c r="C116" s="41" t="s">
        <v>271</v>
      </c>
      <c r="D116" s="41" t="s">
        <v>1564</v>
      </c>
      <c r="E116" s="41" t="s">
        <v>1564</v>
      </c>
      <c r="F116" s="41" t="s">
        <v>271</v>
      </c>
      <c r="G116" s="41">
        <v>119.0</v>
      </c>
      <c r="H116" s="41" t="s">
        <v>1565</v>
      </c>
      <c r="I116" s="41"/>
      <c r="J116" s="41" t="s">
        <v>1565</v>
      </c>
      <c r="K116" s="42" t="s">
        <v>1566</v>
      </c>
      <c r="L116" s="42" t="s">
        <v>1567</v>
      </c>
      <c r="M116" s="42" t="s">
        <v>1568</v>
      </c>
      <c r="N116" s="42">
        <v>0.0</v>
      </c>
      <c r="O116" s="42">
        <v>1.0</v>
      </c>
      <c r="P116" s="42">
        <v>2.0</v>
      </c>
      <c r="Q116" s="42" t="s">
        <v>995</v>
      </c>
      <c r="R116" s="42">
        <v>5.0</v>
      </c>
      <c r="S116" s="42">
        <v>0.0</v>
      </c>
      <c r="T116" s="42" t="s">
        <v>1569</v>
      </c>
      <c r="U116" s="42">
        <v>1.0</v>
      </c>
      <c r="V116" s="42">
        <v>8.0</v>
      </c>
      <c r="W116" s="42">
        <v>0.0</v>
      </c>
      <c r="X116" s="42">
        <v>100.0</v>
      </c>
      <c r="Y116" s="42">
        <v>0.0</v>
      </c>
    </row>
    <row r="117" ht="22.5" customHeight="1">
      <c r="A117" s="41"/>
      <c r="B117" s="41">
        <v>144.0</v>
      </c>
      <c r="C117" s="41" t="s">
        <v>271</v>
      </c>
      <c r="D117" s="41" t="s">
        <v>1570</v>
      </c>
      <c r="E117" s="41" t="s">
        <v>1570</v>
      </c>
      <c r="F117" s="41" t="s">
        <v>271</v>
      </c>
      <c r="G117" s="41">
        <v>120.0</v>
      </c>
      <c r="H117" s="41" t="s">
        <v>1571</v>
      </c>
      <c r="I117" s="41"/>
      <c r="J117" s="41" t="s">
        <v>1571</v>
      </c>
      <c r="K117" s="42" t="s">
        <v>1572</v>
      </c>
      <c r="L117" s="42" t="s">
        <v>1573</v>
      </c>
      <c r="N117" s="42">
        <v>0.0</v>
      </c>
      <c r="O117" s="42">
        <v>0.0</v>
      </c>
      <c r="P117" s="42">
        <v>2.0</v>
      </c>
      <c r="Q117" s="42" t="s">
        <v>995</v>
      </c>
      <c r="R117" s="42">
        <v>1.0</v>
      </c>
      <c r="S117" s="42">
        <v>0.0</v>
      </c>
      <c r="T117" s="42" t="s">
        <v>995</v>
      </c>
      <c r="U117" s="42">
        <v>0.0</v>
      </c>
      <c r="V117" s="42">
        <v>0.0</v>
      </c>
      <c r="W117" s="42">
        <v>0.0</v>
      </c>
      <c r="X117" s="42">
        <v>100.0</v>
      </c>
      <c r="Y117" s="42">
        <v>0.0</v>
      </c>
    </row>
    <row r="118" ht="22.5" customHeight="1">
      <c r="A118" s="41"/>
      <c r="B118" s="41">
        <v>146.0</v>
      </c>
      <c r="C118" s="41" t="s">
        <v>271</v>
      </c>
      <c r="D118" s="41" t="s">
        <v>1574</v>
      </c>
      <c r="E118" s="41" t="s">
        <v>1574</v>
      </c>
      <c r="F118" s="41" t="s">
        <v>271</v>
      </c>
      <c r="G118" s="41">
        <v>122.0</v>
      </c>
      <c r="H118" s="41" t="s">
        <v>1575</v>
      </c>
      <c r="I118" s="41"/>
      <c r="J118" s="41" t="s">
        <v>1575</v>
      </c>
      <c r="K118" s="42" t="s">
        <v>1576</v>
      </c>
      <c r="L118" s="42" t="s">
        <v>1577</v>
      </c>
      <c r="N118" s="42">
        <v>1.0</v>
      </c>
      <c r="O118" s="42">
        <v>0.0</v>
      </c>
      <c r="P118" s="42">
        <v>2.0</v>
      </c>
      <c r="Q118" s="42" t="s">
        <v>995</v>
      </c>
      <c r="R118" s="42">
        <v>1.0</v>
      </c>
      <c r="S118" s="42">
        <v>0.0</v>
      </c>
      <c r="T118" s="42" t="s">
        <v>995</v>
      </c>
      <c r="U118" s="42">
        <v>0.0</v>
      </c>
      <c r="V118" s="42">
        <v>0.0</v>
      </c>
      <c r="W118" s="42">
        <v>0.0</v>
      </c>
      <c r="X118" s="42">
        <v>100.0</v>
      </c>
      <c r="Y118" s="42">
        <v>0.0</v>
      </c>
    </row>
    <row r="119" ht="22.5" customHeight="1">
      <c r="A119" s="41"/>
      <c r="B119" s="41">
        <v>149.0</v>
      </c>
      <c r="C119" s="41" t="s">
        <v>271</v>
      </c>
      <c r="D119" s="41" t="s">
        <v>1578</v>
      </c>
      <c r="E119" s="41" t="s">
        <v>1578</v>
      </c>
      <c r="F119" s="41" t="s">
        <v>271</v>
      </c>
      <c r="G119" s="41">
        <v>123.0</v>
      </c>
      <c r="H119" s="41" t="s">
        <v>1579</v>
      </c>
      <c r="I119" s="41"/>
      <c r="J119" s="41" t="s">
        <v>1579</v>
      </c>
      <c r="K119" s="42" t="s">
        <v>1580</v>
      </c>
      <c r="L119" s="42" t="s">
        <v>1581</v>
      </c>
      <c r="N119" s="42">
        <v>0.0</v>
      </c>
      <c r="O119" s="42">
        <v>0.0</v>
      </c>
      <c r="P119" s="42">
        <v>2.0</v>
      </c>
      <c r="Q119" s="42" t="s">
        <v>995</v>
      </c>
      <c r="R119" s="42">
        <v>1.0</v>
      </c>
      <c r="S119" s="42">
        <v>0.0</v>
      </c>
      <c r="T119" s="42" t="s">
        <v>995</v>
      </c>
      <c r="U119" s="42">
        <v>0.0</v>
      </c>
      <c r="V119" s="42">
        <v>0.0</v>
      </c>
      <c r="W119" s="42">
        <v>0.0</v>
      </c>
      <c r="X119" s="42">
        <v>100.0</v>
      </c>
      <c r="Y119" s="42">
        <v>0.0</v>
      </c>
    </row>
    <row r="120" ht="22.5" customHeight="1">
      <c r="A120" s="41"/>
      <c r="B120" s="41">
        <v>150.0</v>
      </c>
      <c r="C120" s="41" t="s">
        <v>271</v>
      </c>
      <c r="D120" s="41" t="s">
        <v>1582</v>
      </c>
      <c r="E120" s="41" t="s">
        <v>1582</v>
      </c>
      <c r="F120" s="41" t="s">
        <v>271</v>
      </c>
      <c r="G120" s="41">
        <v>124.0</v>
      </c>
      <c r="H120" s="41" t="s">
        <v>1583</v>
      </c>
      <c r="I120" s="41"/>
      <c r="J120" s="41" t="s">
        <v>1583</v>
      </c>
      <c r="K120" s="42" t="s">
        <v>1584</v>
      </c>
      <c r="L120" s="42" t="s">
        <v>1585</v>
      </c>
      <c r="N120" s="42">
        <v>1.0</v>
      </c>
      <c r="O120" s="42">
        <v>0.0</v>
      </c>
      <c r="P120" s="42">
        <v>2.0</v>
      </c>
      <c r="Q120" s="42">
        <v>0.0</v>
      </c>
      <c r="R120" s="42">
        <v>1.0</v>
      </c>
      <c r="S120" s="42">
        <v>0.0</v>
      </c>
      <c r="T120" s="42" t="s">
        <v>995</v>
      </c>
      <c r="U120" s="42">
        <v>0.0</v>
      </c>
      <c r="V120" s="42">
        <v>0.0</v>
      </c>
      <c r="W120" s="42">
        <v>0.0</v>
      </c>
      <c r="X120" s="42">
        <v>100.0</v>
      </c>
      <c r="Y120" s="42">
        <v>0.0</v>
      </c>
    </row>
    <row r="121" ht="22.5" customHeight="1">
      <c r="A121" s="41"/>
      <c r="B121" s="41">
        <v>152.0</v>
      </c>
      <c r="C121" s="41" t="s">
        <v>271</v>
      </c>
      <c r="D121" s="41" t="s">
        <v>1586</v>
      </c>
      <c r="E121" s="41" t="s">
        <v>1586</v>
      </c>
      <c r="F121" s="41" t="s">
        <v>271</v>
      </c>
      <c r="G121" s="41">
        <v>125.0</v>
      </c>
      <c r="H121" s="41" t="s">
        <v>1587</v>
      </c>
      <c r="I121" s="41"/>
      <c r="J121" s="41" t="s">
        <v>1587</v>
      </c>
      <c r="K121" s="42" t="s">
        <v>1588</v>
      </c>
      <c r="L121" s="42" t="s">
        <v>1589</v>
      </c>
      <c r="N121" s="42">
        <v>0.0</v>
      </c>
      <c r="O121" s="42">
        <v>0.0</v>
      </c>
      <c r="P121" s="42">
        <v>2.0</v>
      </c>
      <c r="Q121" s="42">
        <v>0.0</v>
      </c>
      <c r="R121" s="42">
        <v>1.0</v>
      </c>
      <c r="S121" s="42">
        <v>0.0</v>
      </c>
      <c r="T121" s="42" t="s">
        <v>995</v>
      </c>
      <c r="U121" s="42">
        <v>0.0</v>
      </c>
      <c r="V121" s="42">
        <v>0.0</v>
      </c>
      <c r="W121" s="42">
        <v>0.0</v>
      </c>
      <c r="X121" s="42">
        <v>100.0</v>
      </c>
      <c r="Y121" s="42">
        <v>0.0</v>
      </c>
    </row>
    <row r="122" ht="22.5" customHeight="1">
      <c r="A122" s="41"/>
      <c r="B122" s="41">
        <v>153.0</v>
      </c>
      <c r="C122" s="41" t="s">
        <v>271</v>
      </c>
      <c r="D122" s="41" t="s">
        <v>1590</v>
      </c>
      <c r="E122" s="41" t="s">
        <v>1590</v>
      </c>
      <c r="F122" s="41" t="s">
        <v>271</v>
      </c>
      <c r="G122" s="41">
        <v>126.0</v>
      </c>
      <c r="H122" s="41" t="s">
        <v>1591</v>
      </c>
      <c r="I122" s="41"/>
      <c r="J122" s="41" t="s">
        <v>1591</v>
      </c>
      <c r="K122" s="42" t="s">
        <v>1592</v>
      </c>
      <c r="L122" s="42" t="s">
        <v>1593</v>
      </c>
      <c r="M122" s="42" t="s">
        <v>1043</v>
      </c>
      <c r="N122" s="42">
        <v>0.0</v>
      </c>
      <c r="O122" s="42">
        <v>1.0</v>
      </c>
      <c r="P122" s="42">
        <v>2.0</v>
      </c>
      <c r="Q122" s="42">
        <v>0.0</v>
      </c>
      <c r="R122" s="42">
        <v>3.0</v>
      </c>
      <c r="S122" s="42">
        <v>0.0</v>
      </c>
      <c r="T122" s="42" t="s">
        <v>1594</v>
      </c>
      <c r="U122" s="42">
        <v>1.0</v>
      </c>
      <c r="V122" s="42">
        <v>8.0</v>
      </c>
      <c r="W122" s="42">
        <v>0.0</v>
      </c>
      <c r="X122" s="42">
        <v>100.0</v>
      </c>
      <c r="Y122" s="42">
        <v>0.0</v>
      </c>
    </row>
    <row r="123" ht="22.5" customHeight="1">
      <c r="A123" s="41"/>
      <c r="B123" s="41">
        <v>155.0</v>
      </c>
      <c r="C123" s="41" t="s">
        <v>271</v>
      </c>
      <c r="D123" s="41" t="s">
        <v>1595</v>
      </c>
      <c r="E123" s="41" t="s">
        <v>1595</v>
      </c>
      <c r="F123" s="41" t="s">
        <v>271</v>
      </c>
      <c r="G123" s="41">
        <v>127.0</v>
      </c>
      <c r="H123" s="41" t="s">
        <v>1596</v>
      </c>
      <c r="I123" s="41"/>
      <c r="J123" s="41" t="s">
        <v>1596</v>
      </c>
      <c r="K123" s="42" t="s">
        <v>1597</v>
      </c>
      <c r="L123" s="42" t="s">
        <v>1598</v>
      </c>
      <c r="N123" s="42">
        <v>0.0</v>
      </c>
      <c r="O123" s="42">
        <v>0.0</v>
      </c>
      <c r="P123" s="42">
        <v>2.0</v>
      </c>
      <c r="Q123" s="42">
        <v>0.0</v>
      </c>
      <c r="R123" s="42">
        <v>1.0</v>
      </c>
      <c r="S123" s="42">
        <v>0.0</v>
      </c>
      <c r="T123" s="42" t="s">
        <v>995</v>
      </c>
      <c r="U123" s="42">
        <v>0.0</v>
      </c>
      <c r="V123" s="42">
        <v>0.0</v>
      </c>
      <c r="W123" s="42">
        <v>0.0</v>
      </c>
      <c r="X123" s="42">
        <v>100.0</v>
      </c>
      <c r="Y123" s="42">
        <v>0.0</v>
      </c>
    </row>
    <row r="124" ht="22.5" customHeight="1">
      <c r="A124" s="41"/>
      <c r="B124" s="41">
        <v>156.0</v>
      </c>
      <c r="C124" s="41" t="s">
        <v>271</v>
      </c>
      <c r="D124" s="41" t="s">
        <v>1599</v>
      </c>
      <c r="E124" s="41" t="s">
        <v>1599</v>
      </c>
      <c r="F124" s="41" t="s">
        <v>271</v>
      </c>
      <c r="G124" s="41">
        <v>128.0</v>
      </c>
      <c r="H124" s="41" t="s">
        <v>1600</v>
      </c>
      <c r="I124" s="41"/>
      <c r="J124" s="41" t="s">
        <v>1600</v>
      </c>
      <c r="K124" s="42" t="s">
        <v>1601</v>
      </c>
      <c r="L124" s="42" t="s">
        <v>1602</v>
      </c>
      <c r="M124" s="42" t="s">
        <v>1043</v>
      </c>
      <c r="N124" s="42">
        <v>0.0</v>
      </c>
      <c r="O124" s="42">
        <v>1.0</v>
      </c>
      <c r="P124" s="42">
        <v>2.0</v>
      </c>
      <c r="Q124" s="42">
        <v>0.0</v>
      </c>
      <c r="R124" s="42">
        <v>3.0</v>
      </c>
      <c r="S124" s="42">
        <v>0.0</v>
      </c>
      <c r="T124" s="42" t="s">
        <v>1603</v>
      </c>
      <c r="U124" s="42">
        <v>1.0</v>
      </c>
      <c r="V124" s="42">
        <v>8.0</v>
      </c>
      <c r="W124" s="42">
        <v>0.0</v>
      </c>
      <c r="X124" s="42">
        <v>100.0</v>
      </c>
      <c r="Y124" s="42">
        <v>0.0</v>
      </c>
    </row>
    <row r="125" ht="22.5" customHeight="1">
      <c r="A125" s="41"/>
      <c r="B125" s="41">
        <v>159.0</v>
      </c>
      <c r="C125" s="41" t="s">
        <v>271</v>
      </c>
      <c r="D125" s="41" t="s">
        <v>1604</v>
      </c>
      <c r="E125" s="41" t="s">
        <v>1604</v>
      </c>
      <c r="F125" s="41" t="s">
        <v>271</v>
      </c>
      <c r="G125" s="41">
        <v>129.0</v>
      </c>
      <c r="H125" s="41" t="s">
        <v>1605</v>
      </c>
      <c r="I125" s="41"/>
      <c r="J125" s="41" t="s">
        <v>1605</v>
      </c>
      <c r="K125" s="42" t="s">
        <v>1606</v>
      </c>
      <c r="L125" s="42" t="s">
        <v>1607</v>
      </c>
      <c r="N125" s="42">
        <v>0.0</v>
      </c>
      <c r="O125" s="42">
        <v>0.0</v>
      </c>
      <c r="P125" s="42">
        <v>2.0</v>
      </c>
      <c r="Q125" s="42">
        <v>0.0</v>
      </c>
      <c r="R125" s="42">
        <v>1.0</v>
      </c>
      <c r="S125" s="42">
        <v>0.0</v>
      </c>
      <c r="T125" s="42" t="s">
        <v>995</v>
      </c>
      <c r="U125" s="42">
        <v>0.0</v>
      </c>
      <c r="V125" s="42">
        <v>0.0</v>
      </c>
      <c r="W125" s="42">
        <v>0.0</v>
      </c>
      <c r="X125" s="42">
        <v>100.0</v>
      </c>
      <c r="Y125" s="42">
        <v>0.0</v>
      </c>
    </row>
    <row r="126" ht="22.5" customHeight="1">
      <c r="A126" s="41"/>
      <c r="B126" s="41">
        <v>160.0</v>
      </c>
      <c r="C126" s="41" t="s">
        <v>271</v>
      </c>
      <c r="D126" s="41" t="s">
        <v>1608</v>
      </c>
      <c r="E126" s="41" t="s">
        <v>1608</v>
      </c>
      <c r="F126" s="41" t="s">
        <v>271</v>
      </c>
      <c r="G126" s="41">
        <v>130.0</v>
      </c>
      <c r="H126" s="41" t="s">
        <v>1609</v>
      </c>
      <c r="I126" s="41"/>
      <c r="J126" s="41" t="s">
        <v>1609</v>
      </c>
      <c r="K126" s="42" t="s">
        <v>1610</v>
      </c>
      <c r="L126" s="42" t="s">
        <v>1611</v>
      </c>
      <c r="M126" s="42" t="s">
        <v>1082</v>
      </c>
      <c r="N126" s="42">
        <v>0.0</v>
      </c>
      <c r="O126" s="42">
        <v>1.0</v>
      </c>
      <c r="P126" s="42">
        <v>2.0</v>
      </c>
      <c r="Q126" s="42">
        <v>0.0</v>
      </c>
      <c r="R126" s="42">
        <v>1.0</v>
      </c>
      <c r="S126" s="42">
        <v>0.0</v>
      </c>
      <c r="T126" s="42" t="s">
        <v>1612</v>
      </c>
      <c r="U126" s="42">
        <v>1.0</v>
      </c>
      <c r="V126" s="42">
        <v>8.0</v>
      </c>
      <c r="W126" s="42">
        <v>0.0</v>
      </c>
      <c r="X126" s="42">
        <v>100.0</v>
      </c>
      <c r="Y126" s="42">
        <v>0.0</v>
      </c>
    </row>
    <row r="127" ht="22.5" customHeight="1">
      <c r="A127" s="41"/>
      <c r="B127" s="41">
        <v>161.0</v>
      </c>
      <c r="C127" s="41" t="s">
        <v>271</v>
      </c>
      <c r="D127" s="41" t="s">
        <v>1613</v>
      </c>
      <c r="E127" s="41" t="s">
        <v>1613</v>
      </c>
      <c r="F127" s="41" t="s">
        <v>271</v>
      </c>
      <c r="G127" s="41">
        <v>131.0</v>
      </c>
      <c r="H127" s="41" t="s">
        <v>1614</v>
      </c>
      <c r="I127" s="41"/>
      <c r="J127" s="41" t="s">
        <v>1614</v>
      </c>
      <c r="K127" s="42" t="s">
        <v>1615</v>
      </c>
      <c r="L127" s="42" t="s">
        <v>1616</v>
      </c>
      <c r="N127" s="42">
        <v>0.0</v>
      </c>
      <c r="O127" s="42">
        <v>0.0</v>
      </c>
      <c r="P127" s="42">
        <v>2.0</v>
      </c>
      <c r="Q127" s="42">
        <v>0.0</v>
      </c>
      <c r="R127" s="42">
        <v>1.0</v>
      </c>
      <c r="S127" s="42">
        <v>0.0</v>
      </c>
      <c r="T127" s="42" t="s">
        <v>995</v>
      </c>
      <c r="U127" s="42">
        <v>0.0</v>
      </c>
      <c r="V127" s="42">
        <v>0.0</v>
      </c>
      <c r="W127" s="42">
        <v>0.0</v>
      </c>
      <c r="X127" s="42">
        <v>100.0</v>
      </c>
      <c r="Y127" s="42">
        <v>0.0</v>
      </c>
    </row>
    <row r="128" ht="22.5" customHeight="1">
      <c r="A128" s="41"/>
      <c r="B128" s="41">
        <v>162.0</v>
      </c>
      <c r="C128" s="41" t="s">
        <v>271</v>
      </c>
      <c r="D128" s="41" t="s">
        <v>1617</v>
      </c>
      <c r="E128" s="41" t="s">
        <v>1617</v>
      </c>
      <c r="F128" s="41" t="s">
        <v>271</v>
      </c>
      <c r="G128" s="41">
        <v>132.0</v>
      </c>
      <c r="H128" s="41" t="s">
        <v>1618</v>
      </c>
      <c r="I128" s="41"/>
      <c r="J128" s="41" t="s">
        <v>1618</v>
      </c>
      <c r="K128" s="42" t="s">
        <v>1619</v>
      </c>
      <c r="L128" s="42" t="s">
        <v>1620</v>
      </c>
      <c r="N128" s="42">
        <v>0.0</v>
      </c>
      <c r="O128" s="42">
        <v>0.0</v>
      </c>
      <c r="P128" s="42">
        <v>2.0</v>
      </c>
      <c r="Q128" s="42">
        <v>0.0</v>
      </c>
      <c r="R128" s="42">
        <v>1.0</v>
      </c>
      <c r="S128" s="42">
        <v>0.0</v>
      </c>
      <c r="T128" s="42" t="s">
        <v>995</v>
      </c>
      <c r="U128" s="42">
        <v>0.0</v>
      </c>
      <c r="V128" s="42">
        <v>0.0</v>
      </c>
      <c r="W128" s="42">
        <v>0.0</v>
      </c>
      <c r="X128" s="42">
        <v>100.0</v>
      </c>
      <c r="Y128" s="42">
        <v>0.0</v>
      </c>
    </row>
    <row r="129" ht="22.5" customHeight="1">
      <c r="A129" s="41"/>
      <c r="B129" s="41">
        <v>163.0</v>
      </c>
      <c r="C129" s="41" t="s">
        <v>271</v>
      </c>
      <c r="D129" s="41" t="s">
        <v>1621</v>
      </c>
      <c r="E129" s="41" t="s">
        <v>1621</v>
      </c>
      <c r="F129" s="41" t="s">
        <v>271</v>
      </c>
      <c r="G129" s="41">
        <v>133.0</v>
      </c>
      <c r="H129" s="41" t="s">
        <v>1622</v>
      </c>
      <c r="I129" s="41"/>
      <c r="J129" s="41" t="s">
        <v>1622</v>
      </c>
      <c r="K129" s="42" t="s">
        <v>1623</v>
      </c>
      <c r="L129" s="42" t="s">
        <v>1624</v>
      </c>
      <c r="N129" s="42">
        <v>0.0</v>
      </c>
      <c r="O129" s="42">
        <v>0.0</v>
      </c>
      <c r="P129" s="42">
        <v>2.0</v>
      </c>
      <c r="Q129" s="42">
        <v>0.0</v>
      </c>
      <c r="R129" s="42">
        <v>1.0</v>
      </c>
      <c r="S129" s="42">
        <v>0.0</v>
      </c>
      <c r="T129" s="42" t="s">
        <v>995</v>
      </c>
      <c r="U129" s="42">
        <v>0.0</v>
      </c>
      <c r="V129" s="42">
        <v>0.0</v>
      </c>
      <c r="W129" s="42">
        <v>0.0</v>
      </c>
      <c r="X129" s="42">
        <v>100.0</v>
      </c>
      <c r="Y129" s="42">
        <v>0.0</v>
      </c>
    </row>
    <row r="130" ht="22.5" customHeight="1">
      <c r="A130" s="41"/>
      <c r="B130" s="41">
        <v>170.0</v>
      </c>
      <c r="C130" s="41" t="s">
        <v>271</v>
      </c>
      <c r="D130" s="41" t="s">
        <v>1625</v>
      </c>
      <c r="E130" s="41" t="s">
        <v>1625</v>
      </c>
      <c r="F130" s="41" t="s">
        <v>271</v>
      </c>
      <c r="G130" s="41">
        <v>134.0</v>
      </c>
      <c r="H130" s="41" t="s">
        <v>1626</v>
      </c>
      <c r="I130" s="41"/>
      <c r="J130" s="41" t="s">
        <v>1626</v>
      </c>
      <c r="K130" s="42" t="s">
        <v>1627</v>
      </c>
      <c r="L130" s="42" t="s">
        <v>1628</v>
      </c>
      <c r="M130" s="42" t="s">
        <v>1082</v>
      </c>
      <c r="N130" s="42">
        <v>0.0</v>
      </c>
      <c r="O130" s="42">
        <v>1.0</v>
      </c>
      <c r="P130" s="42">
        <v>2.0</v>
      </c>
      <c r="Q130" s="42">
        <v>0.0</v>
      </c>
      <c r="R130" s="42">
        <v>1.0</v>
      </c>
      <c r="S130" s="42">
        <v>0.0</v>
      </c>
      <c r="T130" s="42" t="s">
        <v>1629</v>
      </c>
      <c r="U130" s="42">
        <v>1.0</v>
      </c>
      <c r="V130" s="42">
        <v>8.0</v>
      </c>
      <c r="W130" s="42">
        <v>0.0</v>
      </c>
      <c r="X130" s="42">
        <v>100.0</v>
      </c>
      <c r="Y130" s="42">
        <v>0.0</v>
      </c>
    </row>
    <row r="131" ht="22.5" customHeight="1">
      <c r="A131" s="41"/>
      <c r="B131" s="41">
        <v>172.0</v>
      </c>
      <c r="C131" s="41" t="s">
        <v>271</v>
      </c>
      <c r="D131" s="41" t="s">
        <v>1630</v>
      </c>
      <c r="E131" s="41" t="s">
        <v>1630</v>
      </c>
      <c r="F131" s="41" t="s">
        <v>271</v>
      </c>
      <c r="G131" s="41">
        <v>135.0</v>
      </c>
      <c r="H131" s="41" t="s">
        <v>1631</v>
      </c>
      <c r="I131" s="41"/>
      <c r="J131" s="41" t="s">
        <v>1631</v>
      </c>
      <c r="K131" s="42" t="s">
        <v>1632</v>
      </c>
      <c r="L131" s="42" t="s">
        <v>1633</v>
      </c>
      <c r="N131" s="42">
        <v>0.0</v>
      </c>
      <c r="O131" s="42">
        <v>0.0</v>
      </c>
      <c r="P131" s="42">
        <v>2.0</v>
      </c>
      <c r="Q131" s="42">
        <v>0.0</v>
      </c>
      <c r="R131" s="42">
        <v>1.0</v>
      </c>
      <c r="S131" s="42">
        <v>0.0</v>
      </c>
      <c r="T131" s="42" t="s">
        <v>995</v>
      </c>
      <c r="U131" s="42">
        <v>0.0</v>
      </c>
      <c r="V131" s="42">
        <v>0.0</v>
      </c>
      <c r="W131" s="42">
        <v>0.0</v>
      </c>
      <c r="X131" s="42">
        <v>100.0</v>
      </c>
      <c r="Y131" s="42">
        <v>0.0</v>
      </c>
    </row>
    <row r="132" ht="22.5" customHeight="1">
      <c r="A132" s="41"/>
      <c r="B132" s="41">
        <v>173.0</v>
      </c>
      <c r="C132" s="41" t="s">
        <v>271</v>
      </c>
      <c r="D132" s="41" t="s">
        <v>1634</v>
      </c>
      <c r="E132" s="41" t="s">
        <v>1634</v>
      </c>
      <c r="F132" s="41" t="s">
        <v>271</v>
      </c>
      <c r="G132" s="41">
        <v>136.0</v>
      </c>
      <c r="H132" s="41" t="s">
        <v>1635</v>
      </c>
      <c r="I132" s="41"/>
      <c r="J132" s="41" t="s">
        <v>1635</v>
      </c>
      <c r="K132" s="42" t="s">
        <v>1636</v>
      </c>
      <c r="L132" s="42" t="s">
        <v>1637</v>
      </c>
      <c r="N132" s="42">
        <v>0.0</v>
      </c>
      <c r="O132" s="42">
        <v>0.0</v>
      </c>
      <c r="P132" s="42">
        <v>2.0</v>
      </c>
      <c r="Q132" s="42">
        <v>0.0</v>
      </c>
      <c r="R132" s="42">
        <v>1.0</v>
      </c>
      <c r="S132" s="42">
        <v>0.0</v>
      </c>
      <c r="T132" s="42" t="s">
        <v>995</v>
      </c>
      <c r="U132" s="42">
        <v>0.0</v>
      </c>
      <c r="V132" s="42">
        <v>0.0</v>
      </c>
      <c r="W132" s="42">
        <v>0.0</v>
      </c>
      <c r="X132" s="42">
        <v>100.0</v>
      </c>
      <c r="Y132" s="42">
        <v>0.0</v>
      </c>
    </row>
    <row r="133" ht="22.5" customHeight="1">
      <c r="A133" s="41"/>
      <c r="B133" s="41">
        <v>174.0</v>
      </c>
      <c r="C133" s="41" t="s">
        <v>271</v>
      </c>
      <c r="D133" s="41" t="s">
        <v>1638</v>
      </c>
      <c r="E133" s="41" t="s">
        <v>1638</v>
      </c>
      <c r="F133" s="41" t="s">
        <v>271</v>
      </c>
      <c r="G133" s="41">
        <v>137.0</v>
      </c>
      <c r="H133" s="41" t="s">
        <v>1639</v>
      </c>
      <c r="I133" s="41"/>
      <c r="J133" s="41" t="s">
        <v>1639</v>
      </c>
      <c r="K133" s="42" t="s">
        <v>1640</v>
      </c>
      <c r="L133" s="42" t="s">
        <v>1641</v>
      </c>
      <c r="N133" s="42">
        <v>0.0</v>
      </c>
      <c r="O133" s="42">
        <v>0.0</v>
      </c>
      <c r="P133" s="42">
        <v>2.0</v>
      </c>
      <c r="Q133" s="42">
        <v>0.0</v>
      </c>
      <c r="R133" s="42">
        <v>1.0</v>
      </c>
      <c r="S133" s="42">
        <v>0.0</v>
      </c>
      <c r="T133" s="42" t="s">
        <v>995</v>
      </c>
      <c r="U133" s="42">
        <v>0.0</v>
      </c>
      <c r="V133" s="42">
        <v>0.0</v>
      </c>
      <c r="W133" s="42">
        <v>0.0</v>
      </c>
      <c r="X133" s="42">
        <v>100.0</v>
      </c>
      <c r="Y133" s="42">
        <v>0.0</v>
      </c>
    </row>
    <row r="134" ht="22.5" customHeight="1">
      <c r="A134" s="41"/>
      <c r="B134" s="41">
        <v>177.0</v>
      </c>
      <c r="C134" s="41" t="s">
        <v>271</v>
      </c>
      <c r="D134" s="41" t="s">
        <v>1642</v>
      </c>
      <c r="E134" s="41" t="s">
        <v>1642</v>
      </c>
      <c r="F134" s="41" t="s">
        <v>271</v>
      </c>
      <c r="G134" s="41">
        <v>139.0</v>
      </c>
      <c r="H134" s="41" t="s">
        <v>1643</v>
      </c>
      <c r="I134" s="41"/>
      <c r="J134" s="41" t="s">
        <v>1643</v>
      </c>
      <c r="K134" s="42" t="s">
        <v>1644</v>
      </c>
      <c r="L134" s="42" t="s">
        <v>1645</v>
      </c>
      <c r="N134" s="42">
        <v>0.0</v>
      </c>
      <c r="O134" s="42">
        <v>0.0</v>
      </c>
      <c r="P134" s="42">
        <v>2.0</v>
      </c>
      <c r="Q134" s="42">
        <v>0.0</v>
      </c>
      <c r="R134" s="42">
        <v>1.0</v>
      </c>
      <c r="S134" s="42">
        <v>0.0</v>
      </c>
      <c r="T134" s="42" t="s">
        <v>1646</v>
      </c>
      <c r="U134" s="42">
        <v>0.0</v>
      </c>
      <c r="V134" s="42">
        <v>0.0</v>
      </c>
      <c r="W134" s="42">
        <v>0.0</v>
      </c>
      <c r="X134" s="42">
        <v>100.0</v>
      </c>
      <c r="Y134" s="42">
        <v>0.0</v>
      </c>
    </row>
    <row r="135" ht="22.5" customHeight="1">
      <c r="A135" s="41"/>
      <c r="B135" s="41">
        <v>178.0</v>
      </c>
      <c r="C135" s="41" t="s">
        <v>271</v>
      </c>
      <c r="D135" s="41" t="s">
        <v>1647</v>
      </c>
      <c r="E135" s="41" t="s">
        <v>1647</v>
      </c>
      <c r="F135" s="41" t="s">
        <v>271</v>
      </c>
      <c r="G135" s="41">
        <v>140.0</v>
      </c>
      <c r="H135" s="41" t="s">
        <v>1648</v>
      </c>
      <c r="I135" s="41"/>
      <c r="J135" s="41" t="s">
        <v>1648</v>
      </c>
      <c r="K135" s="42" t="s">
        <v>1649</v>
      </c>
      <c r="L135" s="42" t="s">
        <v>1650</v>
      </c>
      <c r="N135" s="42">
        <v>0.0</v>
      </c>
      <c r="O135" s="42">
        <v>0.0</v>
      </c>
      <c r="P135" s="42">
        <v>2.0</v>
      </c>
      <c r="Q135" s="42">
        <v>0.0</v>
      </c>
      <c r="R135" s="42">
        <v>1.0</v>
      </c>
      <c r="S135" s="42">
        <v>0.0</v>
      </c>
      <c r="T135" s="42" t="s">
        <v>995</v>
      </c>
      <c r="U135" s="42">
        <v>0.0</v>
      </c>
      <c r="V135" s="42">
        <v>0.0</v>
      </c>
      <c r="W135" s="42">
        <v>0.0</v>
      </c>
      <c r="X135" s="42">
        <v>100.0</v>
      </c>
      <c r="Y135" s="42">
        <v>0.0</v>
      </c>
    </row>
    <row r="136" ht="22.5" customHeight="1">
      <c r="A136" s="41"/>
      <c r="B136" s="41">
        <v>180.0</v>
      </c>
      <c r="C136" s="41" t="s">
        <v>271</v>
      </c>
      <c r="D136" s="41" t="s">
        <v>1651</v>
      </c>
      <c r="E136" s="41" t="s">
        <v>1651</v>
      </c>
      <c r="F136" s="41" t="s">
        <v>271</v>
      </c>
      <c r="G136" s="41">
        <v>141.0</v>
      </c>
      <c r="H136" s="41" t="s">
        <v>1652</v>
      </c>
      <c r="I136" s="41"/>
      <c r="J136" s="41" t="s">
        <v>1652</v>
      </c>
      <c r="K136" s="42" t="s">
        <v>1653</v>
      </c>
      <c r="L136" s="42" t="s">
        <v>1654</v>
      </c>
      <c r="N136" s="42">
        <v>0.0</v>
      </c>
      <c r="O136" s="42">
        <v>0.0</v>
      </c>
      <c r="P136" s="42">
        <v>2.0</v>
      </c>
      <c r="Q136" s="42">
        <v>0.0</v>
      </c>
      <c r="R136" s="42">
        <v>1.0</v>
      </c>
      <c r="S136" s="42">
        <v>0.0</v>
      </c>
      <c r="T136" s="42" t="s">
        <v>995</v>
      </c>
      <c r="U136" s="42">
        <v>0.0</v>
      </c>
      <c r="V136" s="42">
        <v>0.0</v>
      </c>
      <c r="W136" s="42">
        <v>0.0</v>
      </c>
      <c r="X136" s="42">
        <v>100.0</v>
      </c>
      <c r="Y136" s="42">
        <v>0.0</v>
      </c>
    </row>
    <row r="137" ht="22.5" customHeight="1">
      <c r="A137" s="41"/>
      <c r="B137" s="41">
        <v>183.0</v>
      </c>
      <c r="C137" s="41" t="s">
        <v>271</v>
      </c>
      <c r="D137" s="41" t="s">
        <v>1655</v>
      </c>
      <c r="E137" s="41" t="s">
        <v>1655</v>
      </c>
      <c r="F137" s="41" t="s">
        <v>271</v>
      </c>
      <c r="G137" s="41">
        <v>143.0</v>
      </c>
      <c r="H137" s="41" t="s">
        <v>1656</v>
      </c>
      <c r="I137" s="41"/>
      <c r="J137" s="41" t="s">
        <v>1656</v>
      </c>
      <c r="K137" s="42" t="s">
        <v>1657</v>
      </c>
      <c r="L137" s="42" t="s">
        <v>1658</v>
      </c>
      <c r="N137" s="42">
        <v>0.0</v>
      </c>
      <c r="O137" s="42">
        <v>0.0</v>
      </c>
      <c r="P137" s="42">
        <v>2.0</v>
      </c>
      <c r="Q137" s="42">
        <v>0.0</v>
      </c>
      <c r="R137" s="42">
        <v>1.0</v>
      </c>
      <c r="S137" s="42">
        <v>0.0</v>
      </c>
      <c r="T137" s="42" t="s">
        <v>995</v>
      </c>
      <c r="U137" s="42">
        <v>0.0</v>
      </c>
      <c r="V137" s="42">
        <v>0.0</v>
      </c>
      <c r="W137" s="42">
        <v>0.0</v>
      </c>
      <c r="X137" s="42">
        <v>100.0</v>
      </c>
      <c r="Y137" s="42">
        <v>0.0</v>
      </c>
    </row>
    <row r="138" ht="22.5" customHeight="1">
      <c r="A138" s="41"/>
      <c r="B138" s="41">
        <v>185.0</v>
      </c>
      <c r="C138" s="41" t="s">
        <v>271</v>
      </c>
      <c r="D138" s="41" t="s">
        <v>1659</v>
      </c>
      <c r="E138" s="41" t="s">
        <v>1659</v>
      </c>
      <c r="F138" s="41" t="s">
        <v>271</v>
      </c>
      <c r="G138" s="41">
        <v>144.0</v>
      </c>
      <c r="H138" s="41" t="s">
        <v>1660</v>
      </c>
      <c r="I138" s="41"/>
      <c r="J138" s="41" t="s">
        <v>1660</v>
      </c>
      <c r="K138" s="42" t="s">
        <v>1661</v>
      </c>
      <c r="L138" s="42" t="s">
        <v>1662</v>
      </c>
      <c r="N138" s="42">
        <v>0.0</v>
      </c>
      <c r="O138" s="42">
        <v>0.0</v>
      </c>
      <c r="P138" s="42">
        <v>2.0</v>
      </c>
      <c r="Q138" s="42">
        <v>0.0</v>
      </c>
      <c r="R138" s="42">
        <v>1.0</v>
      </c>
      <c r="S138" s="42">
        <v>0.0</v>
      </c>
      <c r="T138" s="42" t="s">
        <v>995</v>
      </c>
      <c r="U138" s="42">
        <v>0.0</v>
      </c>
      <c r="V138" s="42">
        <v>0.0</v>
      </c>
      <c r="W138" s="42">
        <v>0.0</v>
      </c>
      <c r="X138" s="42">
        <v>100.0</v>
      </c>
      <c r="Y138" s="42">
        <v>0.0</v>
      </c>
    </row>
    <row r="139" ht="22.5" customHeight="1">
      <c r="A139" s="41"/>
      <c r="B139" s="41">
        <v>186.0</v>
      </c>
      <c r="C139" s="41" t="s">
        <v>271</v>
      </c>
      <c r="D139" s="41" t="s">
        <v>1663</v>
      </c>
      <c r="E139" s="41" t="s">
        <v>1663</v>
      </c>
      <c r="F139" s="41" t="s">
        <v>271</v>
      </c>
      <c r="G139" s="41">
        <v>145.0</v>
      </c>
      <c r="H139" s="41" t="s">
        <v>1664</v>
      </c>
      <c r="I139" s="41"/>
      <c r="J139" s="41" t="s">
        <v>1664</v>
      </c>
      <c r="K139" s="42" t="s">
        <v>1665</v>
      </c>
      <c r="L139" s="42" t="s">
        <v>1666</v>
      </c>
      <c r="N139" s="42">
        <v>0.0</v>
      </c>
      <c r="O139" s="42">
        <v>0.0</v>
      </c>
      <c r="P139" s="42">
        <v>2.0</v>
      </c>
      <c r="Q139" s="42">
        <v>0.0</v>
      </c>
      <c r="R139" s="42">
        <v>0.0</v>
      </c>
      <c r="S139" s="42">
        <v>0.0</v>
      </c>
      <c r="T139" s="42" t="s">
        <v>1667</v>
      </c>
      <c r="U139" s="42">
        <v>1.0</v>
      </c>
      <c r="V139" s="42">
        <v>0.0</v>
      </c>
      <c r="W139" s="42">
        <v>0.0</v>
      </c>
      <c r="X139" s="42">
        <v>100.0</v>
      </c>
      <c r="Y139" s="42">
        <v>0.0</v>
      </c>
    </row>
    <row r="140" ht="22.5" customHeight="1">
      <c r="A140" s="41"/>
      <c r="B140" s="41">
        <v>191.0</v>
      </c>
      <c r="C140" s="41" t="s">
        <v>271</v>
      </c>
      <c r="D140" s="41" t="s">
        <v>1668</v>
      </c>
      <c r="E140" s="41" t="s">
        <v>1668</v>
      </c>
      <c r="F140" s="41" t="s">
        <v>271</v>
      </c>
      <c r="G140" s="41">
        <v>147.0</v>
      </c>
      <c r="H140" s="41" t="s">
        <v>1669</v>
      </c>
      <c r="I140" s="41"/>
      <c r="J140" s="41" t="s">
        <v>1669</v>
      </c>
      <c r="K140" s="42" t="s">
        <v>1670</v>
      </c>
      <c r="L140" s="42" t="s">
        <v>1671</v>
      </c>
      <c r="M140" s="42" t="s">
        <v>1028</v>
      </c>
      <c r="N140" s="42">
        <v>0.0</v>
      </c>
      <c r="O140" s="42">
        <v>1.0</v>
      </c>
      <c r="P140" s="42">
        <v>2.0</v>
      </c>
      <c r="Q140" s="42">
        <v>0.0</v>
      </c>
      <c r="R140" s="42">
        <v>6.0</v>
      </c>
      <c r="S140" s="42">
        <v>0.0</v>
      </c>
      <c r="T140" s="42" t="s">
        <v>1672</v>
      </c>
      <c r="U140" s="42">
        <v>1.0</v>
      </c>
      <c r="V140" s="42">
        <v>8.0</v>
      </c>
      <c r="W140" s="42">
        <v>0.0</v>
      </c>
      <c r="X140" s="42">
        <v>100.0</v>
      </c>
      <c r="Y140" s="42">
        <v>0.0</v>
      </c>
    </row>
    <row r="141" ht="22.5" customHeight="1">
      <c r="A141" s="41"/>
      <c r="B141" s="41">
        <v>193.0</v>
      </c>
      <c r="C141" s="41" t="s">
        <v>271</v>
      </c>
      <c r="D141" s="41" t="s">
        <v>1673</v>
      </c>
      <c r="E141" s="41" t="s">
        <v>1673</v>
      </c>
      <c r="F141" s="41" t="s">
        <v>271</v>
      </c>
      <c r="G141" s="41">
        <v>148.0</v>
      </c>
      <c r="H141" s="41" t="s">
        <v>1674</v>
      </c>
      <c r="I141" s="41"/>
      <c r="J141" s="41" t="s">
        <v>1674</v>
      </c>
      <c r="K141" s="42" t="s">
        <v>1675</v>
      </c>
      <c r="L141" s="42" t="s">
        <v>1676</v>
      </c>
      <c r="N141" s="42">
        <v>0.0</v>
      </c>
      <c r="O141" s="42">
        <v>0.0</v>
      </c>
      <c r="P141" s="42">
        <v>2.0</v>
      </c>
      <c r="Q141" s="42">
        <v>0.0</v>
      </c>
      <c r="R141" s="42">
        <v>1.0</v>
      </c>
      <c r="S141" s="42">
        <v>0.0</v>
      </c>
      <c r="T141" s="42" t="s">
        <v>995</v>
      </c>
      <c r="U141" s="42">
        <v>0.0</v>
      </c>
      <c r="V141" s="42">
        <v>0.0</v>
      </c>
      <c r="W141" s="42">
        <v>0.0</v>
      </c>
      <c r="X141" s="42">
        <v>100.0</v>
      </c>
      <c r="Y141" s="42">
        <v>0.0</v>
      </c>
    </row>
    <row r="142" ht="22.5" customHeight="1">
      <c r="A142" s="41"/>
      <c r="B142" s="41">
        <v>194.0</v>
      </c>
      <c r="C142" s="41" t="s">
        <v>271</v>
      </c>
      <c r="D142" s="41" t="s">
        <v>1677</v>
      </c>
      <c r="E142" s="41" t="s">
        <v>1677</v>
      </c>
      <c r="F142" s="41" t="s">
        <v>271</v>
      </c>
      <c r="G142" s="41">
        <v>149.0</v>
      </c>
      <c r="H142" s="41" t="s">
        <v>1678</v>
      </c>
      <c r="I142" s="41"/>
      <c r="J142" s="41" t="s">
        <v>1678</v>
      </c>
      <c r="K142" s="42" t="s">
        <v>1679</v>
      </c>
      <c r="L142" s="42" t="s">
        <v>1680</v>
      </c>
      <c r="N142" s="42">
        <v>0.0</v>
      </c>
      <c r="O142" s="42">
        <v>0.0</v>
      </c>
      <c r="P142" s="42">
        <v>2.0</v>
      </c>
      <c r="Q142" s="42">
        <v>0.0</v>
      </c>
      <c r="R142" s="42">
        <v>2.0</v>
      </c>
      <c r="S142" s="42">
        <v>0.0</v>
      </c>
      <c r="T142" s="42" t="s">
        <v>995</v>
      </c>
      <c r="U142" s="42">
        <v>0.0</v>
      </c>
      <c r="V142" s="42">
        <v>0.0</v>
      </c>
      <c r="W142" s="42">
        <v>0.0</v>
      </c>
      <c r="X142" s="42">
        <v>100.0</v>
      </c>
      <c r="Y142" s="42">
        <v>0.0</v>
      </c>
    </row>
    <row r="143" ht="22.5" customHeight="1">
      <c r="A143" s="41"/>
      <c r="B143" s="41">
        <v>195.0</v>
      </c>
      <c r="C143" s="41" t="s">
        <v>271</v>
      </c>
      <c r="D143" s="41" t="s">
        <v>1681</v>
      </c>
      <c r="E143" s="41" t="s">
        <v>1681</v>
      </c>
      <c r="F143" s="41" t="s">
        <v>271</v>
      </c>
      <c r="G143" s="41">
        <v>150.0</v>
      </c>
      <c r="H143" s="41" t="s">
        <v>1682</v>
      </c>
      <c r="I143" s="41"/>
      <c r="J143" s="41" t="s">
        <v>1682</v>
      </c>
      <c r="K143" s="42" t="s">
        <v>1683</v>
      </c>
      <c r="L143" s="42" t="s">
        <v>1684</v>
      </c>
      <c r="N143" s="42">
        <v>0.0</v>
      </c>
      <c r="O143" s="42">
        <v>0.0</v>
      </c>
      <c r="P143" s="42">
        <v>2.0</v>
      </c>
      <c r="Q143" s="42">
        <v>0.0</v>
      </c>
      <c r="R143" s="42">
        <v>2.0</v>
      </c>
      <c r="S143" s="42">
        <v>0.0</v>
      </c>
      <c r="T143" s="42" t="s">
        <v>1685</v>
      </c>
      <c r="U143" s="42">
        <v>0.0</v>
      </c>
      <c r="V143" s="42">
        <v>0.0</v>
      </c>
      <c r="W143" s="42">
        <v>0.0</v>
      </c>
      <c r="X143" s="42">
        <v>100.0</v>
      </c>
      <c r="Y143" s="42">
        <v>0.0</v>
      </c>
    </row>
    <row r="144" ht="22.5" customHeight="1">
      <c r="A144" s="41"/>
      <c r="B144" s="41">
        <v>196.0</v>
      </c>
      <c r="C144" s="41" t="s">
        <v>271</v>
      </c>
      <c r="D144" s="41" t="s">
        <v>1686</v>
      </c>
      <c r="E144" s="41" t="s">
        <v>1686</v>
      </c>
      <c r="F144" s="41" t="s">
        <v>271</v>
      </c>
      <c r="G144" s="41">
        <v>151.0</v>
      </c>
      <c r="H144" s="41" t="s">
        <v>1687</v>
      </c>
      <c r="I144" s="41"/>
      <c r="J144" s="41" t="s">
        <v>1687</v>
      </c>
      <c r="K144" s="42" t="s">
        <v>1688</v>
      </c>
      <c r="L144" s="42" t="s">
        <v>1689</v>
      </c>
      <c r="N144" s="42">
        <v>0.0</v>
      </c>
      <c r="O144" s="42">
        <v>0.0</v>
      </c>
      <c r="P144" s="42">
        <v>2.0</v>
      </c>
      <c r="Q144" s="42">
        <v>0.0</v>
      </c>
      <c r="R144" s="42">
        <v>2.0</v>
      </c>
      <c r="S144" s="42">
        <v>0.0</v>
      </c>
      <c r="T144" s="42" t="s">
        <v>995</v>
      </c>
      <c r="U144" s="42">
        <v>0.0</v>
      </c>
      <c r="V144" s="42">
        <v>0.0</v>
      </c>
      <c r="W144" s="42">
        <v>0.0</v>
      </c>
      <c r="X144" s="42">
        <v>100.0</v>
      </c>
      <c r="Y144" s="42">
        <v>0.0</v>
      </c>
    </row>
    <row r="145" ht="22.5" customHeight="1">
      <c r="A145" s="41"/>
      <c r="B145" s="41">
        <v>197.0</v>
      </c>
      <c r="C145" s="41" t="s">
        <v>271</v>
      </c>
      <c r="D145" s="41" t="s">
        <v>1690</v>
      </c>
      <c r="E145" s="41" t="s">
        <v>1690</v>
      </c>
      <c r="F145" s="41" t="s">
        <v>271</v>
      </c>
      <c r="G145" s="41">
        <v>152.0</v>
      </c>
      <c r="H145" s="41" t="s">
        <v>1691</v>
      </c>
      <c r="I145" s="41"/>
      <c r="J145" s="41" t="s">
        <v>1691</v>
      </c>
      <c r="K145" s="42" t="s">
        <v>1692</v>
      </c>
      <c r="L145" s="42" t="s">
        <v>1693</v>
      </c>
      <c r="N145" s="42">
        <v>0.0</v>
      </c>
      <c r="O145" s="42">
        <v>0.0</v>
      </c>
      <c r="P145" s="42">
        <v>2.0</v>
      </c>
      <c r="Q145" s="42">
        <v>0.0</v>
      </c>
      <c r="R145" s="42">
        <v>2.0</v>
      </c>
      <c r="S145" s="42">
        <v>0.0</v>
      </c>
      <c r="T145" s="42" t="s">
        <v>995</v>
      </c>
      <c r="U145" s="42">
        <v>0.0</v>
      </c>
      <c r="V145" s="42">
        <v>0.0</v>
      </c>
      <c r="W145" s="42">
        <v>0.0</v>
      </c>
      <c r="X145" s="42">
        <v>100.0</v>
      </c>
      <c r="Y145" s="42">
        <v>0.0</v>
      </c>
    </row>
    <row r="146" ht="22.5" customHeight="1">
      <c r="A146" s="41"/>
      <c r="B146" s="41">
        <v>199.0</v>
      </c>
      <c r="C146" s="41" t="s">
        <v>271</v>
      </c>
      <c r="D146" s="41" t="s">
        <v>1694</v>
      </c>
      <c r="E146" s="41" t="s">
        <v>1694</v>
      </c>
      <c r="F146" s="41" t="s">
        <v>271</v>
      </c>
      <c r="G146" s="41">
        <v>79.0</v>
      </c>
      <c r="H146" s="41" t="s">
        <v>1695</v>
      </c>
      <c r="I146" s="41"/>
      <c r="J146" s="41" t="s">
        <v>1402</v>
      </c>
      <c r="K146" s="42" t="s">
        <v>1403</v>
      </c>
      <c r="L146" s="42" t="s">
        <v>1404</v>
      </c>
      <c r="N146" s="42">
        <v>1.0</v>
      </c>
      <c r="O146" s="42">
        <v>0.0</v>
      </c>
      <c r="P146" s="42">
        <v>2.0</v>
      </c>
      <c r="Q146" s="42">
        <v>1.0</v>
      </c>
      <c r="R146" s="42">
        <v>2.0</v>
      </c>
      <c r="S146" s="42">
        <v>0.0</v>
      </c>
      <c r="T146" s="42" t="s">
        <v>1405</v>
      </c>
      <c r="U146" s="42">
        <v>0.0</v>
      </c>
      <c r="V146" s="42">
        <v>0.0</v>
      </c>
      <c r="W146" s="42">
        <v>0.0</v>
      </c>
      <c r="X146" s="42">
        <v>100.0</v>
      </c>
      <c r="Y146" s="42">
        <v>0.0</v>
      </c>
    </row>
    <row r="147" ht="22.5" customHeight="1">
      <c r="A147" s="41"/>
      <c r="B147" s="41">
        <v>200.0</v>
      </c>
      <c r="C147" s="41" t="s">
        <v>271</v>
      </c>
      <c r="D147" s="41" t="s">
        <v>1696</v>
      </c>
      <c r="E147" s="41" t="s">
        <v>1696</v>
      </c>
      <c r="F147" s="41" t="s">
        <v>271</v>
      </c>
      <c r="G147" s="41">
        <v>154.0</v>
      </c>
      <c r="H147" s="41" t="s">
        <v>1697</v>
      </c>
      <c r="I147" s="41"/>
      <c r="J147" s="41" t="s">
        <v>1697</v>
      </c>
      <c r="K147" s="42" t="s">
        <v>1698</v>
      </c>
      <c r="L147" s="42" t="s">
        <v>1699</v>
      </c>
      <c r="M147" s="42" t="s">
        <v>1043</v>
      </c>
      <c r="N147" s="42">
        <v>0.0</v>
      </c>
      <c r="O147" s="42">
        <v>1.0</v>
      </c>
      <c r="P147" s="42">
        <v>2.0</v>
      </c>
      <c r="Q147" s="42">
        <v>0.0</v>
      </c>
      <c r="R147" s="42">
        <v>10.0</v>
      </c>
      <c r="S147" s="42">
        <v>0.0</v>
      </c>
      <c r="T147" s="42" t="s">
        <v>1700</v>
      </c>
      <c r="U147" s="42">
        <v>1.0</v>
      </c>
      <c r="V147" s="42">
        <v>4.0</v>
      </c>
      <c r="W147" s="42">
        <v>1.0</v>
      </c>
      <c r="X147" s="42">
        <v>100.0</v>
      </c>
      <c r="Y147" s="42">
        <v>0.0</v>
      </c>
    </row>
    <row r="148" ht="22.5" customHeight="1">
      <c r="A148" s="41"/>
      <c r="B148" s="41">
        <v>201.0</v>
      </c>
      <c r="C148" s="41" t="s">
        <v>271</v>
      </c>
      <c r="D148" s="41" t="s">
        <v>1701</v>
      </c>
      <c r="E148" s="41" t="s">
        <v>1701</v>
      </c>
      <c r="F148" s="41" t="s">
        <v>271</v>
      </c>
      <c r="G148" s="41">
        <v>155.0</v>
      </c>
      <c r="H148" s="41" t="s">
        <v>1702</v>
      </c>
      <c r="I148" s="41"/>
      <c r="J148" s="41" t="s">
        <v>1702</v>
      </c>
      <c r="K148" s="42" t="s">
        <v>1703</v>
      </c>
      <c r="L148" s="42" t="s">
        <v>1704</v>
      </c>
      <c r="M148" s="42" t="s">
        <v>1043</v>
      </c>
      <c r="N148" s="42">
        <v>0.0</v>
      </c>
      <c r="O148" s="42">
        <v>1.0</v>
      </c>
      <c r="P148" s="42">
        <v>2.0</v>
      </c>
      <c r="Q148" s="42">
        <v>0.0</v>
      </c>
      <c r="R148" s="42">
        <v>10.0</v>
      </c>
      <c r="S148" s="42">
        <v>0.0</v>
      </c>
      <c r="T148" s="42" t="s">
        <v>1705</v>
      </c>
      <c r="U148" s="42">
        <v>1.0</v>
      </c>
      <c r="V148" s="42">
        <v>5.0</v>
      </c>
      <c r="W148" s="42">
        <v>0.0</v>
      </c>
      <c r="X148" s="42">
        <v>100.0</v>
      </c>
      <c r="Y148" s="42">
        <v>0.0</v>
      </c>
    </row>
    <row r="149" ht="22.5" customHeight="1">
      <c r="A149" s="41"/>
      <c r="B149" s="41">
        <v>203.0</v>
      </c>
      <c r="C149" s="41" t="s">
        <v>271</v>
      </c>
      <c r="D149" s="41" t="s">
        <v>1706</v>
      </c>
      <c r="E149" s="41" t="s">
        <v>1706</v>
      </c>
      <c r="F149" s="41" t="s">
        <v>271</v>
      </c>
      <c r="G149" s="41">
        <v>157.0</v>
      </c>
      <c r="H149" s="41" t="s">
        <v>1707</v>
      </c>
      <c r="I149" s="41"/>
      <c r="J149" s="41" t="s">
        <v>1707</v>
      </c>
      <c r="K149" s="42" t="s">
        <v>1708</v>
      </c>
      <c r="L149" s="42" t="s">
        <v>1709</v>
      </c>
      <c r="N149" s="42">
        <v>0.0</v>
      </c>
      <c r="O149" s="42">
        <v>0.0</v>
      </c>
      <c r="P149" s="42">
        <v>2.0</v>
      </c>
      <c r="Q149" s="42">
        <v>0.0</v>
      </c>
      <c r="R149" s="42">
        <v>2.0</v>
      </c>
      <c r="S149" s="42">
        <v>0.0</v>
      </c>
      <c r="T149" s="42" t="s">
        <v>995</v>
      </c>
      <c r="U149" s="42">
        <v>0.0</v>
      </c>
      <c r="V149" s="42">
        <v>0.0</v>
      </c>
      <c r="W149" s="42">
        <v>0.0</v>
      </c>
      <c r="X149" s="42">
        <v>100.0</v>
      </c>
      <c r="Y149" s="42">
        <v>0.0</v>
      </c>
    </row>
    <row r="150" ht="22.5" customHeight="1">
      <c r="A150" s="41"/>
      <c r="B150" s="41">
        <v>204.0</v>
      </c>
      <c r="C150" s="41" t="s">
        <v>271</v>
      </c>
      <c r="D150" s="41" t="s">
        <v>1710</v>
      </c>
      <c r="E150" s="41" t="s">
        <v>1710</v>
      </c>
      <c r="F150" s="41" t="s">
        <v>271</v>
      </c>
      <c r="G150" s="41">
        <v>158.0</v>
      </c>
      <c r="H150" s="41" t="s">
        <v>1711</v>
      </c>
      <c r="I150" s="41"/>
      <c r="J150" s="41" t="s">
        <v>1711</v>
      </c>
      <c r="K150" s="42" t="s">
        <v>1712</v>
      </c>
      <c r="L150" s="42" t="s">
        <v>1713</v>
      </c>
      <c r="N150" s="42">
        <v>1.0</v>
      </c>
      <c r="O150" s="42">
        <v>0.0</v>
      </c>
      <c r="P150" s="42">
        <v>2.0</v>
      </c>
      <c r="Q150" s="42">
        <v>0.0</v>
      </c>
      <c r="R150" s="42">
        <v>2.0</v>
      </c>
      <c r="S150" s="42">
        <v>0.0</v>
      </c>
      <c r="T150" s="42" t="s">
        <v>995</v>
      </c>
      <c r="U150" s="42">
        <v>0.0</v>
      </c>
      <c r="V150" s="42">
        <v>0.0</v>
      </c>
      <c r="W150" s="42">
        <v>0.0</v>
      </c>
      <c r="X150" s="42">
        <v>100.0</v>
      </c>
      <c r="Y150" s="42">
        <v>0.0</v>
      </c>
    </row>
    <row r="151" ht="22.5" customHeight="1">
      <c r="A151" s="41"/>
      <c r="B151" s="41">
        <v>1204.0</v>
      </c>
      <c r="C151" s="41" t="s">
        <v>271</v>
      </c>
      <c r="D151" s="41" t="s">
        <v>1714</v>
      </c>
      <c r="E151" s="41" t="s">
        <v>1714</v>
      </c>
      <c r="F151" s="41" t="s">
        <v>271</v>
      </c>
      <c r="G151" s="41">
        <v>159.0</v>
      </c>
      <c r="H151" s="41" t="s">
        <v>1715</v>
      </c>
      <c r="I151" s="41"/>
      <c r="J151" s="41" t="s">
        <v>1715</v>
      </c>
      <c r="K151" s="42" t="s">
        <v>1716</v>
      </c>
      <c r="L151" s="42" t="s">
        <v>1717</v>
      </c>
      <c r="N151" s="42">
        <v>0.0</v>
      </c>
      <c r="O151" s="42">
        <v>0.0</v>
      </c>
      <c r="P151" s="42">
        <v>2.0</v>
      </c>
      <c r="Q151" s="42">
        <v>0.0</v>
      </c>
      <c r="R151" s="42">
        <v>2.0</v>
      </c>
      <c r="S151" s="42">
        <v>0.0</v>
      </c>
      <c r="T151" s="42" t="s">
        <v>995</v>
      </c>
      <c r="U151" s="42">
        <v>0.0</v>
      </c>
      <c r="V151" s="42">
        <v>0.0</v>
      </c>
      <c r="W151" s="42">
        <v>0.0</v>
      </c>
      <c r="X151" s="42">
        <v>100.0</v>
      </c>
      <c r="Y151" s="42">
        <v>0.0</v>
      </c>
    </row>
    <row r="152" ht="22.5" customHeight="1">
      <c r="A152" s="41"/>
      <c r="B152" s="41">
        <v>1205.0</v>
      </c>
      <c r="C152" s="41" t="s">
        <v>271</v>
      </c>
      <c r="D152" s="41" t="s">
        <v>1718</v>
      </c>
      <c r="E152" s="41" t="s">
        <v>1718</v>
      </c>
      <c r="F152" s="41" t="s">
        <v>271</v>
      </c>
      <c r="G152" s="41">
        <v>160.0</v>
      </c>
      <c r="H152" s="41" t="s">
        <v>1718</v>
      </c>
      <c r="I152" s="41"/>
      <c r="J152" s="41" t="s">
        <v>1718</v>
      </c>
      <c r="K152" s="42" t="s">
        <v>1719</v>
      </c>
      <c r="L152" s="42" t="s">
        <v>1720</v>
      </c>
      <c r="N152" s="42">
        <v>1.0</v>
      </c>
      <c r="O152" s="42">
        <v>0.0</v>
      </c>
      <c r="P152" s="42">
        <v>2.0</v>
      </c>
      <c r="Q152" s="42">
        <v>0.0</v>
      </c>
      <c r="R152" s="42">
        <v>2.0</v>
      </c>
      <c r="S152" s="42">
        <v>0.0</v>
      </c>
      <c r="T152" s="42" t="s">
        <v>995</v>
      </c>
      <c r="U152" s="42">
        <v>0.0</v>
      </c>
      <c r="V152" s="42">
        <v>0.0</v>
      </c>
      <c r="W152" s="42">
        <v>0.0</v>
      </c>
      <c r="X152" s="42">
        <v>100.0</v>
      </c>
      <c r="Y152" s="42">
        <v>0.0</v>
      </c>
    </row>
    <row r="153" ht="22.5" customHeight="1">
      <c r="A153" s="41"/>
      <c r="B153" s="41">
        <v>1206.0</v>
      </c>
      <c r="C153" s="41" t="s">
        <v>271</v>
      </c>
      <c r="D153" s="41" t="s">
        <v>1721</v>
      </c>
      <c r="E153" s="41" t="s">
        <v>1721</v>
      </c>
      <c r="F153" s="41" t="s">
        <v>271</v>
      </c>
      <c r="G153" s="41">
        <v>161.0</v>
      </c>
      <c r="H153" s="41" t="s">
        <v>1721</v>
      </c>
      <c r="I153" s="41"/>
      <c r="J153" s="41" t="s">
        <v>1721</v>
      </c>
      <c r="K153" s="42" t="s">
        <v>1722</v>
      </c>
      <c r="L153" s="42" t="s">
        <v>1723</v>
      </c>
      <c r="N153" s="42">
        <v>1.0</v>
      </c>
      <c r="O153" s="42">
        <v>0.0</v>
      </c>
      <c r="P153" s="42">
        <v>2.0</v>
      </c>
      <c r="Q153" s="42">
        <v>0.0</v>
      </c>
      <c r="R153" s="42">
        <v>2.0</v>
      </c>
      <c r="S153" s="42">
        <v>0.0</v>
      </c>
      <c r="T153" s="42" t="s">
        <v>995</v>
      </c>
      <c r="U153" s="42">
        <v>0.0</v>
      </c>
      <c r="V153" s="42">
        <v>8.0</v>
      </c>
      <c r="W153" s="42">
        <v>0.0</v>
      </c>
      <c r="X153" s="42">
        <v>100.0</v>
      </c>
      <c r="Y153" s="42">
        <v>0.0</v>
      </c>
    </row>
    <row r="154" ht="22.5" customHeight="1">
      <c r="A154" s="41"/>
      <c r="B154" s="41">
        <v>1208.0</v>
      </c>
      <c r="C154" s="41" t="s">
        <v>271</v>
      </c>
      <c r="D154" s="41" t="s">
        <v>1724</v>
      </c>
      <c r="E154" s="41" t="s">
        <v>1724</v>
      </c>
      <c r="F154" s="41" t="s">
        <v>271</v>
      </c>
      <c r="G154" s="41">
        <v>163.0</v>
      </c>
      <c r="H154" s="41" t="s">
        <v>1725</v>
      </c>
      <c r="I154" s="41"/>
      <c r="J154" s="41" t="s">
        <v>1725</v>
      </c>
      <c r="K154" s="42" t="s">
        <v>1726</v>
      </c>
      <c r="L154" s="42" t="s">
        <v>1727</v>
      </c>
      <c r="N154" s="42">
        <v>0.0</v>
      </c>
      <c r="O154" s="42">
        <v>0.0</v>
      </c>
      <c r="P154" s="42">
        <v>2.0</v>
      </c>
      <c r="Q154" s="42">
        <v>0.0</v>
      </c>
      <c r="R154" s="42">
        <v>2.0</v>
      </c>
      <c r="S154" s="42">
        <v>0.0</v>
      </c>
      <c r="T154" s="42" t="s">
        <v>1728</v>
      </c>
      <c r="U154" s="42">
        <v>0.0</v>
      </c>
      <c r="V154" s="42">
        <v>0.0</v>
      </c>
      <c r="W154" s="42">
        <v>0.0</v>
      </c>
      <c r="X154" s="42">
        <v>100.0</v>
      </c>
      <c r="Y154" s="42">
        <v>0.0</v>
      </c>
    </row>
    <row r="155" ht="22.5" customHeight="1">
      <c r="A155" s="41"/>
      <c r="B155" s="41">
        <v>1209.0</v>
      </c>
      <c r="C155" s="41" t="s">
        <v>271</v>
      </c>
      <c r="D155" s="41" t="s">
        <v>1729</v>
      </c>
      <c r="E155" s="41" t="s">
        <v>1729</v>
      </c>
      <c r="F155" s="41" t="s">
        <v>271</v>
      </c>
      <c r="G155" s="41">
        <v>164.0</v>
      </c>
      <c r="H155" s="41" t="s">
        <v>1730</v>
      </c>
      <c r="I155" s="41"/>
      <c r="J155" s="41" t="s">
        <v>1731</v>
      </c>
      <c r="K155" s="42" t="s">
        <v>1732</v>
      </c>
      <c r="L155" s="42" t="s">
        <v>1733</v>
      </c>
      <c r="N155" s="42">
        <v>0.0</v>
      </c>
      <c r="O155" s="42">
        <v>0.0</v>
      </c>
      <c r="P155" s="42">
        <v>2.0</v>
      </c>
      <c r="Q155" s="42">
        <v>0.0</v>
      </c>
      <c r="R155" s="42">
        <v>2.0</v>
      </c>
      <c r="S155" s="42">
        <v>0.0</v>
      </c>
      <c r="T155" s="42" t="s">
        <v>995</v>
      </c>
      <c r="U155" s="42">
        <v>0.0</v>
      </c>
      <c r="V155" s="42">
        <v>0.0</v>
      </c>
      <c r="W155" s="42">
        <v>0.0</v>
      </c>
      <c r="X155" s="42">
        <v>100.0</v>
      </c>
      <c r="Y155" s="42">
        <v>0.0</v>
      </c>
    </row>
    <row r="156" ht="22.5" customHeight="1">
      <c r="A156" s="41"/>
      <c r="B156" s="41">
        <v>1210.0</v>
      </c>
      <c r="C156" s="41" t="s">
        <v>271</v>
      </c>
      <c r="D156" s="41" t="s">
        <v>1734</v>
      </c>
      <c r="E156" s="41" t="s">
        <v>1734</v>
      </c>
      <c r="F156" s="41" t="s">
        <v>271</v>
      </c>
      <c r="G156" s="41">
        <v>165.0</v>
      </c>
      <c r="H156" s="41" t="s">
        <v>1735</v>
      </c>
      <c r="I156" s="41"/>
      <c r="J156" s="41" t="s">
        <v>1735</v>
      </c>
      <c r="K156" s="42" t="s">
        <v>1736</v>
      </c>
      <c r="L156" s="42" t="s">
        <v>1737</v>
      </c>
      <c r="M156" s="42" t="s">
        <v>1028</v>
      </c>
      <c r="N156" s="42">
        <v>0.0</v>
      </c>
      <c r="O156" s="42">
        <v>1.0</v>
      </c>
      <c r="P156" s="42">
        <v>2.0</v>
      </c>
      <c r="Q156" s="42">
        <v>0.0</v>
      </c>
      <c r="R156" s="42">
        <v>10.0</v>
      </c>
      <c r="S156" s="42">
        <v>0.0</v>
      </c>
      <c r="T156" s="42" t="s">
        <v>1738</v>
      </c>
      <c r="U156" s="42">
        <v>1.0</v>
      </c>
      <c r="V156" s="42">
        <v>1.0</v>
      </c>
      <c r="W156" s="42">
        <v>0.0</v>
      </c>
      <c r="X156" s="42">
        <v>100.0</v>
      </c>
      <c r="Y156" s="42">
        <v>0.0</v>
      </c>
    </row>
    <row r="157" ht="22.5" customHeight="1">
      <c r="A157" s="41"/>
      <c r="B157" s="41">
        <v>1211.0</v>
      </c>
      <c r="C157" s="41" t="s">
        <v>271</v>
      </c>
      <c r="D157" s="41" t="s">
        <v>1739</v>
      </c>
      <c r="E157" s="41" t="s">
        <v>1739</v>
      </c>
      <c r="F157" s="41" t="s">
        <v>271</v>
      </c>
      <c r="G157" s="41">
        <v>166.0</v>
      </c>
      <c r="H157" s="41" t="s">
        <v>1740</v>
      </c>
      <c r="I157" s="41"/>
      <c r="J157" s="41" t="s">
        <v>1740</v>
      </c>
      <c r="K157" s="42" t="s">
        <v>1741</v>
      </c>
      <c r="L157" s="42" t="s">
        <v>1742</v>
      </c>
      <c r="N157" s="42">
        <v>0.0</v>
      </c>
      <c r="O157" s="42">
        <v>0.0</v>
      </c>
      <c r="P157" s="42">
        <v>2.0</v>
      </c>
      <c r="Q157" s="42">
        <v>0.0</v>
      </c>
      <c r="R157" s="42">
        <v>2.0</v>
      </c>
      <c r="S157" s="42">
        <v>0.0</v>
      </c>
      <c r="T157" s="42" t="s">
        <v>995</v>
      </c>
      <c r="U157" s="42">
        <v>0.0</v>
      </c>
      <c r="V157" s="42">
        <v>0.0</v>
      </c>
      <c r="W157" s="42">
        <v>0.0</v>
      </c>
      <c r="X157" s="42">
        <v>100.0</v>
      </c>
      <c r="Y157" s="42">
        <v>0.0</v>
      </c>
    </row>
    <row r="158" ht="22.5" customHeight="1">
      <c r="A158" s="41"/>
      <c r="B158" s="41">
        <v>1212.0</v>
      </c>
      <c r="C158" s="41" t="s">
        <v>271</v>
      </c>
      <c r="D158" s="41" t="s">
        <v>1743</v>
      </c>
      <c r="E158" s="41" t="s">
        <v>1743</v>
      </c>
      <c r="F158" s="41" t="s">
        <v>271</v>
      </c>
      <c r="G158" s="41">
        <v>167.0</v>
      </c>
      <c r="H158" s="41" t="s">
        <v>1744</v>
      </c>
      <c r="I158" s="41"/>
      <c r="J158" s="41" t="s">
        <v>1744</v>
      </c>
      <c r="K158" s="42" t="s">
        <v>1745</v>
      </c>
      <c r="L158" s="42" t="s">
        <v>1746</v>
      </c>
      <c r="N158" s="42">
        <v>1.0</v>
      </c>
      <c r="O158" s="42">
        <v>0.0</v>
      </c>
      <c r="P158" s="42">
        <v>2.0</v>
      </c>
      <c r="Q158" s="42">
        <v>0.0</v>
      </c>
      <c r="R158" s="42">
        <v>2.0</v>
      </c>
      <c r="S158" s="42">
        <v>0.0</v>
      </c>
      <c r="T158" s="42" t="s">
        <v>995</v>
      </c>
      <c r="U158" s="42">
        <v>0.0</v>
      </c>
      <c r="V158" s="42">
        <v>0.0</v>
      </c>
      <c r="W158" s="42">
        <v>0.0</v>
      </c>
      <c r="X158" s="42">
        <v>100.0</v>
      </c>
      <c r="Y158" s="42">
        <v>0.0</v>
      </c>
    </row>
    <row r="159" ht="22.5" customHeight="1">
      <c r="A159" s="41"/>
      <c r="B159" s="41">
        <v>1213.0</v>
      </c>
      <c r="C159" s="41" t="s">
        <v>271</v>
      </c>
      <c r="D159" s="41" t="s">
        <v>1747</v>
      </c>
      <c r="E159" s="41" t="s">
        <v>1747</v>
      </c>
      <c r="F159" s="41" t="s">
        <v>271</v>
      </c>
      <c r="G159" s="41">
        <v>168.0</v>
      </c>
      <c r="H159" s="41" t="s">
        <v>1748</v>
      </c>
      <c r="I159" s="41"/>
      <c r="J159" s="41" t="s">
        <v>1748</v>
      </c>
      <c r="K159" s="42" t="s">
        <v>1749</v>
      </c>
      <c r="L159" s="42" t="s">
        <v>1750</v>
      </c>
      <c r="M159" s="42" t="s">
        <v>1028</v>
      </c>
      <c r="N159" s="42">
        <v>0.0</v>
      </c>
      <c r="O159" s="42">
        <v>1.0</v>
      </c>
      <c r="P159" s="42">
        <v>2.0</v>
      </c>
      <c r="Q159" s="42">
        <v>0.0</v>
      </c>
      <c r="R159" s="42">
        <v>2.0</v>
      </c>
      <c r="S159" s="42">
        <v>0.0</v>
      </c>
      <c r="T159" s="42" t="s">
        <v>1751</v>
      </c>
      <c r="U159" s="42">
        <v>1.0</v>
      </c>
      <c r="V159" s="42">
        <v>6.0</v>
      </c>
      <c r="W159" s="42">
        <v>0.0</v>
      </c>
      <c r="X159" s="42">
        <v>100.0</v>
      </c>
      <c r="Y159" s="42">
        <v>0.0</v>
      </c>
    </row>
    <row r="160" ht="22.5" customHeight="1">
      <c r="A160" s="41"/>
      <c r="B160" s="41">
        <v>1214.0</v>
      </c>
      <c r="C160" s="41" t="s">
        <v>271</v>
      </c>
      <c r="D160" s="41" t="s">
        <v>1752</v>
      </c>
      <c r="E160" s="41" t="s">
        <v>1752</v>
      </c>
      <c r="F160" s="41" t="s">
        <v>271</v>
      </c>
      <c r="G160" s="41">
        <v>169.0</v>
      </c>
      <c r="H160" s="41" t="s">
        <v>1753</v>
      </c>
      <c r="I160" s="41"/>
      <c r="J160" s="41" t="s">
        <v>1753</v>
      </c>
      <c r="K160" s="42" t="s">
        <v>1754</v>
      </c>
      <c r="L160" s="42" t="s">
        <v>1755</v>
      </c>
      <c r="N160" s="42">
        <v>0.0</v>
      </c>
      <c r="O160" s="42">
        <v>0.0</v>
      </c>
      <c r="P160" s="42">
        <v>2.0</v>
      </c>
      <c r="Q160" s="42">
        <v>0.0</v>
      </c>
      <c r="R160" s="42">
        <v>2.0</v>
      </c>
      <c r="S160" s="42">
        <v>0.0</v>
      </c>
      <c r="T160" s="42" t="s">
        <v>995</v>
      </c>
      <c r="U160" s="42">
        <v>0.0</v>
      </c>
      <c r="V160" s="42">
        <v>0.0</v>
      </c>
      <c r="W160" s="42">
        <v>0.0</v>
      </c>
      <c r="X160" s="42">
        <v>100.0</v>
      </c>
      <c r="Y160" s="42">
        <v>0.0</v>
      </c>
    </row>
    <row r="161" ht="22.5" customHeight="1">
      <c r="A161" s="41"/>
      <c r="B161" s="41">
        <v>1215.0</v>
      </c>
      <c r="C161" s="41" t="s">
        <v>271</v>
      </c>
      <c r="D161" s="41" t="s">
        <v>1756</v>
      </c>
      <c r="E161" s="41" t="s">
        <v>1756</v>
      </c>
      <c r="F161" s="41" t="s">
        <v>271</v>
      </c>
      <c r="G161" s="41">
        <v>170.0</v>
      </c>
      <c r="H161" s="41" t="s">
        <v>1756</v>
      </c>
      <c r="I161" s="41"/>
      <c r="J161" s="41" t="s">
        <v>1756</v>
      </c>
      <c r="K161" s="42" t="s">
        <v>1757</v>
      </c>
      <c r="L161" s="42" t="s">
        <v>1758</v>
      </c>
      <c r="N161" s="42">
        <v>0.0</v>
      </c>
      <c r="O161" s="42">
        <v>0.0</v>
      </c>
      <c r="P161" s="42">
        <v>2.0</v>
      </c>
      <c r="Q161" s="42">
        <v>0.0</v>
      </c>
      <c r="R161" s="42">
        <v>2.0</v>
      </c>
      <c r="S161" s="42">
        <v>0.0</v>
      </c>
      <c r="T161" s="42" t="s">
        <v>995</v>
      </c>
      <c r="U161" s="42">
        <v>0.0</v>
      </c>
      <c r="V161" s="42">
        <v>0.0</v>
      </c>
      <c r="W161" s="42">
        <v>0.0</v>
      </c>
      <c r="X161" s="42">
        <v>100.0</v>
      </c>
      <c r="Y161" s="42">
        <v>0.0</v>
      </c>
    </row>
    <row r="162" ht="22.5" customHeight="1">
      <c r="A162" s="41"/>
      <c r="B162" s="41">
        <v>1216.0</v>
      </c>
      <c r="C162" s="41" t="s">
        <v>271</v>
      </c>
      <c r="D162" s="41" t="s">
        <v>1759</v>
      </c>
      <c r="E162" s="41" t="s">
        <v>1759</v>
      </c>
      <c r="F162" s="41" t="s">
        <v>271</v>
      </c>
      <c r="G162" s="41">
        <v>171.0</v>
      </c>
      <c r="H162" s="41" t="s">
        <v>1760</v>
      </c>
      <c r="I162" s="41"/>
      <c r="J162" s="41" t="s">
        <v>1760</v>
      </c>
      <c r="K162" s="42" t="s">
        <v>1761</v>
      </c>
      <c r="L162" s="42" t="s">
        <v>1762</v>
      </c>
      <c r="M162" s="42" t="s">
        <v>1082</v>
      </c>
      <c r="N162" s="42">
        <v>0.0</v>
      </c>
      <c r="O162" s="42">
        <v>1.0</v>
      </c>
      <c r="P162" s="42">
        <v>2.0</v>
      </c>
      <c r="Q162" s="42">
        <v>0.0</v>
      </c>
      <c r="R162" s="42">
        <v>2.0</v>
      </c>
      <c r="S162" s="42">
        <v>0.0</v>
      </c>
      <c r="T162" s="42" t="s">
        <v>1763</v>
      </c>
      <c r="U162" s="42">
        <v>1.0</v>
      </c>
      <c r="V162" s="42">
        <v>6.0</v>
      </c>
      <c r="W162" s="42">
        <v>0.0</v>
      </c>
      <c r="X162" s="42">
        <v>100.0</v>
      </c>
      <c r="Y162" s="42">
        <v>0.0</v>
      </c>
    </row>
    <row r="163" ht="22.5" customHeight="1">
      <c r="A163" s="41"/>
      <c r="B163" s="41">
        <v>1217.0</v>
      </c>
      <c r="C163" s="41" t="s">
        <v>271</v>
      </c>
      <c r="D163" s="41" t="s">
        <v>1764</v>
      </c>
      <c r="E163" s="41" t="s">
        <v>1764</v>
      </c>
      <c r="F163" s="41" t="s">
        <v>271</v>
      </c>
      <c r="G163" s="41">
        <v>172.0</v>
      </c>
      <c r="H163" s="41" t="s">
        <v>1765</v>
      </c>
      <c r="I163" s="41"/>
      <c r="J163" s="41" t="s">
        <v>1765</v>
      </c>
      <c r="K163" s="42" t="s">
        <v>1766</v>
      </c>
      <c r="L163" s="42" t="s">
        <v>1767</v>
      </c>
      <c r="M163" s="42" t="s">
        <v>1028</v>
      </c>
      <c r="N163" s="42">
        <v>0.0</v>
      </c>
      <c r="O163" s="42">
        <v>1.0</v>
      </c>
      <c r="P163" s="42">
        <v>2.0</v>
      </c>
      <c r="Q163" s="42">
        <v>0.0</v>
      </c>
      <c r="R163" s="42">
        <v>2.0</v>
      </c>
      <c r="S163" s="42">
        <v>0.0</v>
      </c>
      <c r="T163" s="42" t="s">
        <v>1768</v>
      </c>
      <c r="U163" s="42">
        <v>1.0</v>
      </c>
      <c r="V163" s="42">
        <v>8.0</v>
      </c>
      <c r="W163" s="42">
        <v>0.0</v>
      </c>
      <c r="X163" s="42">
        <v>100.0</v>
      </c>
      <c r="Y163" s="42">
        <v>0.0</v>
      </c>
    </row>
    <row r="164" ht="22.5" customHeight="1">
      <c r="A164" s="41"/>
      <c r="B164" s="41">
        <v>1218.0</v>
      </c>
      <c r="C164" s="41" t="s">
        <v>271</v>
      </c>
      <c r="D164" s="41" t="s">
        <v>1769</v>
      </c>
      <c r="E164" s="41" t="s">
        <v>1769</v>
      </c>
      <c r="F164" s="41" t="s">
        <v>271</v>
      </c>
      <c r="G164" s="41">
        <v>173.0</v>
      </c>
      <c r="H164" s="41" t="s">
        <v>1770</v>
      </c>
      <c r="I164" s="41"/>
      <c r="J164" s="41" t="s">
        <v>1770</v>
      </c>
      <c r="K164" s="42" t="s">
        <v>1771</v>
      </c>
      <c r="L164" s="42" t="s">
        <v>1772</v>
      </c>
      <c r="M164" s="42" t="s">
        <v>1043</v>
      </c>
      <c r="N164" s="42">
        <v>0.0</v>
      </c>
      <c r="O164" s="42">
        <v>1.0</v>
      </c>
      <c r="P164" s="42">
        <v>2.0</v>
      </c>
      <c r="Q164" s="42">
        <v>0.0</v>
      </c>
      <c r="R164" s="42">
        <v>2.0</v>
      </c>
      <c r="S164" s="42">
        <v>0.0</v>
      </c>
      <c r="T164" s="42" t="s">
        <v>1773</v>
      </c>
      <c r="U164" s="42">
        <v>1.0</v>
      </c>
      <c r="V164" s="42">
        <v>2.0</v>
      </c>
      <c r="W164" s="42">
        <v>0.0</v>
      </c>
      <c r="X164" s="42">
        <v>100.0</v>
      </c>
      <c r="Y164" s="42">
        <v>0.0</v>
      </c>
    </row>
    <row r="165" ht="22.5" customHeight="1">
      <c r="A165" s="41"/>
      <c r="B165" s="41">
        <v>1219.0</v>
      </c>
      <c r="C165" s="41" t="s">
        <v>271</v>
      </c>
      <c r="D165" s="41" t="s">
        <v>1774</v>
      </c>
      <c r="E165" s="41" t="s">
        <v>1774</v>
      </c>
      <c r="F165" s="41" t="s">
        <v>271</v>
      </c>
      <c r="G165" s="41">
        <v>174.0</v>
      </c>
      <c r="H165" s="41" t="s">
        <v>1775</v>
      </c>
      <c r="I165" s="41"/>
      <c r="J165" s="41" t="s">
        <v>1775</v>
      </c>
      <c r="K165" s="42" t="s">
        <v>1776</v>
      </c>
      <c r="L165" s="42" t="s">
        <v>1777</v>
      </c>
      <c r="N165" s="42">
        <v>1.0</v>
      </c>
      <c r="O165" s="42">
        <v>0.0</v>
      </c>
      <c r="P165" s="42">
        <v>2.0</v>
      </c>
      <c r="Q165" s="42">
        <v>0.0</v>
      </c>
      <c r="R165" s="42">
        <v>2.0</v>
      </c>
      <c r="S165" s="42">
        <v>0.0</v>
      </c>
      <c r="T165" s="42" t="s">
        <v>995</v>
      </c>
      <c r="U165" s="42">
        <v>0.0</v>
      </c>
      <c r="V165" s="42">
        <v>0.0</v>
      </c>
      <c r="W165" s="42">
        <v>0.0</v>
      </c>
      <c r="X165" s="42">
        <v>100.0</v>
      </c>
      <c r="Y165" s="42">
        <v>0.0</v>
      </c>
    </row>
    <row r="166" ht="22.5" customHeight="1">
      <c r="A166" s="41"/>
      <c r="B166" s="41">
        <v>1220.0</v>
      </c>
      <c r="C166" s="41" t="s">
        <v>271</v>
      </c>
      <c r="D166" s="41" t="s">
        <v>1778</v>
      </c>
      <c r="E166" s="41" t="s">
        <v>1778</v>
      </c>
      <c r="F166" s="41" t="s">
        <v>271</v>
      </c>
      <c r="G166" s="41">
        <v>175.0</v>
      </c>
      <c r="H166" s="41" t="s">
        <v>1779</v>
      </c>
      <c r="I166" s="41"/>
      <c r="J166" s="41" t="s">
        <v>1779</v>
      </c>
      <c r="K166" s="42" t="s">
        <v>1780</v>
      </c>
      <c r="L166" s="42" t="s">
        <v>1781</v>
      </c>
      <c r="N166" s="42">
        <v>0.0</v>
      </c>
      <c r="O166" s="42">
        <v>0.0</v>
      </c>
      <c r="P166" s="42">
        <v>2.0</v>
      </c>
      <c r="Q166" s="42">
        <v>0.0</v>
      </c>
      <c r="R166" s="42">
        <v>0.0</v>
      </c>
      <c r="S166" s="42">
        <v>0.0</v>
      </c>
      <c r="T166" s="42" t="s">
        <v>1782</v>
      </c>
      <c r="U166" s="42">
        <v>1.0</v>
      </c>
      <c r="V166" s="42">
        <v>0.0</v>
      </c>
      <c r="W166" s="42">
        <v>0.0</v>
      </c>
      <c r="X166" s="42">
        <v>100.0</v>
      </c>
      <c r="Y166" s="42">
        <v>0.0</v>
      </c>
    </row>
    <row r="167" ht="22.5" customHeight="1">
      <c r="A167" s="41"/>
      <c r="B167" s="41">
        <v>1222.0</v>
      </c>
      <c r="C167" s="41" t="s">
        <v>271</v>
      </c>
      <c r="D167" s="41" t="s">
        <v>1783</v>
      </c>
      <c r="E167" s="41" t="s">
        <v>1783</v>
      </c>
      <c r="F167" s="41" t="s">
        <v>271</v>
      </c>
      <c r="G167" s="41">
        <v>176.0</v>
      </c>
      <c r="H167" s="41" t="s">
        <v>1784</v>
      </c>
      <c r="I167" s="41"/>
      <c r="J167" s="41" t="s">
        <v>1784</v>
      </c>
      <c r="K167" s="42" t="s">
        <v>1785</v>
      </c>
      <c r="L167" s="42" t="s">
        <v>1786</v>
      </c>
      <c r="N167" s="42">
        <v>0.0</v>
      </c>
      <c r="O167" s="42">
        <v>0.0</v>
      </c>
      <c r="P167" s="42">
        <v>2.0</v>
      </c>
      <c r="Q167" s="42">
        <v>0.0</v>
      </c>
      <c r="R167" s="42">
        <v>2.0</v>
      </c>
      <c r="S167" s="42">
        <v>0.0</v>
      </c>
      <c r="T167" s="42" t="s">
        <v>995</v>
      </c>
      <c r="U167" s="42">
        <v>0.0</v>
      </c>
      <c r="V167" s="42">
        <v>0.0</v>
      </c>
      <c r="W167" s="42">
        <v>0.0</v>
      </c>
      <c r="X167" s="42">
        <v>100.0</v>
      </c>
      <c r="Y167" s="42">
        <v>0.0</v>
      </c>
    </row>
    <row r="168" ht="22.5" customHeight="1">
      <c r="A168" s="41"/>
      <c r="B168" s="41">
        <v>1223.0</v>
      </c>
      <c r="C168" s="41" t="s">
        <v>271</v>
      </c>
      <c r="D168" s="41" t="s">
        <v>1787</v>
      </c>
      <c r="E168" s="41" t="s">
        <v>1787</v>
      </c>
      <c r="F168" s="41" t="s">
        <v>271</v>
      </c>
      <c r="G168" s="41">
        <v>177.0</v>
      </c>
      <c r="H168" s="41" t="s">
        <v>1788</v>
      </c>
      <c r="I168" s="41"/>
      <c r="J168" s="41" t="s">
        <v>1788</v>
      </c>
      <c r="K168" s="42" t="s">
        <v>1789</v>
      </c>
      <c r="L168" s="42" t="s">
        <v>1790</v>
      </c>
      <c r="N168" s="42">
        <v>0.0</v>
      </c>
      <c r="O168" s="42">
        <v>0.0</v>
      </c>
      <c r="P168" s="42">
        <v>2.0</v>
      </c>
      <c r="Q168" s="42">
        <v>0.0</v>
      </c>
      <c r="R168" s="42">
        <v>2.0</v>
      </c>
      <c r="S168" s="42">
        <v>0.0</v>
      </c>
      <c r="T168" s="42" t="s">
        <v>1791</v>
      </c>
      <c r="U168" s="42">
        <v>0.0</v>
      </c>
      <c r="V168" s="42">
        <v>0.0</v>
      </c>
      <c r="W168" s="42">
        <v>0.0</v>
      </c>
      <c r="X168" s="42">
        <v>100.0</v>
      </c>
      <c r="Y168" s="42">
        <v>0.0</v>
      </c>
    </row>
    <row r="169" ht="22.5" customHeight="1">
      <c r="A169" s="41"/>
      <c r="B169" s="41">
        <v>1226.0</v>
      </c>
      <c r="C169" s="41" t="s">
        <v>271</v>
      </c>
      <c r="D169" s="41" t="s">
        <v>1792</v>
      </c>
      <c r="E169" s="41" t="s">
        <v>1792</v>
      </c>
      <c r="F169" s="41" t="s">
        <v>271</v>
      </c>
      <c r="G169" s="41">
        <v>178.0</v>
      </c>
      <c r="H169" s="41" t="s">
        <v>1793</v>
      </c>
      <c r="I169" s="41"/>
      <c r="J169" s="41" t="s">
        <v>1793</v>
      </c>
      <c r="K169" s="42" t="s">
        <v>1794</v>
      </c>
      <c r="L169" s="42" t="s">
        <v>1795</v>
      </c>
      <c r="N169" s="42">
        <v>0.0</v>
      </c>
      <c r="O169" s="42">
        <v>0.0</v>
      </c>
      <c r="P169" s="42">
        <v>2.0</v>
      </c>
      <c r="Q169" s="42">
        <v>0.0</v>
      </c>
      <c r="R169" s="42">
        <v>2.0</v>
      </c>
      <c r="S169" s="42">
        <v>0.0</v>
      </c>
      <c r="T169" s="42" t="s">
        <v>1796</v>
      </c>
      <c r="U169" s="42">
        <v>0.0</v>
      </c>
      <c r="V169" s="42">
        <v>0.0</v>
      </c>
      <c r="W169" s="42">
        <v>0.0</v>
      </c>
      <c r="X169" s="42">
        <v>100.0</v>
      </c>
      <c r="Y169" s="42">
        <v>0.0</v>
      </c>
    </row>
    <row r="170" ht="22.5" customHeight="1">
      <c r="A170" s="41"/>
      <c r="B170" s="41">
        <v>1227.0</v>
      </c>
      <c r="C170" s="41" t="s">
        <v>271</v>
      </c>
      <c r="D170" s="41" t="s">
        <v>1797</v>
      </c>
      <c r="E170" s="41" t="s">
        <v>1797</v>
      </c>
      <c r="F170" s="41" t="s">
        <v>271</v>
      </c>
      <c r="G170" s="41">
        <v>179.0</v>
      </c>
      <c r="H170" s="41" t="s">
        <v>1798</v>
      </c>
      <c r="I170" s="41"/>
      <c r="J170" s="41" t="s">
        <v>1798</v>
      </c>
      <c r="K170" s="42" t="s">
        <v>1799</v>
      </c>
      <c r="L170" s="42" t="s">
        <v>1800</v>
      </c>
      <c r="N170" s="42">
        <v>0.0</v>
      </c>
      <c r="O170" s="42">
        <v>0.0</v>
      </c>
      <c r="P170" s="42">
        <v>2.0</v>
      </c>
      <c r="Q170" s="42">
        <v>0.0</v>
      </c>
      <c r="R170" s="42">
        <v>2.0</v>
      </c>
      <c r="S170" s="42">
        <v>0.0</v>
      </c>
      <c r="T170" s="42" t="s">
        <v>1801</v>
      </c>
      <c r="U170" s="42">
        <v>0.0</v>
      </c>
      <c r="V170" s="42">
        <v>0.0</v>
      </c>
      <c r="W170" s="42">
        <v>0.0</v>
      </c>
      <c r="X170" s="42">
        <v>100.0</v>
      </c>
      <c r="Y170" s="42">
        <v>0.0</v>
      </c>
    </row>
    <row r="171" ht="22.5" customHeight="1">
      <c r="A171" s="41"/>
      <c r="B171" s="41">
        <v>1228.0</v>
      </c>
      <c r="C171" s="41" t="s">
        <v>271</v>
      </c>
      <c r="D171" s="41" t="s">
        <v>1802</v>
      </c>
      <c r="E171" s="41" t="s">
        <v>1802</v>
      </c>
      <c r="F171" s="41" t="s">
        <v>271</v>
      </c>
      <c r="G171" s="41">
        <v>180.0</v>
      </c>
      <c r="H171" s="41" t="s">
        <v>1803</v>
      </c>
      <c r="I171" s="41"/>
      <c r="J171" s="41" t="s">
        <v>1803</v>
      </c>
      <c r="K171" s="42" t="s">
        <v>1804</v>
      </c>
      <c r="L171" s="42" t="s">
        <v>1805</v>
      </c>
      <c r="N171" s="42">
        <v>0.0</v>
      </c>
      <c r="O171" s="42">
        <v>0.0</v>
      </c>
      <c r="P171" s="42">
        <v>2.0</v>
      </c>
      <c r="Q171" s="42">
        <v>0.0</v>
      </c>
      <c r="R171" s="42">
        <v>2.0</v>
      </c>
      <c r="S171" s="42">
        <v>0.0</v>
      </c>
      <c r="T171" s="42" t="s">
        <v>995</v>
      </c>
      <c r="U171" s="42">
        <v>0.0</v>
      </c>
      <c r="V171" s="42">
        <v>0.0</v>
      </c>
      <c r="W171" s="42">
        <v>0.0</v>
      </c>
      <c r="X171" s="42">
        <v>100.0</v>
      </c>
      <c r="Y171" s="42">
        <v>0.0</v>
      </c>
    </row>
    <row r="172" ht="22.5" customHeight="1">
      <c r="A172" s="41"/>
      <c r="B172" s="41">
        <v>1229.0</v>
      </c>
      <c r="C172" s="41" t="s">
        <v>271</v>
      </c>
      <c r="D172" s="41" t="s">
        <v>1806</v>
      </c>
      <c r="E172" s="41" t="s">
        <v>1806</v>
      </c>
      <c r="F172" s="41" t="s">
        <v>271</v>
      </c>
      <c r="G172" s="41">
        <v>181.0</v>
      </c>
      <c r="H172" s="41" t="s">
        <v>1807</v>
      </c>
      <c r="I172" s="41"/>
      <c r="J172" s="41" t="s">
        <v>1807</v>
      </c>
      <c r="K172" s="42" t="s">
        <v>1808</v>
      </c>
      <c r="L172" s="42" t="s">
        <v>1809</v>
      </c>
      <c r="M172" s="42" t="s">
        <v>1810</v>
      </c>
      <c r="N172" s="42">
        <v>0.0</v>
      </c>
      <c r="O172" s="42">
        <v>1.0</v>
      </c>
      <c r="P172" s="42">
        <v>2.0</v>
      </c>
      <c r="Q172" s="42">
        <v>0.0</v>
      </c>
      <c r="R172" s="42">
        <v>9.0</v>
      </c>
      <c r="S172" s="42">
        <v>0.0</v>
      </c>
      <c r="T172" s="42" t="s">
        <v>1811</v>
      </c>
      <c r="U172" s="42">
        <v>1.0</v>
      </c>
      <c r="V172" s="42">
        <v>3.0</v>
      </c>
      <c r="W172" s="42">
        <v>0.0</v>
      </c>
      <c r="X172" s="42">
        <v>100.0</v>
      </c>
      <c r="Y172" s="42">
        <v>0.0</v>
      </c>
    </row>
    <row r="173" ht="22.5" customHeight="1">
      <c r="A173" s="41"/>
      <c r="B173" s="41">
        <v>1230.0</v>
      </c>
      <c r="C173" s="41" t="s">
        <v>271</v>
      </c>
      <c r="D173" s="41" t="s">
        <v>1812</v>
      </c>
      <c r="E173" s="41" t="s">
        <v>1812</v>
      </c>
      <c r="F173" s="41" t="s">
        <v>271</v>
      </c>
      <c r="G173" s="41">
        <v>182.0</v>
      </c>
      <c r="H173" s="41" t="s">
        <v>1813</v>
      </c>
      <c r="I173" s="41"/>
      <c r="J173" s="41" t="s">
        <v>1813</v>
      </c>
      <c r="K173" s="42" t="s">
        <v>1814</v>
      </c>
      <c r="L173" s="42" t="s">
        <v>1815</v>
      </c>
      <c r="M173" s="42" t="s">
        <v>1082</v>
      </c>
      <c r="N173" s="42">
        <v>0.0</v>
      </c>
      <c r="O173" s="42">
        <v>1.0</v>
      </c>
      <c r="P173" s="42">
        <v>2.0</v>
      </c>
      <c r="Q173" s="42">
        <v>0.0</v>
      </c>
      <c r="R173" s="42">
        <v>9.0</v>
      </c>
      <c r="S173" s="42">
        <v>0.0</v>
      </c>
      <c r="T173" s="42" t="s">
        <v>1816</v>
      </c>
      <c r="U173" s="42">
        <v>1.0</v>
      </c>
      <c r="V173" s="42">
        <v>6.0</v>
      </c>
      <c r="W173" s="42">
        <v>0.0</v>
      </c>
      <c r="X173" s="42">
        <v>100.0</v>
      </c>
      <c r="Y173" s="42">
        <v>0.0</v>
      </c>
    </row>
    <row r="174" ht="22.5" customHeight="1">
      <c r="A174" s="41"/>
      <c r="B174" s="41">
        <v>1231.0</v>
      </c>
      <c r="C174" s="41" t="s">
        <v>271</v>
      </c>
      <c r="D174" s="41" t="s">
        <v>1817</v>
      </c>
      <c r="E174" s="41" t="s">
        <v>1817</v>
      </c>
      <c r="F174" s="41" t="s">
        <v>271</v>
      </c>
      <c r="G174" s="41">
        <v>183.0</v>
      </c>
      <c r="H174" s="41" t="s">
        <v>1818</v>
      </c>
      <c r="I174" s="41"/>
      <c r="J174" s="41" t="s">
        <v>1818</v>
      </c>
      <c r="K174" s="42" t="s">
        <v>1819</v>
      </c>
      <c r="L174" s="42" t="s">
        <v>1820</v>
      </c>
      <c r="M174" s="42" t="s">
        <v>1043</v>
      </c>
      <c r="N174" s="42">
        <v>0.0</v>
      </c>
      <c r="O174" s="42">
        <v>1.0</v>
      </c>
      <c r="P174" s="42">
        <v>2.0</v>
      </c>
      <c r="Q174" s="42">
        <v>0.0</v>
      </c>
      <c r="R174" s="42">
        <v>2.0</v>
      </c>
      <c r="S174" s="42">
        <v>0.0</v>
      </c>
      <c r="T174" s="42" t="s">
        <v>1821</v>
      </c>
      <c r="U174" s="42">
        <v>1.0</v>
      </c>
      <c r="V174" s="42">
        <v>8.0</v>
      </c>
      <c r="W174" s="42">
        <v>0.0</v>
      </c>
      <c r="X174" s="42">
        <v>100.0</v>
      </c>
      <c r="Y174" s="42">
        <v>0.0</v>
      </c>
    </row>
    <row r="175" ht="22.5" customHeight="1">
      <c r="A175" s="41"/>
      <c r="B175" s="41">
        <v>1232.0</v>
      </c>
      <c r="C175" s="41" t="s">
        <v>271</v>
      </c>
      <c r="D175" s="41" t="s">
        <v>1822</v>
      </c>
      <c r="E175" s="41" t="s">
        <v>1822</v>
      </c>
      <c r="F175" s="41" t="s">
        <v>271</v>
      </c>
      <c r="G175" s="41">
        <v>184.0</v>
      </c>
      <c r="H175" s="41" t="s">
        <v>1823</v>
      </c>
      <c r="I175" s="41"/>
      <c r="J175" s="41" t="s">
        <v>1823</v>
      </c>
      <c r="K175" s="42" t="s">
        <v>1824</v>
      </c>
      <c r="L175" s="42" t="s">
        <v>1825</v>
      </c>
      <c r="M175" s="42" t="s">
        <v>1826</v>
      </c>
      <c r="N175" s="42">
        <v>0.0</v>
      </c>
      <c r="O175" s="42">
        <v>1.0</v>
      </c>
      <c r="P175" s="42">
        <v>2.0</v>
      </c>
      <c r="Q175" s="42">
        <v>0.0</v>
      </c>
      <c r="R175" s="42">
        <v>10.0</v>
      </c>
      <c r="S175" s="42">
        <v>0.0</v>
      </c>
      <c r="T175" s="42" t="s">
        <v>1827</v>
      </c>
      <c r="U175" s="42">
        <v>1.0</v>
      </c>
      <c r="V175" s="42">
        <v>8.0</v>
      </c>
      <c r="W175" s="42">
        <v>0.0</v>
      </c>
      <c r="X175" s="42">
        <v>100.0</v>
      </c>
      <c r="Y175" s="42">
        <v>0.0</v>
      </c>
    </row>
    <row r="176" ht="22.5" customHeight="1">
      <c r="A176" s="41"/>
      <c r="B176" s="41">
        <v>1233.0</v>
      </c>
      <c r="C176" s="41" t="s">
        <v>271</v>
      </c>
      <c r="D176" s="41" t="s">
        <v>1828</v>
      </c>
      <c r="E176" s="41" t="s">
        <v>1828</v>
      </c>
      <c r="F176" s="41" t="s">
        <v>271</v>
      </c>
      <c r="G176" s="41">
        <v>185.0</v>
      </c>
      <c r="H176" s="41" t="s">
        <v>1829</v>
      </c>
      <c r="I176" s="41"/>
      <c r="J176" s="41" t="s">
        <v>1829</v>
      </c>
      <c r="K176" s="42" t="s">
        <v>1830</v>
      </c>
      <c r="L176" s="42" t="s">
        <v>1831</v>
      </c>
      <c r="M176" s="42" t="s">
        <v>1028</v>
      </c>
      <c r="N176" s="42">
        <v>0.0</v>
      </c>
      <c r="O176" s="42">
        <v>1.0</v>
      </c>
      <c r="P176" s="42">
        <v>2.0</v>
      </c>
      <c r="Q176" s="42">
        <v>0.0</v>
      </c>
      <c r="R176" s="42">
        <v>10.0</v>
      </c>
      <c r="S176" s="42">
        <v>0.0</v>
      </c>
      <c r="T176" s="42" t="s">
        <v>1832</v>
      </c>
      <c r="U176" s="42">
        <v>1.0</v>
      </c>
      <c r="V176" s="42">
        <v>8.0</v>
      </c>
      <c r="W176" s="42">
        <v>0.0</v>
      </c>
      <c r="X176" s="42">
        <v>100.0</v>
      </c>
      <c r="Y176" s="42">
        <v>0.0</v>
      </c>
    </row>
    <row r="177" ht="22.5" customHeight="1">
      <c r="A177" s="41"/>
      <c r="B177" s="41">
        <v>1234.0</v>
      </c>
      <c r="C177" s="41" t="s">
        <v>271</v>
      </c>
      <c r="D177" s="41" t="s">
        <v>1833</v>
      </c>
      <c r="E177" s="41" t="s">
        <v>1833</v>
      </c>
      <c r="F177" s="41" t="s">
        <v>271</v>
      </c>
      <c r="G177" s="41">
        <v>186.0</v>
      </c>
      <c r="H177" s="41" t="s">
        <v>1833</v>
      </c>
      <c r="I177" s="41"/>
      <c r="J177" s="41" t="s">
        <v>1833</v>
      </c>
      <c r="K177" s="42" t="s">
        <v>1834</v>
      </c>
      <c r="L177" s="42" t="s">
        <v>1835</v>
      </c>
      <c r="M177" s="42" t="s">
        <v>970</v>
      </c>
      <c r="N177" s="42">
        <v>1.0</v>
      </c>
      <c r="O177" s="42">
        <v>1.0</v>
      </c>
      <c r="P177" s="42">
        <v>2.0</v>
      </c>
      <c r="Q177" s="42">
        <v>0.0</v>
      </c>
      <c r="R177" s="42">
        <v>2.0</v>
      </c>
      <c r="S177" s="42">
        <v>0.0</v>
      </c>
      <c r="T177" s="42" t="s">
        <v>1836</v>
      </c>
      <c r="U177" s="42">
        <v>1.0</v>
      </c>
      <c r="V177" s="42">
        <v>0.0</v>
      </c>
      <c r="W177" s="42">
        <v>0.0</v>
      </c>
      <c r="X177" s="42">
        <v>100.0</v>
      </c>
      <c r="Y177" s="42">
        <v>0.0</v>
      </c>
    </row>
    <row r="178" ht="22.5" customHeight="1">
      <c r="A178" s="41"/>
      <c r="B178" s="41">
        <v>1235.0</v>
      </c>
      <c r="C178" s="41" t="s">
        <v>271</v>
      </c>
      <c r="D178" s="41" t="s">
        <v>1837</v>
      </c>
      <c r="E178" s="41" t="s">
        <v>1837</v>
      </c>
      <c r="F178" s="41" t="s">
        <v>271</v>
      </c>
      <c r="G178" s="41">
        <v>187.0</v>
      </c>
      <c r="H178" s="41" t="s">
        <v>1838</v>
      </c>
      <c r="I178" s="41"/>
      <c r="J178" s="41" t="s">
        <v>1838</v>
      </c>
      <c r="K178" s="42" t="s">
        <v>1839</v>
      </c>
      <c r="L178" s="42" t="s">
        <v>1840</v>
      </c>
      <c r="M178" s="42" t="s">
        <v>1082</v>
      </c>
      <c r="N178" s="42">
        <v>0.0</v>
      </c>
      <c r="O178" s="42">
        <v>1.0</v>
      </c>
      <c r="P178" s="42">
        <v>2.0</v>
      </c>
      <c r="Q178" s="42">
        <v>0.0</v>
      </c>
      <c r="R178" s="42">
        <v>2.0</v>
      </c>
      <c r="S178" s="42">
        <v>0.0</v>
      </c>
      <c r="T178" s="42" t="s">
        <v>1841</v>
      </c>
      <c r="U178" s="42">
        <v>1.0</v>
      </c>
      <c r="V178" s="42">
        <v>5.0</v>
      </c>
      <c r="W178" s="42">
        <v>0.0</v>
      </c>
      <c r="X178" s="42">
        <v>100.0</v>
      </c>
      <c r="Y178" s="42">
        <v>0.0</v>
      </c>
    </row>
    <row r="179" ht="22.5" customHeight="1">
      <c r="A179" s="41"/>
      <c r="B179" s="41">
        <v>1237.0</v>
      </c>
      <c r="C179" s="41" t="s">
        <v>271</v>
      </c>
      <c r="D179" s="41" t="s">
        <v>1842</v>
      </c>
      <c r="E179" s="41" t="s">
        <v>1842</v>
      </c>
      <c r="F179" s="41" t="s">
        <v>271</v>
      </c>
      <c r="G179" s="41">
        <v>189.0</v>
      </c>
      <c r="H179" s="41" t="s">
        <v>1843</v>
      </c>
      <c r="I179" s="41"/>
      <c r="J179" s="41" t="s">
        <v>1843</v>
      </c>
      <c r="K179" s="42" t="s">
        <v>1844</v>
      </c>
      <c r="L179" s="42" t="s">
        <v>1845</v>
      </c>
      <c r="M179" s="42" t="s">
        <v>1043</v>
      </c>
      <c r="N179" s="42">
        <v>0.0</v>
      </c>
      <c r="O179" s="42">
        <v>1.0</v>
      </c>
      <c r="P179" s="42">
        <v>2.0</v>
      </c>
      <c r="Q179" s="42">
        <v>0.0</v>
      </c>
      <c r="R179" s="42">
        <v>10.0</v>
      </c>
      <c r="S179" s="42">
        <v>0.0</v>
      </c>
      <c r="T179" s="42" t="s">
        <v>1846</v>
      </c>
      <c r="U179" s="42">
        <v>1.0</v>
      </c>
      <c r="V179" s="42">
        <v>1.0</v>
      </c>
      <c r="W179" s="42">
        <v>1.0</v>
      </c>
      <c r="X179" s="42">
        <v>100.0</v>
      </c>
      <c r="Y179" s="42">
        <v>0.0</v>
      </c>
    </row>
    <row r="180" ht="22.5" customHeight="1">
      <c r="A180" s="41"/>
      <c r="B180" s="41">
        <v>1238.0</v>
      </c>
      <c r="C180" s="41" t="s">
        <v>271</v>
      </c>
      <c r="D180" s="41" t="s">
        <v>1847</v>
      </c>
      <c r="E180" s="41" t="s">
        <v>1847</v>
      </c>
      <c r="F180" s="41" t="s">
        <v>271</v>
      </c>
      <c r="G180" s="41">
        <v>190.0</v>
      </c>
      <c r="H180" s="41" t="s">
        <v>1848</v>
      </c>
      <c r="I180" s="41"/>
      <c r="J180" s="41" t="s">
        <v>1848</v>
      </c>
      <c r="K180" s="42" t="s">
        <v>1849</v>
      </c>
      <c r="L180" s="42" t="s">
        <v>1850</v>
      </c>
      <c r="N180" s="42">
        <v>0.0</v>
      </c>
      <c r="O180" s="42">
        <v>0.0</v>
      </c>
      <c r="P180" s="42">
        <v>2.0</v>
      </c>
      <c r="Q180" s="42">
        <v>0.0</v>
      </c>
      <c r="R180" s="42">
        <v>2.0</v>
      </c>
      <c r="S180" s="42">
        <v>0.0</v>
      </c>
      <c r="T180" s="42" t="s">
        <v>995</v>
      </c>
      <c r="U180" s="42">
        <v>0.0</v>
      </c>
      <c r="V180" s="42">
        <v>0.0</v>
      </c>
      <c r="W180" s="42">
        <v>0.0</v>
      </c>
      <c r="X180" s="42">
        <v>100.0</v>
      </c>
      <c r="Y180" s="42">
        <v>0.0</v>
      </c>
    </row>
    <row r="181" ht="22.5" customHeight="1">
      <c r="A181" s="41"/>
      <c r="B181" s="41">
        <v>1239.0</v>
      </c>
      <c r="C181" s="41" t="s">
        <v>271</v>
      </c>
      <c r="D181" s="41" t="s">
        <v>1851</v>
      </c>
      <c r="E181" s="41" t="s">
        <v>1851</v>
      </c>
      <c r="F181" s="41" t="s">
        <v>271</v>
      </c>
      <c r="G181" s="41">
        <v>191.0</v>
      </c>
      <c r="H181" s="41" t="s">
        <v>1852</v>
      </c>
      <c r="I181" s="41"/>
      <c r="J181" s="41" t="s">
        <v>1852</v>
      </c>
      <c r="K181" s="42" t="s">
        <v>1853</v>
      </c>
      <c r="L181" s="42" t="s">
        <v>1854</v>
      </c>
      <c r="N181" s="42">
        <v>0.0</v>
      </c>
      <c r="O181" s="42">
        <v>0.0</v>
      </c>
      <c r="P181" s="42">
        <v>2.0</v>
      </c>
      <c r="Q181" s="42">
        <v>0.0</v>
      </c>
      <c r="R181" s="42">
        <v>0.0</v>
      </c>
      <c r="S181" s="42">
        <v>0.0</v>
      </c>
      <c r="T181" s="42" t="s">
        <v>1855</v>
      </c>
      <c r="U181" s="42">
        <v>1.0</v>
      </c>
      <c r="V181" s="42">
        <v>0.0</v>
      </c>
      <c r="W181" s="42">
        <v>0.0</v>
      </c>
      <c r="X181" s="42">
        <v>100.0</v>
      </c>
      <c r="Y181" s="42">
        <v>0.0</v>
      </c>
    </row>
    <row r="182" ht="22.5" customHeight="1">
      <c r="A182" s="41"/>
      <c r="B182" s="41">
        <v>1240.0</v>
      </c>
      <c r="C182" s="41" t="s">
        <v>271</v>
      </c>
      <c r="D182" s="41" t="s">
        <v>1856</v>
      </c>
      <c r="E182" s="41" t="s">
        <v>1856</v>
      </c>
      <c r="F182" s="41" t="s">
        <v>271</v>
      </c>
      <c r="G182" s="41">
        <v>192.0</v>
      </c>
      <c r="H182" s="41" t="s">
        <v>1857</v>
      </c>
      <c r="I182" s="41"/>
      <c r="J182" s="41" t="s">
        <v>1857</v>
      </c>
      <c r="K182" s="42" t="s">
        <v>1858</v>
      </c>
      <c r="L182" s="42" t="s">
        <v>1859</v>
      </c>
      <c r="N182" s="42">
        <v>0.0</v>
      </c>
      <c r="O182" s="42">
        <v>0.0</v>
      </c>
      <c r="P182" s="42">
        <v>2.0</v>
      </c>
      <c r="Q182" s="42">
        <v>0.0</v>
      </c>
      <c r="R182" s="42">
        <v>2.0</v>
      </c>
      <c r="S182" s="42">
        <v>0.0</v>
      </c>
      <c r="T182" s="42" t="s">
        <v>995</v>
      </c>
      <c r="U182" s="42">
        <v>0.0</v>
      </c>
      <c r="V182" s="42">
        <v>0.0</v>
      </c>
      <c r="W182" s="42">
        <v>0.0</v>
      </c>
      <c r="X182" s="42">
        <v>100.0</v>
      </c>
      <c r="Y182" s="42">
        <v>0.0</v>
      </c>
    </row>
    <row r="183" ht="22.5" customHeight="1">
      <c r="A183" s="41"/>
      <c r="B183" s="41">
        <v>1241.0</v>
      </c>
      <c r="C183" s="41" t="s">
        <v>271</v>
      </c>
      <c r="D183" s="41" t="s">
        <v>1860</v>
      </c>
      <c r="E183" s="41" t="s">
        <v>1860</v>
      </c>
      <c r="F183" s="41" t="s">
        <v>271</v>
      </c>
      <c r="G183" s="41">
        <v>193.0</v>
      </c>
      <c r="H183" s="41" t="s">
        <v>1861</v>
      </c>
      <c r="I183" s="41"/>
      <c r="J183" s="41" t="s">
        <v>1861</v>
      </c>
      <c r="K183" s="42" t="s">
        <v>1862</v>
      </c>
      <c r="L183" s="42" t="s">
        <v>1863</v>
      </c>
      <c r="M183" s="42" t="s">
        <v>1043</v>
      </c>
      <c r="N183" s="42">
        <v>0.0</v>
      </c>
      <c r="O183" s="42">
        <v>1.0</v>
      </c>
      <c r="P183" s="42">
        <v>2.0</v>
      </c>
      <c r="Q183" s="42">
        <v>0.0</v>
      </c>
      <c r="R183" s="42">
        <v>10.0</v>
      </c>
      <c r="S183" s="42">
        <v>0.0</v>
      </c>
      <c r="T183" s="42" t="s">
        <v>1864</v>
      </c>
      <c r="U183" s="42">
        <v>1.0</v>
      </c>
      <c r="V183" s="42">
        <v>3.0</v>
      </c>
      <c r="W183" s="42">
        <v>0.0</v>
      </c>
      <c r="X183" s="42">
        <v>100.0</v>
      </c>
      <c r="Y183" s="42">
        <v>0.0</v>
      </c>
    </row>
    <row r="184" ht="22.5" customHeight="1">
      <c r="A184" s="41"/>
      <c r="B184" s="41">
        <v>1242.0</v>
      </c>
      <c r="C184" s="41" t="s">
        <v>271</v>
      </c>
      <c r="D184" s="41" t="s">
        <v>1865</v>
      </c>
      <c r="E184" s="41" t="s">
        <v>1865</v>
      </c>
      <c r="F184" s="41" t="s">
        <v>271</v>
      </c>
      <c r="G184" s="41">
        <v>194.0</v>
      </c>
      <c r="H184" s="41" t="s">
        <v>1866</v>
      </c>
      <c r="I184" s="41"/>
      <c r="J184" s="41" t="s">
        <v>1866</v>
      </c>
      <c r="K184" s="42" t="s">
        <v>1867</v>
      </c>
      <c r="L184" s="42" t="s">
        <v>1868</v>
      </c>
      <c r="N184" s="42">
        <v>0.0</v>
      </c>
      <c r="O184" s="42">
        <v>0.0</v>
      </c>
      <c r="P184" s="42">
        <v>2.0</v>
      </c>
      <c r="Q184" s="42">
        <v>0.0</v>
      </c>
      <c r="R184" s="42">
        <v>2.0</v>
      </c>
      <c r="S184" s="42">
        <v>0.0</v>
      </c>
      <c r="T184" s="42" t="s">
        <v>995</v>
      </c>
      <c r="U184" s="42">
        <v>0.0</v>
      </c>
      <c r="V184" s="42">
        <v>0.0</v>
      </c>
      <c r="W184" s="42">
        <v>0.0</v>
      </c>
      <c r="X184" s="42">
        <v>100.0</v>
      </c>
      <c r="Y184" s="42">
        <v>0.0</v>
      </c>
    </row>
    <row r="185" ht="22.5" customHeight="1">
      <c r="A185" s="41"/>
      <c r="B185" s="41">
        <v>2242.0</v>
      </c>
      <c r="C185" s="41" t="s">
        <v>271</v>
      </c>
      <c r="D185" s="41" t="s">
        <v>1869</v>
      </c>
      <c r="E185" s="41" t="s">
        <v>1869</v>
      </c>
      <c r="F185" s="41" t="s">
        <v>271</v>
      </c>
      <c r="G185" s="41">
        <v>195.0</v>
      </c>
      <c r="H185" s="41" t="s">
        <v>1870</v>
      </c>
      <c r="I185" s="41"/>
      <c r="J185" s="41" t="s">
        <v>1870</v>
      </c>
      <c r="K185" s="42" t="s">
        <v>1871</v>
      </c>
      <c r="L185" s="42" t="s">
        <v>1872</v>
      </c>
      <c r="N185" s="42">
        <v>0.0</v>
      </c>
      <c r="O185" s="42">
        <v>0.0</v>
      </c>
      <c r="P185" s="42">
        <v>2.0</v>
      </c>
      <c r="Q185" s="42">
        <v>0.0</v>
      </c>
      <c r="R185" s="42">
        <v>2.0</v>
      </c>
      <c r="S185" s="42">
        <v>0.0</v>
      </c>
      <c r="T185" s="42" t="s">
        <v>1873</v>
      </c>
      <c r="U185" s="42">
        <v>0.0</v>
      </c>
      <c r="V185" s="42">
        <v>0.0</v>
      </c>
      <c r="W185" s="42">
        <v>0.0</v>
      </c>
      <c r="X185" s="42">
        <v>100.0</v>
      </c>
      <c r="Y185" s="42">
        <v>0.0</v>
      </c>
    </row>
    <row r="186" ht="22.5" customHeight="1">
      <c r="A186" s="41"/>
      <c r="B186" s="41">
        <v>2243.0</v>
      </c>
      <c r="C186" s="41" t="s">
        <v>271</v>
      </c>
      <c r="D186" s="41" t="s">
        <v>1874</v>
      </c>
      <c r="E186" s="41" t="s">
        <v>1874</v>
      </c>
      <c r="F186" s="41" t="s">
        <v>271</v>
      </c>
      <c r="G186" s="41">
        <v>196.0</v>
      </c>
      <c r="H186" s="41" t="s">
        <v>1875</v>
      </c>
      <c r="I186" s="41"/>
      <c r="J186" s="41" t="s">
        <v>1875</v>
      </c>
      <c r="K186" s="42" t="s">
        <v>1876</v>
      </c>
      <c r="L186" s="42" t="s">
        <v>1877</v>
      </c>
      <c r="M186" s="42" t="s">
        <v>1130</v>
      </c>
      <c r="N186" s="42">
        <v>0.0</v>
      </c>
      <c r="O186" s="42">
        <v>1.0</v>
      </c>
      <c r="P186" s="42">
        <v>2.0</v>
      </c>
      <c r="Q186" s="42">
        <v>0.0</v>
      </c>
      <c r="R186" s="42">
        <v>10.0</v>
      </c>
      <c r="S186" s="42">
        <v>0.0</v>
      </c>
      <c r="T186" s="42" t="s">
        <v>1878</v>
      </c>
      <c r="U186" s="42">
        <v>1.0</v>
      </c>
      <c r="V186" s="42">
        <v>1.0</v>
      </c>
      <c r="W186" s="42">
        <v>0.0</v>
      </c>
      <c r="X186" s="42">
        <v>100.0</v>
      </c>
      <c r="Y186" s="42">
        <v>0.0</v>
      </c>
    </row>
    <row r="187" ht="22.5" customHeight="1">
      <c r="A187" s="41"/>
      <c r="B187" s="41">
        <v>2244.0</v>
      </c>
      <c r="C187" s="41" t="s">
        <v>271</v>
      </c>
      <c r="D187" s="41" t="s">
        <v>1879</v>
      </c>
      <c r="E187" s="41" t="s">
        <v>1879</v>
      </c>
      <c r="F187" s="41" t="s">
        <v>271</v>
      </c>
      <c r="G187" s="41">
        <v>197.0</v>
      </c>
      <c r="H187" s="41" t="s">
        <v>1880</v>
      </c>
      <c r="I187" s="41"/>
      <c r="J187" s="41" t="s">
        <v>1880</v>
      </c>
      <c r="K187" s="42" t="s">
        <v>1881</v>
      </c>
      <c r="L187" s="42" t="s">
        <v>1882</v>
      </c>
      <c r="M187" s="42" t="s">
        <v>1082</v>
      </c>
      <c r="N187" s="42">
        <v>0.0</v>
      </c>
      <c r="O187" s="42">
        <v>1.0</v>
      </c>
      <c r="P187" s="42">
        <v>2.0</v>
      </c>
      <c r="Q187" s="42">
        <v>0.0</v>
      </c>
      <c r="R187" s="42">
        <v>9.0</v>
      </c>
      <c r="S187" s="42">
        <v>0.0</v>
      </c>
      <c r="T187" s="42" t="s">
        <v>1883</v>
      </c>
      <c r="U187" s="42">
        <v>1.0</v>
      </c>
      <c r="V187" s="42">
        <v>1.0</v>
      </c>
      <c r="W187" s="42">
        <v>0.0</v>
      </c>
      <c r="X187" s="42">
        <v>100.0</v>
      </c>
      <c r="Y187" s="42">
        <v>0.0</v>
      </c>
    </row>
    <row r="188" ht="22.5" customHeight="1">
      <c r="A188" s="41"/>
      <c r="B188" s="41">
        <v>2245.0</v>
      </c>
      <c r="C188" s="41" t="s">
        <v>271</v>
      </c>
      <c r="D188" s="41" t="s">
        <v>1884</v>
      </c>
      <c r="E188" s="41" t="s">
        <v>1884</v>
      </c>
      <c r="F188" s="41" t="s">
        <v>271</v>
      </c>
      <c r="G188" s="41">
        <v>198.0</v>
      </c>
      <c r="H188" s="41" t="s">
        <v>1885</v>
      </c>
      <c r="I188" s="41"/>
      <c r="J188" s="41" t="s">
        <v>1885</v>
      </c>
      <c r="K188" s="42" t="s">
        <v>1886</v>
      </c>
      <c r="L188" s="42" t="s">
        <v>1887</v>
      </c>
      <c r="N188" s="42">
        <v>0.0</v>
      </c>
      <c r="O188" s="42">
        <v>0.0</v>
      </c>
      <c r="P188" s="42">
        <v>2.0</v>
      </c>
      <c r="Q188" s="42">
        <v>0.0</v>
      </c>
      <c r="R188" s="42">
        <v>2.0</v>
      </c>
      <c r="S188" s="42">
        <v>0.0</v>
      </c>
      <c r="T188" s="42" t="s">
        <v>995</v>
      </c>
      <c r="U188" s="42">
        <v>0.0</v>
      </c>
      <c r="V188" s="42">
        <v>0.0</v>
      </c>
      <c r="W188" s="42">
        <v>0.0</v>
      </c>
      <c r="X188" s="42">
        <v>100.0</v>
      </c>
      <c r="Y188" s="42">
        <v>0.0</v>
      </c>
    </row>
    <row r="189" ht="22.5" customHeight="1">
      <c r="A189" s="41"/>
      <c r="B189" s="41">
        <v>2246.0</v>
      </c>
      <c r="C189" s="41" t="s">
        <v>271</v>
      </c>
      <c r="D189" s="41" t="s">
        <v>1888</v>
      </c>
      <c r="E189" s="41" t="s">
        <v>1888</v>
      </c>
      <c r="F189" s="41" t="s">
        <v>271</v>
      </c>
      <c r="G189" s="41">
        <v>199.0</v>
      </c>
      <c r="H189" s="41" t="s">
        <v>1889</v>
      </c>
      <c r="I189" s="41"/>
      <c r="J189" s="41" t="s">
        <v>1889</v>
      </c>
      <c r="K189" s="42" t="s">
        <v>1890</v>
      </c>
      <c r="L189" s="42" t="s">
        <v>1891</v>
      </c>
      <c r="M189" s="42" t="s">
        <v>1043</v>
      </c>
      <c r="N189" s="42">
        <v>0.0</v>
      </c>
      <c r="O189" s="42">
        <v>1.0</v>
      </c>
      <c r="P189" s="42">
        <v>2.0</v>
      </c>
      <c r="Q189" s="42">
        <v>0.0</v>
      </c>
      <c r="R189" s="42">
        <v>2.0</v>
      </c>
      <c r="S189" s="42">
        <v>0.0</v>
      </c>
      <c r="T189" s="42" t="s">
        <v>1892</v>
      </c>
      <c r="U189" s="42">
        <v>1.0</v>
      </c>
      <c r="V189" s="42">
        <v>6.0</v>
      </c>
      <c r="W189" s="42">
        <v>0.0</v>
      </c>
      <c r="X189" s="42">
        <v>100.0</v>
      </c>
      <c r="Y189" s="42">
        <v>0.0</v>
      </c>
    </row>
    <row r="190" ht="22.5" customHeight="1">
      <c r="A190" s="41"/>
      <c r="B190" s="41">
        <v>2248.0</v>
      </c>
      <c r="C190" s="41" t="s">
        <v>271</v>
      </c>
      <c r="D190" s="41" t="s">
        <v>1893</v>
      </c>
      <c r="E190" s="41" t="s">
        <v>1893</v>
      </c>
      <c r="F190" s="41" t="s">
        <v>271</v>
      </c>
      <c r="G190" s="41">
        <v>201.0</v>
      </c>
      <c r="H190" s="41" t="s">
        <v>1894</v>
      </c>
      <c r="I190" s="41"/>
      <c r="J190" s="41" t="s">
        <v>1894</v>
      </c>
      <c r="K190" s="42" t="s">
        <v>1895</v>
      </c>
      <c r="L190" s="42" t="s">
        <v>1896</v>
      </c>
      <c r="M190" s="42" t="s">
        <v>1082</v>
      </c>
      <c r="N190" s="42">
        <v>0.0</v>
      </c>
      <c r="O190" s="42">
        <v>1.0</v>
      </c>
      <c r="P190" s="42">
        <v>2.0</v>
      </c>
      <c r="Q190" s="42">
        <v>0.0</v>
      </c>
      <c r="R190" s="42">
        <v>2.0</v>
      </c>
      <c r="S190" s="42">
        <v>0.0</v>
      </c>
      <c r="T190" s="42" t="s">
        <v>1897</v>
      </c>
      <c r="U190" s="42">
        <v>1.0</v>
      </c>
      <c r="V190" s="42">
        <v>4.0</v>
      </c>
      <c r="W190" s="42">
        <v>0.0</v>
      </c>
      <c r="X190" s="42">
        <v>100.0</v>
      </c>
      <c r="Y190" s="42">
        <v>0.0</v>
      </c>
    </row>
    <row r="191" ht="22.5" customHeight="1">
      <c r="A191" s="41"/>
      <c r="B191" s="41">
        <v>2252.0</v>
      </c>
      <c r="C191" s="41" t="s">
        <v>1269</v>
      </c>
      <c r="D191" s="41" t="s">
        <v>1898</v>
      </c>
      <c r="E191" s="41" t="s">
        <v>1898</v>
      </c>
      <c r="F191" s="41" t="s">
        <v>1269</v>
      </c>
      <c r="G191" s="41">
        <v>202.0</v>
      </c>
      <c r="H191" s="41" t="s">
        <v>1899</v>
      </c>
      <c r="I191" s="41"/>
      <c r="J191" s="41" t="s">
        <v>1899</v>
      </c>
      <c r="K191" s="42" t="s">
        <v>1900</v>
      </c>
      <c r="L191" s="42" t="s">
        <v>1901</v>
      </c>
      <c r="N191" s="42">
        <v>0.0</v>
      </c>
      <c r="O191" s="42">
        <v>0.0</v>
      </c>
      <c r="P191" s="42">
        <v>2.0</v>
      </c>
      <c r="Q191" s="42">
        <v>0.0</v>
      </c>
      <c r="R191" s="42">
        <v>2.0</v>
      </c>
      <c r="S191" s="42">
        <v>0.0</v>
      </c>
      <c r="T191" s="42" t="s">
        <v>1902</v>
      </c>
      <c r="U191" s="42">
        <v>0.0</v>
      </c>
      <c r="V191" s="42">
        <v>0.0</v>
      </c>
      <c r="W191" s="42">
        <v>0.0</v>
      </c>
      <c r="X191" s="42">
        <v>100.0</v>
      </c>
      <c r="Y191" s="42">
        <v>0.0</v>
      </c>
    </row>
    <row r="192" ht="22.5" customHeight="1">
      <c r="A192" s="41"/>
      <c r="B192" s="41">
        <v>2253.0</v>
      </c>
      <c r="C192" s="41" t="s">
        <v>1269</v>
      </c>
      <c r="D192" s="41" t="s">
        <v>1903</v>
      </c>
      <c r="E192" s="41" t="s">
        <v>1903</v>
      </c>
      <c r="F192" s="41" t="s">
        <v>1269</v>
      </c>
      <c r="G192" s="41">
        <v>203.0</v>
      </c>
      <c r="H192" s="41" t="s">
        <v>1904</v>
      </c>
      <c r="I192" s="41"/>
      <c r="J192" s="41" t="s">
        <v>1904</v>
      </c>
      <c r="K192" s="42" t="s">
        <v>1905</v>
      </c>
      <c r="L192" s="42" t="s">
        <v>1906</v>
      </c>
      <c r="N192" s="42">
        <v>0.0</v>
      </c>
      <c r="O192" s="42">
        <v>0.0</v>
      </c>
      <c r="P192" s="42">
        <v>2.0</v>
      </c>
      <c r="Q192" s="42">
        <v>0.0</v>
      </c>
      <c r="R192" s="42">
        <v>2.0</v>
      </c>
      <c r="S192" s="42">
        <v>0.0</v>
      </c>
      <c r="T192" s="42" t="s">
        <v>995</v>
      </c>
      <c r="U192" s="42">
        <v>0.0</v>
      </c>
      <c r="V192" s="42">
        <v>8.0</v>
      </c>
      <c r="W192" s="42">
        <v>0.0</v>
      </c>
      <c r="X192" s="42">
        <v>100.0</v>
      </c>
      <c r="Y192" s="42">
        <v>0.0</v>
      </c>
    </row>
    <row r="193" ht="22.5" customHeight="1">
      <c r="A193" s="41"/>
      <c r="B193" s="41">
        <v>2254.0</v>
      </c>
      <c r="C193" s="41" t="s">
        <v>1269</v>
      </c>
      <c r="D193" s="41" t="s">
        <v>1907</v>
      </c>
      <c r="E193" s="41" t="s">
        <v>1907</v>
      </c>
      <c r="F193" s="41" t="s">
        <v>1269</v>
      </c>
      <c r="G193" s="41">
        <v>204.0</v>
      </c>
      <c r="H193" s="41" t="s">
        <v>1908</v>
      </c>
      <c r="I193" s="41"/>
      <c r="J193" s="41" t="s">
        <v>1908</v>
      </c>
      <c r="K193" s="42" t="s">
        <v>1909</v>
      </c>
      <c r="L193" s="42" t="s">
        <v>1910</v>
      </c>
      <c r="N193" s="42">
        <v>0.0</v>
      </c>
      <c r="O193" s="42">
        <v>0.0</v>
      </c>
      <c r="P193" s="42">
        <v>2.0</v>
      </c>
      <c r="Q193" s="42">
        <v>0.0</v>
      </c>
      <c r="R193" s="42">
        <v>2.0</v>
      </c>
      <c r="S193" s="42">
        <v>0.0</v>
      </c>
      <c r="T193" s="42" t="s">
        <v>995</v>
      </c>
      <c r="U193" s="42">
        <v>0.0</v>
      </c>
      <c r="V193" s="42">
        <v>8.0</v>
      </c>
      <c r="W193" s="42">
        <v>0.0</v>
      </c>
      <c r="X193" s="42">
        <v>100.0</v>
      </c>
      <c r="Y193" s="42">
        <v>0.0</v>
      </c>
    </row>
    <row r="194" ht="22.5" customHeight="1">
      <c r="A194" s="41"/>
      <c r="B194" s="41">
        <v>2255.0</v>
      </c>
      <c r="C194" s="41" t="s">
        <v>1269</v>
      </c>
      <c r="D194" s="41" t="s">
        <v>1911</v>
      </c>
      <c r="E194" s="41" t="s">
        <v>1911</v>
      </c>
      <c r="F194" s="41" t="s">
        <v>1269</v>
      </c>
      <c r="G194" s="41">
        <v>205.0</v>
      </c>
      <c r="H194" s="41" t="s">
        <v>1912</v>
      </c>
      <c r="I194" s="41"/>
      <c r="J194" s="41" t="s">
        <v>1912</v>
      </c>
      <c r="K194" s="42" t="s">
        <v>1913</v>
      </c>
      <c r="L194" s="42" t="s">
        <v>1914</v>
      </c>
      <c r="N194" s="42">
        <v>0.0</v>
      </c>
      <c r="O194" s="42">
        <v>0.0</v>
      </c>
      <c r="P194" s="42">
        <v>2.0</v>
      </c>
      <c r="Q194" s="42">
        <v>0.0</v>
      </c>
      <c r="R194" s="42">
        <v>2.0</v>
      </c>
      <c r="S194" s="42">
        <v>0.0</v>
      </c>
      <c r="T194" s="42" t="s">
        <v>1915</v>
      </c>
      <c r="U194" s="42">
        <v>0.0</v>
      </c>
      <c r="V194" s="42">
        <v>0.0</v>
      </c>
      <c r="W194" s="42">
        <v>0.0</v>
      </c>
      <c r="X194" s="42">
        <v>100.0</v>
      </c>
      <c r="Y194" s="42">
        <v>0.0</v>
      </c>
    </row>
    <row r="195" ht="22.5" customHeight="1">
      <c r="A195" s="41"/>
      <c r="B195" s="41">
        <v>2256.0</v>
      </c>
      <c r="C195" s="41" t="s">
        <v>1269</v>
      </c>
      <c r="D195" s="41" t="s">
        <v>1916</v>
      </c>
      <c r="E195" s="41" t="s">
        <v>1916</v>
      </c>
      <c r="F195" s="41" t="s">
        <v>1269</v>
      </c>
      <c r="G195" s="41">
        <v>206.0</v>
      </c>
      <c r="H195" s="41" t="s">
        <v>1917</v>
      </c>
      <c r="I195" s="41"/>
      <c r="J195" s="41" t="s">
        <v>1917</v>
      </c>
      <c r="K195" s="42" t="s">
        <v>1918</v>
      </c>
      <c r="L195" s="42" t="s">
        <v>1919</v>
      </c>
      <c r="N195" s="42">
        <v>0.0</v>
      </c>
      <c r="O195" s="42">
        <v>0.0</v>
      </c>
      <c r="P195" s="42">
        <v>2.0</v>
      </c>
      <c r="Q195" s="42">
        <v>0.0</v>
      </c>
      <c r="R195" s="42">
        <v>0.0</v>
      </c>
      <c r="S195" s="42">
        <v>0.0</v>
      </c>
      <c r="T195" s="42" t="s">
        <v>1920</v>
      </c>
      <c r="U195" s="42">
        <v>1.0</v>
      </c>
      <c r="V195" s="42">
        <v>0.0</v>
      </c>
      <c r="W195" s="42">
        <v>0.0</v>
      </c>
      <c r="X195" s="42">
        <v>100.0</v>
      </c>
      <c r="Y195" s="42">
        <v>0.0</v>
      </c>
    </row>
    <row r="196" ht="22.5" customHeight="1">
      <c r="A196" s="41"/>
      <c r="B196" s="41">
        <v>2257.0</v>
      </c>
      <c r="C196" s="41" t="s">
        <v>1269</v>
      </c>
      <c r="D196" s="41" t="s">
        <v>1921</v>
      </c>
      <c r="E196" s="41" t="s">
        <v>1921</v>
      </c>
      <c r="F196" s="41" t="s">
        <v>1269</v>
      </c>
      <c r="G196" s="41">
        <v>207.0</v>
      </c>
      <c r="H196" s="41" t="s">
        <v>1922</v>
      </c>
      <c r="I196" s="41"/>
      <c r="J196" s="41" t="s">
        <v>1922</v>
      </c>
      <c r="K196" s="42" t="s">
        <v>1923</v>
      </c>
      <c r="L196" s="42" t="s">
        <v>1924</v>
      </c>
      <c r="M196" s="42" t="s">
        <v>1043</v>
      </c>
      <c r="N196" s="42">
        <v>0.0</v>
      </c>
      <c r="O196" s="42">
        <v>1.0</v>
      </c>
      <c r="P196" s="42">
        <v>2.0</v>
      </c>
      <c r="Q196" s="42">
        <v>0.0</v>
      </c>
      <c r="R196" s="42">
        <v>2.0</v>
      </c>
      <c r="S196" s="42">
        <v>0.0</v>
      </c>
      <c r="T196" s="42" t="s">
        <v>1925</v>
      </c>
      <c r="U196" s="42">
        <v>1.0</v>
      </c>
      <c r="V196" s="42">
        <v>4.0</v>
      </c>
      <c r="W196" s="42">
        <v>0.0</v>
      </c>
      <c r="X196" s="42">
        <v>100.0</v>
      </c>
      <c r="Y196" s="42">
        <v>0.0</v>
      </c>
    </row>
    <row r="197" ht="22.5" customHeight="1">
      <c r="A197" s="41"/>
      <c r="B197" s="41">
        <v>2258.0</v>
      </c>
      <c r="C197" s="41" t="s">
        <v>1269</v>
      </c>
      <c r="D197" s="41" t="s">
        <v>1926</v>
      </c>
      <c r="E197" s="41" t="s">
        <v>1926</v>
      </c>
      <c r="F197" s="41" t="s">
        <v>1269</v>
      </c>
      <c r="G197" s="41">
        <v>208.0</v>
      </c>
      <c r="H197" s="41" t="s">
        <v>1927</v>
      </c>
      <c r="I197" s="41"/>
      <c r="J197" s="41" t="s">
        <v>1927</v>
      </c>
      <c r="K197" s="42" t="s">
        <v>1928</v>
      </c>
      <c r="L197" s="42" t="s">
        <v>1929</v>
      </c>
      <c r="N197" s="42">
        <v>0.0</v>
      </c>
      <c r="O197" s="42">
        <v>0.0</v>
      </c>
      <c r="P197" s="42">
        <v>2.0</v>
      </c>
      <c r="Q197" s="42">
        <v>0.0</v>
      </c>
      <c r="R197" s="42">
        <v>2.0</v>
      </c>
      <c r="S197" s="42">
        <v>0.0</v>
      </c>
      <c r="T197" s="42" t="s">
        <v>1930</v>
      </c>
      <c r="U197" s="42">
        <v>0.0</v>
      </c>
      <c r="V197" s="42">
        <v>0.0</v>
      </c>
      <c r="W197" s="42">
        <v>0.0</v>
      </c>
      <c r="X197" s="42">
        <v>100.0</v>
      </c>
      <c r="Y197" s="42">
        <v>0.0</v>
      </c>
    </row>
    <row r="198" ht="22.5" customHeight="1">
      <c r="A198" s="41"/>
      <c r="B198" s="41">
        <v>2259.0</v>
      </c>
      <c r="C198" s="41" t="s">
        <v>1269</v>
      </c>
      <c r="D198" s="41" t="s">
        <v>1931</v>
      </c>
      <c r="E198" s="41" t="s">
        <v>1931</v>
      </c>
      <c r="F198" s="41" t="s">
        <v>1269</v>
      </c>
      <c r="G198" s="41">
        <v>209.0</v>
      </c>
      <c r="H198" s="41" t="s">
        <v>1932</v>
      </c>
      <c r="I198" s="41"/>
      <c r="J198" s="41" t="s">
        <v>1932</v>
      </c>
      <c r="K198" s="42" t="s">
        <v>1933</v>
      </c>
      <c r="L198" s="42" t="s">
        <v>1934</v>
      </c>
      <c r="N198" s="42">
        <v>0.0</v>
      </c>
      <c r="O198" s="42">
        <v>0.0</v>
      </c>
      <c r="P198" s="42">
        <v>2.0</v>
      </c>
      <c r="Q198" s="42">
        <v>0.0</v>
      </c>
      <c r="R198" s="42">
        <v>2.0</v>
      </c>
      <c r="S198" s="42">
        <v>0.0</v>
      </c>
      <c r="T198" s="42" t="s">
        <v>995</v>
      </c>
      <c r="U198" s="42">
        <v>0.0</v>
      </c>
      <c r="V198" s="42">
        <v>0.0</v>
      </c>
      <c r="W198" s="42">
        <v>0.0</v>
      </c>
      <c r="X198" s="42">
        <v>100.0</v>
      </c>
      <c r="Y198" s="42">
        <v>0.0</v>
      </c>
    </row>
    <row r="199" ht="22.5" customHeight="1">
      <c r="A199" s="41"/>
      <c r="B199" s="41">
        <v>2260.0</v>
      </c>
      <c r="C199" s="41" t="s">
        <v>1269</v>
      </c>
      <c r="D199" s="41" t="s">
        <v>1935</v>
      </c>
      <c r="E199" s="41" t="s">
        <v>1935</v>
      </c>
      <c r="F199" s="41" t="s">
        <v>1269</v>
      </c>
      <c r="G199" s="41">
        <v>210.0</v>
      </c>
      <c r="H199" s="41" t="s">
        <v>1936</v>
      </c>
      <c r="I199" s="41"/>
      <c r="J199" s="41" t="s">
        <v>1936</v>
      </c>
      <c r="K199" s="42" t="s">
        <v>1937</v>
      </c>
      <c r="L199" s="42" t="s">
        <v>1938</v>
      </c>
      <c r="M199" s="42" t="s">
        <v>1130</v>
      </c>
      <c r="N199" s="42">
        <v>0.0</v>
      </c>
      <c r="O199" s="42">
        <v>1.0</v>
      </c>
      <c r="P199" s="42">
        <v>2.0</v>
      </c>
      <c r="Q199" s="42">
        <v>0.0</v>
      </c>
      <c r="R199" s="42">
        <v>2.0</v>
      </c>
      <c r="S199" s="42">
        <v>0.0</v>
      </c>
      <c r="T199" s="42" t="s">
        <v>1939</v>
      </c>
      <c r="U199" s="42">
        <v>1.0</v>
      </c>
      <c r="V199" s="42">
        <v>2.0</v>
      </c>
      <c r="W199" s="42">
        <v>0.0</v>
      </c>
      <c r="X199" s="42">
        <v>100.0</v>
      </c>
      <c r="Y199" s="42">
        <v>0.0</v>
      </c>
    </row>
    <row r="200" ht="22.5" customHeight="1">
      <c r="A200" s="41"/>
      <c r="B200" s="41">
        <v>2261.0</v>
      </c>
      <c r="C200" s="41" t="s">
        <v>1269</v>
      </c>
      <c r="D200" s="41" t="s">
        <v>1940</v>
      </c>
      <c r="E200" s="41" t="s">
        <v>1940</v>
      </c>
      <c r="F200" s="41" t="s">
        <v>1269</v>
      </c>
      <c r="G200" s="41">
        <v>211.0</v>
      </c>
      <c r="H200" s="41" t="s">
        <v>1941</v>
      </c>
      <c r="I200" s="41"/>
      <c r="J200" s="41" t="s">
        <v>1941</v>
      </c>
      <c r="K200" s="42" t="s">
        <v>1942</v>
      </c>
      <c r="L200" s="42" t="s">
        <v>1943</v>
      </c>
      <c r="M200" s="42" t="s">
        <v>1043</v>
      </c>
      <c r="N200" s="42">
        <v>0.0</v>
      </c>
      <c r="O200" s="42">
        <v>0.0</v>
      </c>
      <c r="P200" s="42">
        <v>2.0</v>
      </c>
      <c r="Q200" s="42">
        <v>0.0</v>
      </c>
      <c r="R200" s="42">
        <v>0.0</v>
      </c>
      <c r="S200" s="42">
        <v>0.0</v>
      </c>
      <c r="T200" s="42" t="s">
        <v>1944</v>
      </c>
      <c r="U200" s="42">
        <v>1.0</v>
      </c>
      <c r="V200" s="42">
        <v>0.0</v>
      </c>
      <c r="W200" s="42">
        <v>0.0</v>
      </c>
      <c r="X200" s="42">
        <v>100.0</v>
      </c>
      <c r="Y200" s="42">
        <v>0.0</v>
      </c>
    </row>
    <row r="201" ht="22.5" customHeight="1">
      <c r="A201" s="41"/>
      <c r="B201" s="41">
        <v>2262.0</v>
      </c>
      <c r="C201" s="41" t="s">
        <v>1269</v>
      </c>
      <c r="D201" s="41" t="s">
        <v>1945</v>
      </c>
      <c r="E201" s="41" t="s">
        <v>1945</v>
      </c>
      <c r="F201" s="41" t="s">
        <v>1269</v>
      </c>
      <c r="G201" s="41">
        <v>212.0</v>
      </c>
      <c r="H201" s="41" t="s">
        <v>1946</v>
      </c>
      <c r="I201" s="41"/>
      <c r="J201" s="41" t="s">
        <v>1946</v>
      </c>
      <c r="K201" s="42" t="s">
        <v>1947</v>
      </c>
      <c r="L201" s="42" t="s">
        <v>1948</v>
      </c>
      <c r="N201" s="42">
        <v>0.0</v>
      </c>
      <c r="O201" s="42">
        <v>0.0</v>
      </c>
      <c r="P201" s="42">
        <v>2.0</v>
      </c>
      <c r="Q201" s="42">
        <v>0.0</v>
      </c>
      <c r="R201" s="42">
        <v>2.0</v>
      </c>
      <c r="S201" s="42">
        <v>0.0</v>
      </c>
      <c r="T201" s="42" t="s">
        <v>995</v>
      </c>
      <c r="U201" s="42">
        <v>0.0</v>
      </c>
      <c r="V201" s="42">
        <v>0.0</v>
      </c>
      <c r="W201" s="42">
        <v>0.0</v>
      </c>
      <c r="X201" s="42">
        <v>100.0</v>
      </c>
      <c r="Y201" s="42">
        <v>0.0</v>
      </c>
    </row>
    <row r="202" ht="22.5" customHeight="1">
      <c r="A202" s="41"/>
      <c r="B202" s="41">
        <v>2263.0</v>
      </c>
      <c r="C202" s="41" t="s">
        <v>1269</v>
      </c>
      <c r="D202" s="41" t="s">
        <v>1949</v>
      </c>
      <c r="E202" s="41" t="s">
        <v>1949</v>
      </c>
      <c r="F202" s="41" t="s">
        <v>1269</v>
      </c>
      <c r="G202" s="41">
        <v>213.0</v>
      </c>
      <c r="H202" s="41" t="s">
        <v>1950</v>
      </c>
      <c r="I202" s="41"/>
      <c r="J202" s="41" t="s">
        <v>1950</v>
      </c>
      <c r="K202" s="42" t="s">
        <v>1951</v>
      </c>
      <c r="L202" s="42" t="s">
        <v>1952</v>
      </c>
      <c r="N202" s="42">
        <v>0.0</v>
      </c>
      <c r="O202" s="42">
        <v>0.0</v>
      </c>
      <c r="P202" s="42">
        <v>2.0</v>
      </c>
      <c r="Q202" s="42">
        <v>0.0</v>
      </c>
      <c r="R202" s="42">
        <v>2.0</v>
      </c>
      <c r="S202" s="42">
        <v>0.0</v>
      </c>
      <c r="T202" s="42" t="s">
        <v>995</v>
      </c>
      <c r="U202" s="42">
        <v>0.0</v>
      </c>
      <c r="V202" s="42">
        <v>0.0</v>
      </c>
      <c r="W202" s="42">
        <v>0.0</v>
      </c>
      <c r="X202" s="42">
        <v>100.0</v>
      </c>
      <c r="Y202" s="42">
        <v>0.0</v>
      </c>
    </row>
    <row r="203" ht="22.5" customHeight="1">
      <c r="A203" s="41"/>
      <c r="B203" s="41">
        <v>2264.0</v>
      </c>
      <c r="C203" s="41" t="s">
        <v>1269</v>
      </c>
      <c r="D203" s="41" t="s">
        <v>1953</v>
      </c>
      <c r="E203" s="41" t="s">
        <v>1953</v>
      </c>
      <c r="F203" s="41" t="s">
        <v>1269</v>
      </c>
      <c r="G203" s="41">
        <v>214.0</v>
      </c>
      <c r="H203" s="41" t="s">
        <v>1954</v>
      </c>
      <c r="I203" s="41"/>
      <c r="J203" s="41" t="s">
        <v>1954</v>
      </c>
      <c r="K203" s="42" t="s">
        <v>1955</v>
      </c>
      <c r="L203" s="42" t="s">
        <v>1956</v>
      </c>
      <c r="M203" s="42" t="s">
        <v>1082</v>
      </c>
      <c r="N203" s="42">
        <v>0.0</v>
      </c>
      <c r="O203" s="42">
        <v>1.0</v>
      </c>
      <c r="P203" s="42">
        <v>2.0</v>
      </c>
      <c r="Q203" s="42">
        <v>0.0</v>
      </c>
      <c r="R203" s="42">
        <v>2.0</v>
      </c>
      <c r="S203" s="42">
        <v>0.0</v>
      </c>
      <c r="T203" s="42" t="s">
        <v>1957</v>
      </c>
      <c r="U203" s="42">
        <v>1.0</v>
      </c>
      <c r="V203" s="42">
        <v>5.0</v>
      </c>
      <c r="W203" s="42">
        <v>0.0</v>
      </c>
      <c r="X203" s="42">
        <v>100.0</v>
      </c>
      <c r="Y203" s="42">
        <v>0.0</v>
      </c>
    </row>
    <row r="204" ht="22.5" customHeight="1">
      <c r="A204" s="41"/>
      <c r="B204" s="41">
        <v>2265.0</v>
      </c>
      <c r="C204" s="41" t="s">
        <v>1269</v>
      </c>
      <c r="D204" s="41" t="s">
        <v>1958</v>
      </c>
      <c r="E204" s="41" t="s">
        <v>1958</v>
      </c>
      <c r="F204" s="41" t="s">
        <v>1269</v>
      </c>
      <c r="G204" s="41">
        <v>215.0</v>
      </c>
      <c r="H204" s="41" t="s">
        <v>1959</v>
      </c>
      <c r="I204" s="41"/>
      <c r="J204" s="41" t="s">
        <v>1959</v>
      </c>
      <c r="K204" s="42" t="s">
        <v>1960</v>
      </c>
      <c r="L204" s="42" t="s">
        <v>1961</v>
      </c>
      <c r="N204" s="42">
        <v>0.0</v>
      </c>
      <c r="O204" s="42">
        <v>0.0</v>
      </c>
      <c r="P204" s="42">
        <v>2.0</v>
      </c>
      <c r="Q204" s="42">
        <v>0.0</v>
      </c>
      <c r="R204" s="42">
        <v>2.0</v>
      </c>
      <c r="S204" s="42">
        <v>0.0</v>
      </c>
      <c r="T204" s="42" t="s">
        <v>1962</v>
      </c>
      <c r="U204" s="42">
        <v>0.0</v>
      </c>
      <c r="V204" s="42">
        <v>0.0</v>
      </c>
      <c r="W204" s="42">
        <v>0.0</v>
      </c>
      <c r="X204" s="42">
        <v>100.0</v>
      </c>
      <c r="Y204" s="42">
        <v>0.0</v>
      </c>
    </row>
    <row r="205" ht="22.5" customHeight="1">
      <c r="A205" s="41"/>
      <c r="B205" s="41">
        <v>2266.0</v>
      </c>
      <c r="C205" s="41" t="s">
        <v>1269</v>
      </c>
      <c r="D205" s="41" t="s">
        <v>1963</v>
      </c>
      <c r="E205" s="41" t="s">
        <v>1963</v>
      </c>
      <c r="F205" s="41" t="s">
        <v>1269</v>
      </c>
      <c r="G205" s="41">
        <v>216.0</v>
      </c>
      <c r="H205" s="41" t="s">
        <v>1964</v>
      </c>
      <c r="I205" s="41"/>
      <c r="J205" s="41" t="s">
        <v>1965</v>
      </c>
      <c r="K205" s="42" t="s">
        <v>1966</v>
      </c>
      <c r="L205" s="42" t="s">
        <v>1967</v>
      </c>
      <c r="M205" s="42" t="s">
        <v>1028</v>
      </c>
      <c r="N205" s="42">
        <v>0.0</v>
      </c>
      <c r="O205" s="42">
        <v>1.0</v>
      </c>
      <c r="P205" s="42">
        <v>2.0</v>
      </c>
      <c r="Q205" s="42">
        <v>0.0</v>
      </c>
      <c r="R205" s="42">
        <v>2.0</v>
      </c>
      <c r="S205" s="42">
        <v>0.0</v>
      </c>
      <c r="T205" s="42" t="s">
        <v>1968</v>
      </c>
      <c r="U205" s="42">
        <v>1.0</v>
      </c>
      <c r="V205" s="42">
        <v>6.0</v>
      </c>
      <c r="W205" s="42">
        <v>0.0</v>
      </c>
      <c r="X205" s="42">
        <v>100.0</v>
      </c>
      <c r="Y205" s="42">
        <v>0.0</v>
      </c>
    </row>
    <row r="206" ht="22.5" customHeight="1">
      <c r="A206" s="41"/>
      <c r="B206" s="41">
        <v>2267.0</v>
      </c>
      <c r="C206" s="41" t="s">
        <v>1269</v>
      </c>
      <c r="D206" s="41" t="s">
        <v>1969</v>
      </c>
      <c r="E206" s="41" t="s">
        <v>1969</v>
      </c>
      <c r="F206" s="41" t="s">
        <v>1269</v>
      </c>
      <c r="G206" s="41">
        <v>217.0</v>
      </c>
      <c r="H206" s="41" t="s">
        <v>1970</v>
      </c>
      <c r="I206" s="41"/>
      <c r="J206" s="41" t="s">
        <v>1970</v>
      </c>
      <c r="K206" s="42" t="s">
        <v>1971</v>
      </c>
      <c r="L206" s="42" t="s">
        <v>1972</v>
      </c>
      <c r="M206" s="42" t="s">
        <v>1043</v>
      </c>
      <c r="N206" s="42">
        <v>0.0</v>
      </c>
      <c r="O206" s="42">
        <v>1.0</v>
      </c>
      <c r="P206" s="42">
        <v>2.0</v>
      </c>
      <c r="Q206" s="42">
        <v>0.0</v>
      </c>
      <c r="R206" s="42">
        <v>10.0</v>
      </c>
      <c r="S206" s="42">
        <v>0.0</v>
      </c>
      <c r="T206" s="42" t="s">
        <v>1973</v>
      </c>
      <c r="U206" s="42">
        <v>1.0</v>
      </c>
      <c r="V206" s="42">
        <v>8.0</v>
      </c>
      <c r="W206" s="42">
        <v>0.0</v>
      </c>
      <c r="X206" s="42">
        <v>100.0</v>
      </c>
      <c r="Y206" s="42">
        <v>0.0</v>
      </c>
    </row>
    <row r="207" ht="22.5" customHeight="1">
      <c r="A207" s="41"/>
      <c r="B207" s="41">
        <v>2268.0</v>
      </c>
      <c r="C207" s="41" t="s">
        <v>1269</v>
      </c>
      <c r="D207" s="41" t="s">
        <v>1974</v>
      </c>
      <c r="E207" s="41" t="s">
        <v>1974</v>
      </c>
      <c r="F207" s="41" t="s">
        <v>1269</v>
      </c>
      <c r="G207" s="41">
        <v>218.0</v>
      </c>
      <c r="H207" s="41" t="s">
        <v>1975</v>
      </c>
      <c r="I207" s="41"/>
      <c r="J207" s="41" t="s">
        <v>1975</v>
      </c>
      <c r="K207" s="42" t="s">
        <v>1976</v>
      </c>
      <c r="L207" s="42" t="s">
        <v>1977</v>
      </c>
      <c r="M207" s="42" t="s">
        <v>1043</v>
      </c>
      <c r="N207" s="42">
        <v>0.0</v>
      </c>
      <c r="O207" s="42">
        <v>1.0</v>
      </c>
      <c r="P207" s="42">
        <v>2.0</v>
      </c>
      <c r="Q207" s="42">
        <v>0.0</v>
      </c>
      <c r="R207" s="42">
        <v>10.0</v>
      </c>
      <c r="S207" s="42">
        <v>0.0</v>
      </c>
      <c r="T207" s="42" t="s">
        <v>1978</v>
      </c>
      <c r="U207" s="42">
        <v>1.0</v>
      </c>
      <c r="V207" s="42">
        <v>2.0</v>
      </c>
      <c r="W207" s="42">
        <v>0.0</v>
      </c>
      <c r="X207" s="42">
        <v>100.0</v>
      </c>
      <c r="Y207" s="42">
        <v>0.0</v>
      </c>
    </row>
    <row r="208" ht="22.5" customHeight="1">
      <c r="A208" s="41"/>
      <c r="B208" s="41">
        <v>2269.0</v>
      </c>
      <c r="C208" s="41" t="s">
        <v>1269</v>
      </c>
      <c r="D208" s="41" t="s">
        <v>1979</v>
      </c>
      <c r="E208" s="41" t="s">
        <v>1979</v>
      </c>
      <c r="F208" s="41" t="s">
        <v>1269</v>
      </c>
      <c r="G208" s="41">
        <v>219.0</v>
      </c>
      <c r="H208" s="41" t="s">
        <v>1980</v>
      </c>
      <c r="I208" s="41"/>
      <c r="J208" s="41" t="s">
        <v>1980</v>
      </c>
      <c r="K208" s="42" t="s">
        <v>1981</v>
      </c>
      <c r="L208" s="42" t="s">
        <v>1982</v>
      </c>
      <c r="N208" s="42">
        <v>0.0</v>
      </c>
      <c r="O208" s="42">
        <v>0.0</v>
      </c>
      <c r="P208" s="42">
        <v>2.0</v>
      </c>
      <c r="Q208" s="42">
        <v>0.0</v>
      </c>
      <c r="R208" s="42">
        <v>2.0</v>
      </c>
      <c r="S208" s="42">
        <v>0.0</v>
      </c>
      <c r="T208" s="42" t="s">
        <v>995</v>
      </c>
      <c r="U208" s="42">
        <v>0.0</v>
      </c>
      <c r="V208" s="42">
        <v>0.0</v>
      </c>
      <c r="W208" s="42">
        <v>0.0</v>
      </c>
      <c r="X208" s="42">
        <v>100.0</v>
      </c>
      <c r="Y208" s="42">
        <v>0.0</v>
      </c>
    </row>
    <row r="209" ht="22.5" customHeight="1">
      <c r="A209" s="41"/>
      <c r="B209" s="41">
        <v>2275.0</v>
      </c>
      <c r="C209" s="41" t="s">
        <v>271</v>
      </c>
      <c r="D209" s="41" t="s">
        <v>1983</v>
      </c>
      <c r="E209" s="41" t="s">
        <v>1983</v>
      </c>
      <c r="F209" s="41" t="s">
        <v>271</v>
      </c>
      <c r="G209" s="41">
        <v>220.0</v>
      </c>
      <c r="H209" s="41" t="s">
        <v>1984</v>
      </c>
      <c r="I209" s="41"/>
      <c r="J209" s="41" t="s">
        <v>1984</v>
      </c>
      <c r="K209" s="42" t="s">
        <v>1985</v>
      </c>
      <c r="L209" s="42" t="s">
        <v>1986</v>
      </c>
      <c r="N209" s="42">
        <v>0.0</v>
      </c>
      <c r="O209" s="42">
        <v>0.0</v>
      </c>
      <c r="P209" s="42">
        <v>2.0</v>
      </c>
      <c r="Q209" s="42">
        <v>0.0</v>
      </c>
      <c r="R209" s="42">
        <v>2.0</v>
      </c>
      <c r="S209" s="42">
        <v>0.0</v>
      </c>
      <c r="T209" s="42" t="s">
        <v>1987</v>
      </c>
      <c r="U209" s="42">
        <v>0.0</v>
      </c>
      <c r="V209" s="42">
        <v>0.0</v>
      </c>
      <c r="W209" s="42">
        <v>0.0</v>
      </c>
      <c r="X209" s="42">
        <v>100.0</v>
      </c>
      <c r="Y209" s="42">
        <v>0.0</v>
      </c>
    </row>
    <row r="210" ht="22.5" customHeight="1">
      <c r="A210" s="41"/>
      <c r="B210" s="41">
        <v>2276.0</v>
      </c>
      <c r="C210" s="41" t="s">
        <v>271</v>
      </c>
      <c r="D210" s="41" t="s">
        <v>1988</v>
      </c>
      <c r="E210" s="41" t="s">
        <v>1988</v>
      </c>
      <c r="F210" s="41" t="s">
        <v>271</v>
      </c>
      <c r="G210" s="41">
        <v>221.0</v>
      </c>
      <c r="H210" s="41" t="s">
        <v>1989</v>
      </c>
      <c r="I210" s="41"/>
      <c r="J210" s="41" t="s">
        <v>1989</v>
      </c>
      <c r="K210" s="42" t="s">
        <v>1990</v>
      </c>
      <c r="L210" s="42" t="s">
        <v>1991</v>
      </c>
      <c r="M210" s="42" t="s">
        <v>1043</v>
      </c>
      <c r="N210" s="42">
        <v>0.0</v>
      </c>
      <c r="O210" s="42">
        <v>1.0</v>
      </c>
      <c r="P210" s="42">
        <v>2.0</v>
      </c>
      <c r="Q210" s="42">
        <v>0.0</v>
      </c>
      <c r="R210" s="42">
        <v>2.0</v>
      </c>
      <c r="S210" s="42">
        <v>0.0</v>
      </c>
      <c r="T210" s="42" t="s">
        <v>1992</v>
      </c>
      <c r="U210" s="42">
        <v>1.0</v>
      </c>
      <c r="V210" s="42">
        <v>8.0</v>
      </c>
      <c r="W210" s="42">
        <v>0.0</v>
      </c>
      <c r="X210" s="42">
        <v>100.0</v>
      </c>
      <c r="Y210" s="42">
        <v>0.0</v>
      </c>
    </row>
    <row r="211" ht="22.5" customHeight="1">
      <c r="A211" s="41"/>
      <c r="B211" s="41">
        <v>2277.0</v>
      </c>
      <c r="C211" s="41" t="s">
        <v>271</v>
      </c>
      <c r="D211" s="41" t="s">
        <v>1993</v>
      </c>
      <c r="E211" s="41" t="s">
        <v>1993</v>
      </c>
      <c r="F211" s="41" t="s">
        <v>271</v>
      </c>
      <c r="G211" s="41">
        <v>222.0</v>
      </c>
      <c r="H211" s="41" t="s">
        <v>1994</v>
      </c>
      <c r="I211" s="41"/>
      <c r="J211" s="41" t="s">
        <v>1994</v>
      </c>
      <c r="K211" s="42" t="s">
        <v>1995</v>
      </c>
      <c r="L211" s="42" t="s">
        <v>1996</v>
      </c>
      <c r="N211" s="42">
        <v>0.0</v>
      </c>
      <c r="O211" s="42">
        <v>0.0</v>
      </c>
      <c r="P211" s="42">
        <v>2.0</v>
      </c>
      <c r="Q211" s="42">
        <v>0.0</v>
      </c>
      <c r="R211" s="42">
        <v>2.0</v>
      </c>
      <c r="S211" s="42">
        <v>0.0</v>
      </c>
      <c r="T211" s="42" t="s">
        <v>1997</v>
      </c>
      <c r="U211" s="42">
        <v>0.0</v>
      </c>
      <c r="V211" s="42">
        <v>0.0</v>
      </c>
      <c r="W211" s="42">
        <v>0.0</v>
      </c>
      <c r="X211" s="42">
        <v>100.0</v>
      </c>
      <c r="Y211" s="42">
        <v>0.0</v>
      </c>
    </row>
    <row r="212" ht="22.5" customHeight="1">
      <c r="A212" s="41"/>
      <c r="B212" s="41">
        <v>2278.0</v>
      </c>
      <c r="C212" s="41" t="s">
        <v>271</v>
      </c>
      <c r="D212" s="41" t="s">
        <v>1998</v>
      </c>
      <c r="E212" s="41" t="s">
        <v>1998</v>
      </c>
      <c r="F212" s="41" t="s">
        <v>271</v>
      </c>
      <c r="G212" s="41">
        <v>223.0</v>
      </c>
      <c r="H212" s="41" t="s">
        <v>1999</v>
      </c>
      <c r="I212" s="41"/>
      <c r="J212" s="41" t="s">
        <v>1999</v>
      </c>
      <c r="K212" s="42" t="s">
        <v>2000</v>
      </c>
      <c r="L212" s="42" t="s">
        <v>2001</v>
      </c>
      <c r="M212" s="42" t="s">
        <v>1043</v>
      </c>
      <c r="N212" s="42">
        <v>0.0</v>
      </c>
      <c r="O212" s="42">
        <v>1.0</v>
      </c>
      <c r="P212" s="42">
        <v>2.0</v>
      </c>
      <c r="Q212" s="42">
        <v>0.0</v>
      </c>
      <c r="R212" s="42">
        <v>10.0</v>
      </c>
      <c r="S212" s="42">
        <v>0.0</v>
      </c>
      <c r="T212" s="42" t="s">
        <v>2002</v>
      </c>
      <c r="U212" s="42">
        <v>1.0</v>
      </c>
      <c r="V212" s="42">
        <v>8.0</v>
      </c>
      <c r="W212" s="42">
        <v>0.0</v>
      </c>
      <c r="X212" s="42">
        <v>100.0</v>
      </c>
      <c r="Y212" s="42">
        <v>0.0</v>
      </c>
    </row>
    <row r="213" ht="22.5" customHeight="1">
      <c r="A213" s="41"/>
      <c r="B213" s="41">
        <v>2279.0</v>
      </c>
      <c r="C213" s="41" t="s">
        <v>271</v>
      </c>
      <c r="D213" s="41" t="s">
        <v>2003</v>
      </c>
      <c r="E213" s="41" t="s">
        <v>2003</v>
      </c>
      <c r="F213" s="41" t="s">
        <v>271</v>
      </c>
      <c r="G213" s="41">
        <v>224.0</v>
      </c>
      <c r="H213" s="41" t="s">
        <v>2004</v>
      </c>
      <c r="I213" s="41"/>
      <c r="J213" s="41" t="s">
        <v>2004</v>
      </c>
      <c r="K213" s="42" t="s">
        <v>2005</v>
      </c>
      <c r="L213" s="42" t="s">
        <v>2006</v>
      </c>
      <c r="N213" s="42">
        <v>0.0</v>
      </c>
      <c r="O213" s="42">
        <v>0.0</v>
      </c>
      <c r="P213" s="42">
        <v>2.0</v>
      </c>
      <c r="Q213" s="42">
        <v>0.0</v>
      </c>
      <c r="R213" s="42">
        <v>2.0</v>
      </c>
      <c r="S213" s="42">
        <v>0.0</v>
      </c>
      <c r="T213" s="42" t="s">
        <v>2007</v>
      </c>
      <c r="U213" s="42">
        <v>0.0</v>
      </c>
      <c r="V213" s="42">
        <v>0.0</v>
      </c>
      <c r="W213" s="42">
        <v>0.0</v>
      </c>
      <c r="X213" s="42">
        <v>100.0</v>
      </c>
      <c r="Y213" s="42">
        <v>0.0</v>
      </c>
    </row>
    <row r="214" ht="22.5" customHeight="1">
      <c r="A214" s="41"/>
      <c r="B214" s="41">
        <v>2283.0</v>
      </c>
      <c r="C214" s="41" t="s">
        <v>271</v>
      </c>
      <c r="D214" s="41" t="s">
        <v>2008</v>
      </c>
      <c r="E214" s="41" t="s">
        <v>2008</v>
      </c>
      <c r="F214" s="41" t="s">
        <v>271</v>
      </c>
      <c r="G214" s="41">
        <v>226.0</v>
      </c>
      <c r="H214" s="41" t="s">
        <v>2009</v>
      </c>
      <c r="I214" s="41"/>
      <c r="J214" s="41" t="s">
        <v>2009</v>
      </c>
      <c r="K214" s="42" t="s">
        <v>2010</v>
      </c>
      <c r="L214" s="42" t="s">
        <v>2011</v>
      </c>
      <c r="N214" s="42">
        <v>0.0</v>
      </c>
      <c r="O214" s="42">
        <v>0.0</v>
      </c>
      <c r="P214" s="42">
        <v>2.0</v>
      </c>
      <c r="Q214" s="42">
        <v>0.0</v>
      </c>
      <c r="R214" s="42">
        <v>2.0</v>
      </c>
      <c r="S214" s="42">
        <v>0.0</v>
      </c>
      <c r="T214" s="42" t="s">
        <v>2012</v>
      </c>
      <c r="U214" s="42">
        <v>0.0</v>
      </c>
      <c r="V214" s="42">
        <v>0.0</v>
      </c>
      <c r="W214" s="42">
        <v>0.0</v>
      </c>
      <c r="X214" s="42">
        <v>100.0</v>
      </c>
      <c r="Y214" s="42">
        <v>0.0</v>
      </c>
    </row>
    <row r="215" ht="22.5" customHeight="1">
      <c r="A215" s="41"/>
      <c r="B215" s="41">
        <v>2284.0</v>
      </c>
      <c r="C215" s="41" t="s">
        <v>271</v>
      </c>
      <c r="D215" s="41" t="s">
        <v>2013</v>
      </c>
      <c r="E215" s="41" t="s">
        <v>2013</v>
      </c>
      <c r="F215" s="41" t="s">
        <v>271</v>
      </c>
      <c r="G215" s="41">
        <v>227.0</v>
      </c>
      <c r="H215" s="41" t="s">
        <v>2014</v>
      </c>
      <c r="I215" s="41"/>
      <c r="J215" s="41" t="s">
        <v>2014</v>
      </c>
      <c r="K215" s="42" t="s">
        <v>2015</v>
      </c>
      <c r="L215" s="42" t="s">
        <v>2016</v>
      </c>
      <c r="N215" s="42">
        <v>0.0</v>
      </c>
      <c r="O215" s="42">
        <v>0.0</v>
      </c>
      <c r="P215" s="42">
        <v>2.0</v>
      </c>
      <c r="Q215" s="42">
        <v>0.0</v>
      </c>
      <c r="R215" s="42">
        <v>2.0</v>
      </c>
      <c r="S215" s="42">
        <v>0.0</v>
      </c>
      <c r="T215" s="42" t="s">
        <v>2017</v>
      </c>
      <c r="U215" s="42">
        <v>0.0</v>
      </c>
      <c r="V215" s="42">
        <v>0.0</v>
      </c>
      <c r="W215" s="42">
        <v>0.0</v>
      </c>
      <c r="X215" s="42">
        <v>100.0</v>
      </c>
      <c r="Y215" s="42">
        <v>0.0</v>
      </c>
    </row>
    <row r="216" ht="22.5" customHeight="1">
      <c r="A216" s="41"/>
      <c r="B216" s="41">
        <v>2285.0</v>
      </c>
      <c r="C216" s="41" t="s">
        <v>271</v>
      </c>
      <c r="D216" s="41" t="s">
        <v>2018</v>
      </c>
      <c r="E216" s="41" t="s">
        <v>2018</v>
      </c>
      <c r="F216" s="41" t="s">
        <v>271</v>
      </c>
      <c r="G216" s="41">
        <v>228.0</v>
      </c>
      <c r="H216" s="41" t="s">
        <v>2019</v>
      </c>
      <c r="I216" s="41"/>
      <c r="J216" s="41" t="s">
        <v>2019</v>
      </c>
      <c r="K216" s="42" t="s">
        <v>2020</v>
      </c>
      <c r="L216" s="42" t="s">
        <v>2021</v>
      </c>
      <c r="M216" s="42" t="s">
        <v>1082</v>
      </c>
      <c r="N216" s="42">
        <v>0.0</v>
      </c>
      <c r="O216" s="42">
        <v>1.0</v>
      </c>
      <c r="P216" s="42">
        <v>2.0</v>
      </c>
      <c r="Q216" s="42">
        <v>0.0</v>
      </c>
      <c r="R216" s="42">
        <v>7.0</v>
      </c>
      <c r="S216" s="42">
        <v>0.0</v>
      </c>
      <c r="T216" s="42" t="s">
        <v>2022</v>
      </c>
      <c r="U216" s="42">
        <v>1.0</v>
      </c>
      <c r="V216" s="42">
        <v>2.0</v>
      </c>
      <c r="W216" s="42">
        <v>0.0</v>
      </c>
      <c r="X216" s="42">
        <v>100.0</v>
      </c>
      <c r="Y216" s="42">
        <v>0.0</v>
      </c>
    </row>
    <row r="217" ht="22.5" customHeight="1">
      <c r="A217" s="41"/>
      <c r="B217" s="41">
        <v>2287.0</v>
      </c>
      <c r="C217" s="41" t="s">
        <v>271</v>
      </c>
      <c r="D217" s="41" t="s">
        <v>2023</v>
      </c>
      <c r="E217" s="41" t="s">
        <v>2023</v>
      </c>
      <c r="F217" s="41" t="s">
        <v>271</v>
      </c>
      <c r="G217" s="41">
        <v>229.0</v>
      </c>
      <c r="H217" s="41" t="s">
        <v>2024</v>
      </c>
      <c r="I217" s="41"/>
      <c r="J217" s="41" t="s">
        <v>2024</v>
      </c>
      <c r="K217" s="42" t="s">
        <v>2025</v>
      </c>
      <c r="L217" s="42" t="s">
        <v>2026</v>
      </c>
      <c r="M217" s="42" t="s">
        <v>1130</v>
      </c>
      <c r="N217" s="42">
        <v>0.0</v>
      </c>
      <c r="O217" s="42">
        <v>1.0</v>
      </c>
      <c r="P217" s="42">
        <v>2.0</v>
      </c>
      <c r="Q217" s="42">
        <v>0.0</v>
      </c>
      <c r="R217" s="42">
        <v>9.0</v>
      </c>
      <c r="S217" s="42">
        <v>0.0</v>
      </c>
      <c r="T217" s="42" t="s">
        <v>2027</v>
      </c>
      <c r="U217" s="42">
        <v>1.0</v>
      </c>
      <c r="V217" s="42">
        <v>3.0</v>
      </c>
      <c r="W217" s="42">
        <v>0.0</v>
      </c>
      <c r="X217" s="42">
        <v>1.0</v>
      </c>
      <c r="Y217" s="42">
        <v>0.0</v>
      </c>
    </row>
    <row r="218" ht="22.5" customHeight="1">
      <c r="A218" s="41"/>
      <c r="B218" s="41">
        <v>2288.0</v>
      </c>
      <c r="C218" s="41" t="s">
        <v>271</v>
      </c>
      <c r="D218" s="41" t="s">
        <v>2028</v>
      </c>
      <c r="E218" s="41" t="s">
        <v>2028</v>
      </c>
      <c r="F218" s="41" t="s">
        <v>271</v>
      </c>
      <c r="G218" s="41">
        <v>230.0</v>
      </c>
      <c r="H218" s="41" t="s">
        <v>2029</v>
      </c>
      <c r="I218" s="41"/>
      <c r="J218" s="41" t="s">
        <v>2029</v>
      </c>
      <c r="K218" s="42" t="s">
        <v>2030</v>
      </c>
      <c r="L218" s="42" t="s">
        <v>2031</v>
      </c>
      <c r="N218" s="42">
        <v>0.0</v>
      </c>
      <c r="O218" s="42">
        <v>0.0</v>
      </c>
      <c r="P218" s="42">
        <v>2.0</v>
      </c>
      <c r="Q218" s="42">
        <v>0.0</v>
      </c>
      <c r="R218" s="42">
        <v>0.0</v>
      </c>
      <c r="S218" s="42">
        <v>0.0</v>
      </c>
      <c r="T218" s="42" t="s">
        <v>2032</v>
      </c>
      <c r="U218" s="42">
        <v>1.0</v>
      </c>
      <c r="V218" s="42">
        <v>0.0</v>
      </c>
      <c r="W218" s="42">
        <v>0.0</v>
      </c>
      <c r="X218" s="42">
        <v>100.0</v>
      </c>
      <c r="Y218" s="42">
        <v>0.0</v>
      </c>
    </row>
    <row r="219" ht="22.5" customHeight="1">
      <c r="A219" s="41"/>
      <c r="B219" s="41">
        <v>2289.0</v>
      </c>
      <c r="C219" s="41" t="s">
        <v>271</v>
      </c>
      <c r="D219" s="41" t="s">
        <v>2033</v>
      </c>
      <c r="E219" s="41" t="s">
        <v>2033</v>
      </c>
      <c r="F219" s="41" t="s">
        <v>271</v>
      </c>
      <c r="G219" s="41">
        <v>231.0</v>
      </c>
      <c r="H219" s="41" t="s">
        <v>2034</v>
      </c>
      <c r="I219" s="41"/>
      <c r="J219" s="41" t="s">
        <v>2034</v>
      </c>
      <c r="K219" s="42" t="s">
        <v>2035</v>
      </c>
      <c r="L219" s="42" t="s">
        <v>2036</v>
      </c>
      <c r="M219" s="42" t="s">
        <v>1082</v>
      </c>
      <c r="N219" s="42">
        <v>0.0</v>
      </c>
      <c r="O219" s="42">
        <v>1.0</v>
      </c>
      <c r="P219" s="42">
        <v>2.0</v>
      </c>
      <c r="Q219" s="42">
        <v>0.0</v>
      </c>
      <c r="R219" s="42">
        <v>2.0</v>
      </c>
      <c r="S219" s="42">
        <v>0.0</v>
      </c>
      <c r="T219" s="42" t="s">
        <v>2037</v>
      </c>
      <c r="U219" s="42">
        <v>1.0</v>
      </c>
      <c r="V219" s="42">
        <v>5.0</v>
      </c>
      <c r="W219" s="42">
        <v>0.0</v>
      </c>
      <c r="X219" s="42">
        <v>100.0</v>
      </c>
      <c r="Y219" s="42">
        <v>0.0</v>
      </c>
    </row>
    <row r="220" ht="22.5" customHeight="1">
      <c r="A220" s="41"/>
      <c r="B220" s="41">
        <v>3290.0</v>
      </c>
      <c r="C220" s="41" t="s">
        <v>271</v>
      </c>
      <c r="D220" s="41" t="s">
        <v>2038</v>
      </c>
      <c r="E220" s="41" t="s">
        <v>2038</v>
      </c>
      <c r="F220" s="41" t="s">
        <v>271</v>
      </c>
      <c r="G220" s="41">
        <v>234.0</v>
      </c>
      <c r="H220" s="41" t="s">
        <v>2039</v>
      </c>
      <c r="I220" s="41"/>
      <c r="J220" s="41" t="s">
        <v>2040</v>
      </c>
      <c r="K220" s="42" t="s">
        <v>2041</v>
      </c>
      <c r="L220" s="42" t="s">
        <v>2042</v>
      </c>
      <c r="M220" s="42" t="s">
        <v>1028</v>
      </c>
      <c r="N220" s="42">
        <v>1.0</v>
      </c>
      <c r="O220" s="42">
        <v>0.0</v>
      </c>
      <c r="P220" s="42">
        <v>2.0</v>
      </c>
      <c r="Q220" s="42">
        <v>0.0</v>
      </c>
      <c r="R220" s="42">
        <v>2.0</v>
      </c>
      <c r="S220" s="42">
        <v>0.0</v>
      </c>
      <c r="T220" s="42" t="s">
        <v>2043</v>
      </c>
      <c r="U220" s="42">
        <v>1.0</v>
      </c>
      <c r="V220" s="42">
        <v>0.0</v>
      </c>
      <c r="W220" s="42">
        <v>1.0</v>
      </c>
      <c r="X220" s="42">
        <v>100.0</v>
      </c>
      <c r="Y220" s="42">
        <v>0.0</v>
      </c>
    </row>
    <row r="221" ht="22.5" customHeight="1">
      <c r="A221" s="41"/>
      <c r="B221" s="41">
        <v>3291.0</v>
      </c>
      <c r="C221" s="41" t="s">
        <v>271</v>
      </c>
      <c r="D221" s="41" t="s">
        <v>2044</v>
      </c>
      <c r="E221" s="41" t="s">
        <v>2044</v>
      </c>
      <c r="F221" s="41" t="s">
        <v>271</v>
      </c>
      <c r="G221" s="41">
        <v>235.0</v>
      </c>
      <c r="H221" s="41" t="s">
        <v>2045</v>
      </c>
      <c r="I221" s="41"/>
      <c r="J221" s="41" t="s">
        <v>2045</v>
      </c>
      <c r="K221" s="42" t="s">
        <v>2046</v>
      </c>
      <c r="L221" s="42" t="s">
        <v>2047</v>
      </c>
      <c r="M221" s="42" t="s">
        <v>1028</v>
      </c>
      <c r="N221" s="42">
        <v>0.0</v>
      </c>
      <c r="O221" s="42">
        <v>1.0</v>
      </c>
      <c r="P221" s="42">
        <v>2.0</v>
      </c>
      <c r="Q221" s="42">
        <v>0.0</v>
      </c>
      <c r="R221" s="42">
        <v>2.0</v>
      </c>
      <c r="S221" s="42">
        <v>0.0</v>
      </c>
      <c r="T221" s="42" t="s">
        <v>2048</v>
      </c>
      <c r="U221" s="42">
        <v>1.0</v>
      </c>
      <c r="V221" s="42">
        <v>1.0</v>
      </c>
      <c r="W221" s="42">
        <v>0.0</v>
      </c>
      <c r="X221" s="42">
        <v>100.0</v>
      </c>
      <c r="Y221" s="42">
        <v>0.0</v>
      </c>
    </row>
    <row r="222" ht="22.5" customHeight="1">
      <c r="A222" s="41"/>
      <c r="B222" s="41">
        <v>3293.0</v>
      </c>
      <c r="C222" s="41" t="s">
        <v>271</v>
      </c>
      <c r="D222" s="41" t="s">
        <v>2049</v>
      </c>
      <c r="E222" s="41" t="s">
        <v>2049</v>
      </c>
      <c r="F222" s="41" t="s">
        <v>271</v>
      </c>
      <c r="G222" s="41">
        <v>237.0</v>
      </c>
      <c r="H222" s="41" t="s">
        <v>2050</v>
      </c>
      <c r="I222" s="41"/>
      <c r="J222" s="41" t="s">
        <v>2050</v>
      </c>
      <c r="K222" s="42" t="s">
        <v>2051</v>
      </c>
      <c r="L222" s="42" t="s">
        <v>2052</v>
      </c>
      <c r="N222" s="42">
        <v>0.0</v>
      </c>
      <c r="O222" s="42">
        <v>0.0</v>
      </c>
      <c r="P222" s="42">
        <v>2.0</v>
      </c>
      <c r="Q222" s="42">
        <v>0.0</v>
      </c>
      <c r="R222" s="42">
        <v>2.0</v>
      </c>
      <c r="S222" s="42">
        <v>0.0</v>
      </c>
      <c r="T222" s="42" t="s">
        <v>2053</v>
      </c>
      <c r="U222" s="42">
        <v>0.0</v>
      </c>
      <c r="V222" s="42">
        <v>0.0</v>
      </c>
      <c r="W222" s="42">
        <v>0.0</v>
      </c>
      <c r="X222" s="42">
        <v>100.0</v>
      </c>
      <c r="Y222" s="42">
        <v>0.0</v>
      </c>
    </row>
    <row r="223" ht="22.5" customHeight="1">
      <c r="A223" s="41"/>
      <c r="B223" s="41">
        <v>3299.0</v>
      </c>
      <c r="C223" s="41" t="s">
        <v>271</v>
      </c>
      <c r="D223" s="41" t="s">
        <v>2054</v>
      </c>
      <c r="E223" s="41" t="s">
        <v>2054</v>
      </c>
      <c r="F223" s="41" t="s">
        <v>271</v>
      </c>
      <c r="G223" s="41">
        <v>240.0</v>
      </c>
      <c r="H223" s="41" t="s">
        <v>2055</v>
      </c>
      <c r="I223" s="41"/>
      <c r="J223" s="41" t="s">
        <v>2055</v>
      </c>
      <c r="K223" s="42" t="s">
        <v>2056</v>
      </c>
      <c r="L223" s="42" t="s">
        <v>2057</v>
      </c>
      <c r="M223" s="42" t="s">
        <v>962</v>
      </c>
      <c r="N223" s="42">
        <v>0.0</v>
      </c>
      <c r="O223" s="42">
        <v>1.0</v>
      </c>
      <c r="P223" s="42">
        <v>2.0</v>
      </c>
      <c r="Q223" s="42">
        <v>0.0</v>
      </c>
      <c r="R223" s="42">
        <v>0.0</v>
      </c>
      <c r="S223" s="42">
        <v>1.0</v>
      </c>
      <c r="T223" s="42" t="s">
        <v>2058</v>
      </c>
      <c r="U223" s="42">
        <v>1.0</v>
      </c>
      <c r="V223" s="42">
        <v>8.0</v>
      </c>
      <c r="W223" s="42">
        <v>0.0</v>
      </c>
      <c r="X223" s="42">
        <v>100.0</v>
      </c>
      <c r="Y223" s="42">
        <v>0.0</v>
      </c>
    </row>
    <row r="224" ht="22.5" customHeight="1">
      <c r="A224" s="41"/>
      <c r="B224" s="41">
        <v>3301.0</v>
      </c>
      <c r="C224" s="41" t="s">
        <v>271</v>
      </c>
      <c r="D224" s="41" t="s">
        <v>2059</v>
      </c>
      <c r="E224" s="41" t="s">
        <v>2059</v>
      </c>
      <c r="F224" s="41" t="s">
        <v>271</v>
      </c>
      <c r="G224" s="41">
        <v>241.0</v>
      </c>
      <c r="H224" s="41" t="s">
        <v>2060</v>
      </c>
      <c r="I224" s="41"/>
      <c r="J224" s="41" t="s">
        <v>2060</v>
      </c>
      <c r="K224" s="42" t="s">
        <v>2061</v>
      </c>
      <c r="L224" s="42" t="s">
        <v>2062</v>
      </c>
      <c r="M224" s="42" t="s">
        <v>962</v>
      </c>
      <c r="N224" s="42">
        <v>0.0</v>
      </c>
      <c r="O224" s="42">
        <v>1.0</v>
      </c>
      <c r="P224" s="42">
        <v>2.0</v>
      </c>
      <c r="Q224" s="42">
        <v>0.0</v>
      </c>
      <c r="R224" s="42">
        <v>0.0</v>
      </c>
      <c r="S224" s="42">
        <v>1.0</v>
      </c>
      <c r="T224" s="42" t="s">
        <v>2063</v>
      </c>
      <c r="U224" s="42">
        <v>1.0</v>
      </c>
      <c r="V224" s="42">
        <v>8.0</v>
      </c>
      <c r="W224" s="42">
        <v>0.0</v>
      </c>
      <c r="X224" s="42">
        <v>100.0</v>
      </c>
      <c r="Y224" s="42">
        <v>0.0</v>
      </c>
    </row>
    <row r="225" ht="22.5" customHeight="1">
      <c r="A225" s="41"/>
      <c r="B225" s="41">
        <v>3304.0</v>
      </c>
      <c r="C225" s="41" t="s">
        <v>271</v>
      </c>
      <c r="D225" s="41" t="s">
        <v>2064</v>
      </c>
      <c r="E225" s="41" t="s">
        <v>2064</v>
      </c>
      <c r="F225" s="41" t="s">
        <v>271</v>
      </c>
      <c r="G225" s="41">
        <v>243.0</v>
      </c>
      <c r="H225" s="41" t="s">
        <v>2065</v>
      </c>
      <c r="I225" s="41"/>
      <c r="J225" s="41" t="s">
        <v>2065</v>
      </c>
      <c r="K225" s="42" t="s">
        <v>2066</v>
      </c>
      <c r="L225" s="42" t="s">
        <v>2067</v>
      </c>
      <c r="N225" s="42">
        <v>0.0</v>
      </c>
      <c r="O225" s="42">
        <v>0.0</v>
      </c>
      <c r="P225" s="42">
        <v>2.0</v>
      </c>
      <c r="Q225" s="42">
        <v>0.0</v>
      </c>
      <c r="R225" s="42">
        <v>0.0</v>
      </c>
      <c r="S225" s="42">
        <v>1.0</v>
      </c>
      <c r="T225" s="42" t="s">
        <v>2068</v>
      </c>
      <c r="U225" s="42">
        <v>0.0</v>
      </c>
      <c r="V225" s="42">
        <v>8.0</v>
      </c>
      <c r="W225" s="42">
        <v>0.0</v>
      </c>
      <c r="X225" s="42">
        <v>100.0</v>
      </c>
      <c r="Y225" s="42">
        <v>0.0</v>
      </c>
    </row>
    <row r="226" ht="22.5" customHeight="1">
      <c r="A226" s="41"/>
      <c r="B226" s="41">
        <v>3305.0</v>
      </c>
      <c r="C226" s="41" t="s">
        <v>271</v>
      </c>
      <c r="D226" s="41" t="s">
        <v>2069</v>
      </c>
      <c r="E226" s="41" t="s">
        <v>2069</v>
      </c>
      <c r="F226" s="41" t="s">
        <v>271</v>
      </c>
      <c r="G226" s="41">
        <v>244.0</v>
      </c>
      <c r="H226" s="41" t="s">
        <v>2070</v>
      </c>
      <c r="I226" s="41"/>
      <c r="J226" s="41" t="s">
        <v>2070</v>
      </c>
      <c r="K226" s="42" t="s">
        <v>2071</v>
      </c>
      <c r="L226" s="42" t="s">
        <v>2072</v>
      </c>
      <c r="N226" s="42">
        <v>0.0</v>
      </c>
      <c r="O226" s="42">
        <v>0.0</v>
      </c>
      <c r="P226" s="42">
        <v>2.0</v>
      </c>
      <c r="Q226" s="42">
        <v>0.0</v>
      </c>
      <c r="R226" s="42">
        <v>0.0</v>
      </c>
      <c r="S226" s="42">
        <v>1.0</v>
      </c>
      <c r="T226" s="42" t="s">
        <v>995</v>
      </c>
      <c r="U226" s="42">
        <v>0.0</v>
      </c>
      <c r="V226" s="42">
        <v>8.0</v>
      </c>
      <c r="W226" s="42">
        <v>0.0</v>
      </c>
      <c r="X226" s="42">
        <v>100.0</v>
      </c>
      <c r="Y226" s="42">
        <v>0.0</v>
      </c>
    </row>
    <row r="227" ht="22.5" customHeight="1">
      <c r="A227" s="41"/>
      <c r="B227" s="41">
        <v>3307.0</v>
      </c>
      <c r="C227" s="41" t="s">
        <v>271</v>
      </c>
      <c r="D227" s="41" t="s">
        <v>2073</v>
      </c>
      <c r="E227" s="41" t="s">
        <v>2073</v>
      </c>
      <c r="F227" s="41" t="s">
        <v>271</v>
      </c>
      <c r="G227" s="41">
        <v>246.0</v>
      </c>
      <c r="H227" s="41" t="s">
        <v>2074</v>
      </c>
      <c r="I227" s="41"/>
      <c r="J227" s="41" t="s">
        <v>2074</v>
      </c>
      <c r="K227" s="42" t="s">
        <v>2075</v>
      </c>
      <c r="L227" s="42" t="s">
        <v>2076</v>
      </c>
      <c r="M227" s="42" t="s">
        <v>962</v>
      </c>
      <c r="N227" s="42">
        <v>0.0</v>
      </c>
      <c r="O227" s="42">
        <v>1.0</v>
      </c>
      <c r="P227" s="42">
        <v>2.0</v>
      </c>
      <c r="Q227" s="42">
        <v>0.0</v>
      </c>
      <c r="R227" s="42">
        <v>0.0</v>
      </c>
      <c r="S227" s="42">
        <v>1.0</v>
      </c>
      <c r="T227" s="42" t="s">
        <v>2077</v>
      </c>
      <c r="U227" s="42">
        <v>1.0</v>
      </c>
      <c r="V227" s="42">
        <v>8.0</v>
      </c>
      <c r="W227" s="42">
        <v>0.0</v>
      </c>
      <c r="X227" s="42">
        <v>100.0</v>
      </c>
      <c r="Y227" s="42">
        <v>0.0</v>
      </c>
    </row>
    <row r="228" ht="22.5" customHeight="1">
      <c r="A228" s="41"/>
      <c r="B228" s="41">
        <v>3312.0</v>
      </c>
      <c r="C228" s="41" t="s">
        <v>271</v>
      </c>
      <c r="D228" s="41" t="s">
        <v>2078</v>
      </c>
      <c r="E228" s="41" t="s">
        <v>2078</v>
      </c>
      <c r="F228" s="41" t="s">
        <v>271</v>
      </c>
      <c r="G228" s="41">
        <v>247.0</v>
      </c>
      <c r="H228" s="41" t="s">
        <v>2079</v>
      </c>
      <c r="I228" s="41"/>
      <c r="J228" s="41" t="s">
        <v>2079</v>
      </c>
      <c r="K228" s="42" t="s">
        <v>2080</v>
      </c>
      <c r="L228" s="42" t="s">
        <v>2081</v>
      </c>
      <c r="N228" s="42">
        <v>0.0</v>
      </c>
      <c r="O228" s="42">
        <v>0.0</v>
      </c>
      <c r="P228" s="42">
        <v>2.0</v>
      </c>
      <c r="Q228" s="42">
        <v>0.0</v>
      </c>
      <c r="R228" s="42">
        <v>0.0</v>
      </c>
      <c r="S228" s="42">
        <v>0.0</v>
      </c>
      <c r="T228" s="42" t="s">
        <v>2082</v>
      </c>
      <c r="U228" s="42">
        <v>1.0</v>
      </c>
      <c r="V228" s="42">
        <v>0.0</v>
      </c>
      <c r="W228" s="42">
        <v>0.0</v>
      </c>
      <c r="X228" s="42">
        <v>100.0</v>
      </c>
      <c r="Y228" s="42">
        <v>0.0</v>
      </c>
    </row>
    <row r="229" ht="22.5" customHeight="1">
      <c r="A229" s="41"/>
      <c r="B229" s="41">
        <v>3313.0</v>
      </c>
      <c r="C229" s="41" t="s">
        <v>271</v>
      </c>
      <c r="D229" s="41" t="s">
        <v>2083</v>
      </c>
      <c r="E229" s="41" t="s">
        <v>2083</v>
      </c>
      <c r="F229" s="41" t="s">
        <v>271</v>
      </c>
      <c r="G229" s="41">
        <v>248.0</v>
      </c>
      <c r="H229" s="41" t="s">
        <v>2084</v>
      </c>
      <c r="I229" s="41"/>
      <c r="J229" s="41" t="s">
        <v>2084</v>
      </c>
      <c r="K229" s="42" t="s">
        <v>2085</v>
      </c>
      <c r="L229" s="42" t="s">
        <v>2086</v>
      </c>
      <c r="N229" s="42">
        <v>0.0</v>
      </c>
      <c r="O229" s="42">
        <v>0.0</v>
      </c>
      <c r="P229" s="42">
        <v>2.0</v>
      </c>
      <c r="Q229" s="42">
        <v>0.0</v>
      </c>
      <c r="R229" s="42">
        <v>1.0</v>
      </c>
      <c r="S229" s="42">
        <v>0.0</v>
      </c>
      <c r="T229" s="42" t="s">
        <v>995</v>
      </c>
      <c r="U229" s="42">
        <v>0.0</v>
      </c>
      <c r="V229" s="42">
        <v>0.0</v>
      </c>
      <c r="W229" s="42">
        <v>0.0</v>
      </c>
      <c r="X229" s="42">
        <v>100.0</v>
      </c>
      <c r="Y229" s="42">
        <v>0.0</v>
      </c>
    </row>
    <row r="230" ht="22.5" customHeight="1">
      <c r="A230" s="41"/>
      <c r="B230" s="41">
        <v>4309.0</v>
      </c>
      <c r="C230" s="41" t="s">
        <v>271</v>
      </c>
      <c r="D230" s="41" t="s">
        <v>2087</v>
      </c>
      <c r="E230" s="41" t="s">
        <v>2087</v>
      </c>
      <c r="F230" s="41" t="s">
        <v>271</v>
      </c>
      <c r="G230" s="41">
        <v>250.0</v>
      </c>
      <c r="H230" s="41" t="s">
        <v>2088</v>
      </c>
      <c r="I230" s="41"/>
      <c r="J230" s="41" t="s">
        <v>2088</v>
      </c>
      <c r="K230" s="42" t="s">
        <v>2089</v>
      </c>
      <c r="L230" s="42" t="s">
        <v>2090</v>
      </c>
      <c r="M230" s="42" t="s">
        <v>962</v>
      </c>
      <c r="N230" s="42">
        <v>0.0</v>
      </c>
      <c r="O230" s="42">
        <v>1.0</v>
      </c>
      <c r="P230" s="42">
        <v>2.0</v>
      </c>
      <c r="Q230" s="42">
        <v>0.0</v>
      </c>
      <c r="R230" s="42">
        <v>0.0</v>
      </c>
      <c r="S230" s="42">
        <v>1.0</v>
      </c>
      <c r="T230" s="42" t="s">
        <v>2091</v>
      </c>
      <c r="U230" s="42">
        <v>1.0</v>
      </c>
      <c r="V230" s="42">
        <v>8.0</v>
      </c>
      <c r="W230" s="42">
        <v>0.0</v>
      </c>
      <c r="X230" s="42">
        <v>100.0</v>
      </c>
      <c r="Y230" s="42">
        <v>0.0</v>
      </c>
    </row>
    <row r="231" ht="22.5" customHeight="1">
      <c r="A231" s="41"/>
      <c r="B231" s="41">
        <v>4310.0</v>
      </c>
      <c r="C231" s="41" t="s">
        <v>271</v>
      </c>
      <c r="D231" s="41" t="s">
        <v>2092</v>
      </c>
      <c r="E231" s="41" t="s">
        <v>2092</v>
      </c>
      <c r="F231" s="41" t="s">
        <v>271</v>
      </c>
      <c r="G231" s="41">
        <v>251.0</v>
      </c>
      <c r="H231" s="41" t="s">
        <v>2093</v>
      </c>
      <c r="I231" s="41"/>
      <c r="J231" s="41" t="s">
        <v>2093</v>
      </c>
      <c r="K231" s="42" t="s">
        <v>2094</v>
      </c>
      <c r="L231" s="42" t="s">
        <v>2095</v>
      </c>
      <c r="N231" s="42">
        <v>0.0</v>
      </c>
      <c r="O231" s="42">
        <v>0.0</v>
      </c>
      <c r="P231" s="42">
        <v>2.0</v>
      </c>
      <c r="Q231" s="42">
        <v>0.0</v>
      </c>
      <c r="R231" s="42">
        <v>0.0</v>
      </c>
      <c r="S231" s="42">
        <v>1.0</v>
      </c>
      <c r="T231" s="42" t="s">
        <v>2096</v>
      </c>
      <c r="U231" s="42">
        <v>0.0</v>
      </c>
      <c r="V231" s="42">
        <v>8.0</v>
      </c>
      <c r="W231" s="42">
        <v>0.0</v>
      </c>
      <c r="X231" s="42">
        <v>100.0</v>
      </c>
      <c r="Y231" s="42">
        <v>0.0</v>
      </c>
    </row>
    <row r="232" ht="22.5" customHeight="1">
      <c r="A232" s="41"/>
      <c r="B232" s="41">
        <v>4311.0</v>
      </c>
      <c r="C232" s="41" t="s">
        <v>271</v>
      </c>
      <c r="D232" s="41" t="s">
        <v>2097</v>
      </c>
      <c r="E232" s="41" t="s">
        <v>2097</v>
      </c>
      <c r="F232" s="41" t="s">
        <v>271</v>
      </c>
      <c r="G232" s="41">
        <v>252.0</v>
      </c>
      <c r="H232" s="41" t="s">
        <v>2098</v>
      </c>
      <c r="I232" s="41"/>
      <c r="J232" s="41" t="s">
        <v>2098</v>
      </c>
      <c r="K232" s="42" t="s">
        <v>2099</v>
      </c>
      <c r="L232" s="42" t="s">
        <v>2100</v>
      </c>
      <c r="N232" s="42">
        <v>0.0</v>
      </c>
      <c r="O232" s="42">
        <v>0.0</v>
      </c>
      <c r="P232" s="42">
        <v>2.0</v>
      </c>
      <c r="Q232" s="42">
        <v>0.0</v>
      </c>
      <c r="R232" s="42">
        <v>0.0</v>
      </c>
      <c r="S232" s="42">
        <v>1.0</v>
      </c>
      <c r="T232" s="42" t="s">
        <v>2101</v>
      </c>
      <c r="U232" s="42">
        <v>1.0</v>
      </c>
      <c r="V232" s="42">
        <v>8.0</v>
      </c>
      <c r="W232" s="42">
        <v>0.0</v>
      </c>
      <c r="X232" s="42">
        <v>100.0</v>
      </c>
      <c r="Y232" s="42">
        <v>0.0</v>
      </c>
    </row>
    <row r="233" ht="22.5" customHeight="1">
      <c r="A233" s="41"/>
      <c r="B233" s="41">
        <v>4312.0</v>
      </c>
      <c r="C233" s="41" t="s">
        <v>271</v>
      </c>
      <c r="D233" s="41" t="s">
        <v>2102</v>
      </c>
      <c r="E233" s="41" t="s">
        <v>2102</v>
      </c>
      <c r="F233" s="41" t="s">
        <v>271</v>
      </c>
      <c r="G233" s="41">
        <v>253.0</v>
      </c>
      <c r="H233" s="41" t="s">
        <v>2103</v>
      </c>
      <c r="I233" s="41"/>
      <c r="J233" s="41" t="s">
        <v>2103</v>
      </c>
      <c r="K233" s="42" t="s">
        <v>2104</v>
      </c>
      <c r="L233" s="42" t="s">
        <v>2105</v>
      </c>
      <c r="N233" s="42">
        <v>0.0</v>
      </c>
      <c r="O233" s="42">
        <v>0.0</v>
      </c>
      <c r="P233" s="42">
        <v>2.0</v>
      </c>
      <c r="Q233" s="42">
        <v>0.0</v>
      </c>
      <c r="R233" s="42">
        <v>1.0</v>
      </c>
      <c r="S233" s="42">
        <v>0.0</v>
      </c>
      <c r="T233" s="42" t="s">
        <v>2106</v>
      </c>
      <c r="U233" s="42">
        <v>0.0</v>
      </c>
      <c r="V233" s="42">
        <v>0.0</v>
      </c>
      <c r="W233" s="42">
        <v>0.0</v>
      </c>
      <c r="X233" s="42">
        <v>100.0</v>
      </c>
      <c r="Y233" s="42">
        <v>0.0</v>
      </c>
    </row>
    <row r="234" ht="22.5" customHeight="1">
      <c r="A234" s="41"/>
      <c r="B234" s="41">
        <v>4313.0</v>
      </c>
      <c r="C234" s="41" t="s">
        <v>271</v>
      </c>
      <c r="D234" s="41" t="s">
        <v>2107</v>
      </c>
      <c r="E234" s="41" t="s">
        <v>2107</v>
      </c>
      <c r="F234" s="41" t="s">
        <v>271</v>
      </c>
      <c r="G234" s="41">
        <v>254.0</v>
      </c>
      <c r="H234" s="41" t="s">
        <v>2108</v>
      </c>
      <c r="I234" s="41"/>
      <c r="J234" s="41" t="s">
        <v>2108</v>
      </c>
      <c r="K234" s="42" t="s">
        <v>2109</v>
      </c>
      <c r="L234" s="42" t="s">
        <v>2110</v>
      </c>
      <c r="M234" s="42" t="s">
        <v>1043</v>
      </c>
      <c r="N234" s="42">
        <v>0.0</v>
      </c>
      <c r="O234" s="42">
        <v>1.0</v>
      </c>
      <c r="P234" s="42">
        <v>2.0</v>
      </c>
      <c r="Q234" s="42">
        <v>0.0</v>
      </c>
      <c r="R234" s="42">
        <v>6.0</v>
      </c>
      <c r="S234" s="42">
        <v>0.0</v>
      </c>
      <c r="T234" s="42" t="s">
        <v>2111</v>
      </c>
      <c r="U234" s="42">
        <v>1.0</v>
      </c>
      <c r="V234" s="42">
        <v>4.0</v>
      </c>
      <c r="W234" s="42">
        <v>0.0</v>
      </c>
      <c r="X234" s="42">
        <v>100.0</v>
      </c>
      <c r="Y234" s="42">
        <v>0.0</v>
      </c>
    </row>
    <row r="235" ht="22.5" customHeight="1">
      <c r="A235" s="41"/>
      <c r="B235" s="41">
        <v>4314.0</v>
      </c>
      <c r="C235" s="41" t="s">
        <v>271</v>
      </c>
      <c r="D235" s="41" t="s">
        <v>2112</v>
      </c>
      <c r="E235" s="41" t="s">
        <v>2112</v>
      </c>
      <c r="F235" s="41" t="s">
        <v>271</v>
      </c>
      <c r="G235" s="41">
        <v>255.0</v>
      </c>
      <c r="H235" s="41" t="s">
        <v>2113</v>
      </c>
      <c r="I235" s="41"/>
      <c r="J235" s="41" t="s">
        <v>2113</v>
      </c>
      <c r="K235" s="42" t="s">
        <v>2114</v>
      </c>
      <c r="L235" s="42" t="s">
        <v>2115</v>
      </c>
      <c r="N235" s="42">
        <v>0.0</v>
      </c>
      <c r="O235" s="42">
        <v>0.0</v>
      </c>
      <c r="P235" s="42">
        <v>2.0</v>
      </c>
      <c r="Q235" s="42">
        <v>0.0</v>
      </c>
      <c r="R235" s="42">
        <v>0.0</v>
      </c>
      <c r="S235" s="42">
        <v>0.0</v>
      </c>
      <c r="T235" s="42" t="s">
        <v>2116</v>
      </c>
      <c r="U235" s="42">
        <v>1.0</v>
      </c>
      <c r="V235" s="42">
        <v>0.0</v>
      </c>
      <c r="W235" s="42">
        <v>0.0</v>
      </c>
      <c r="X235" s="42">
        <v>100.0</v>
      </c>
      <c r="Y235" s="42">
        <v>0.0</v>
      </c>
    </row>
    <row r="236" ht="22.5" customHeight="1">
      <c r="A236" s="41"/>
      <c r="B236" s="41">
        <v>4315.0</v>
      </c>
      <c r="C236" s="41" t="s">
        <v>271</v>
      </c>
      <c r="D236" s="41" t="s">
        <v>2117</v>
      </c>
      <c r="E236" s="41" t="s">
        <v>2117</v>
      </c>
      <c r="F236" s="41" t="s">
        <v>271</v>
      </c>
      <c r="G236" s="41">
        <v>256.0</v>
      </c>
      <c r="H236" s="41" t="s">
        <v>2118</v>
      </c>
      <c r="I236" s="41"/>
      <c r="J236" s="41" t="s">
        <v>2118</v>
      </c>
      <c r="K236" s="42" t="s">
        <v>2119</v>
      </c>
      <c r="L236" s="42" t="s">
        <v>2120</v>
      </c>
      <c r="M236" s="42" t="s">
        <v>1028</v>
      </c>
      <c r="N236" s="42">
        <v>0.0</v>
      </c>
      <c r="O236" s="42">
        <v>1.0</v>
      </c>
      <c r="P236" s="42">
        <v>2.0</v>
      </c>
      <c r="Q236" s="42">
        <v>0.0</v>
      </c>
      <c r="R236" s="42">
        <v>6.0</v>
      </c>
      <c r="S236" s="42">
        <v>0.0</v>
      </c>
      <c r="T236" s="42" t="s">
        <v>2121</v>
      </c>
      <c r="U236" s="42">
        <v>1.0</v>
      </c>
      <c r="V236" s="42">
        <v>8.0</v>
      </c>
      <c r="W236" s="42">
        <v>0.0</v>
      </c>
      <c r="X236" s="42">
        <v>100.0</v>
      </c>
      <c r="Y236" s="42">
        <v>0.0</v>
      </c>
    </row>
    <row r="237" ht="22.5" customHeight="1">
      <c r="A237" s="41"/>
      <c r="B237" s="41">
        <v>4316.0</v>
      </c>
      <c r="C237" s="41" t="s">
        <v>271</v>
      </c>
      <c r="D237" s="41" t="s">
        <v>2122</v>
      </c>
      <c r="E237" s="41" t="s">
        <v>2122</v>
      </c>
      <c r="F237" s="41" t="s">
        <v>271</v>
      </c>
      <c r="G237" s="41">
        <v>257.0</v>
      </c>
      <c r="H237" s="41" t="s">
        <v>2123</v>
      </c>
      <c r="I237" s="41"/>
      <c r="J237" s="41" t="s">
        <v>2123</v>
      </c>
      <c r="K237" s="42" t="s">
        <v>2124</v>
      </c>
      <c r="L237" s="42" t="s">
        <v>2125</v>
      </c>
      <c r="N237" s="42">
        <v>0.0</v>
      </c>
      <c r="O237" s="42">
        <v>0.0</v>
      </c>
      <c r="P237" s="42">
        <v>2.0</v>
      </c>
      <c r="Q237" s="42">
        <v>0.0</v>
      </c>
      <c r="R237" s="42">
        <v>1.0</v>
      </c>
      <c r="S237" s="42">
        <v>0.0</v>
      </c>
      <c r="T237" s="42" t="s">
        <v>2126</v>
      </c>
      <c r="U237" s="42">
        <v>0.0</v>
      </c>
      <c r="V237" s="42">
        <v>0.0</v>
      </c>
      <c r="W237" s="42">
        <v>0.0</v>
      </c>
      <c r="X237" s="42">
        <v>100.0</v>
      </c>
      <c r="Y237" s="42">
        <v>0.0</v>
      </c>
    </row>
    <row r="238" ht="22.5" customHeight="1">
      <c r="A238" s="41"/>
      <c r="B238" s="41">
        <v>4317.0</v>
      </c>
      <c r="C238" s="41" t="s">
        <v>271</v>
      </c>
      <c r="D238" s="41" t="s">
        <v>2127</v>
      </c>
      <c r="E238" s="41" t="s">
        <v>2127</v>
      </c>
      <c r="F238" s="41" t="s">
        <v>271</v>
      </c>
      <c r="G238" s="41">
        <v>258.0</v>
      </c>
      <c r="H238" s="41" t="s">
        <v>2128</v>
      </c>
      <c r="I238" s="41"/>
      <c r="J238" s="41" t="s">
        <v>2128</v>
      </c>
      <c r="K238" s="42" t="s">
        <v>2129</v>
      </c>
      <c r="L238" s="42" t="s">
        <v>2130</v>
      </c>
      <c r="N238" s="42">
        <v>0.0</v>
      </c>
      <c r="O238" s="42">
        <v>0.0</v>
      </c>
      <c r="P238" s="42">
        <v>2.0</v>
      </c>
      <c r="Q238" s="42">
        <v>0.0</v>
      </c>
      <c r="R238" s="42">
        <v>6.0</v>
      </c>
      <c r="S238" s="42">
        <v>0.0</v>
      </c>
      <c r="T238" s="42" t="s">
        <v>2131</v>
      </c>
      <c r="U238" s="42">
        <v>0.0</v>
      </c>
      <c r="V238" s="42">
        <v>0.0</v>
      </c>
      <c r="W238" s="42">
        <v>0.0</v>
      </c>
      <c r="X238" s="42">
        <v>100.0</v>
      </c>
      <c r="Y238" s="42">
        <v>0.0</v>
      </c>
    </row>
    <row r="239" ht="22.5" customHeight="1">
      <c r="A239" s="41"/>
      <c r="B239" s="41">
        <v>4318.0</v>
      </c>
      <c r="C239" s="41" t="s">
        <v>271</v>
      </c>
      <c r="D239" s="41" t="s">
        <v>2132</v>
      </c>
      <c r="E239" s="41" t="s">
        <v>2132</v>
      </c>
      <c r="F239" s="41" t="s">
        <v>271</v>
      </c>
      <c r="G239" s="41">
        <v>259.0</v>
      </c>
      <c r="H239" s="41" t="s">
        <v>2133</v>
      </c>
      <c r="I239" s="41"/>
      <c r="J239" s="41" t="s">
        <v>2133</v>
      </c>
      <c r="K239" s="42" t="s">
        <v>2134</v>
      </c>
      <c r="L239" s="42" t="s">
        <v>2135</v>
      </c>
      <c r="N239" s="42">
        <v>0.0</v>
      </c>
      <c r="O239" s="42">
        <v>0.0</v>
      </c>
      <c r="P239" s="42">
        <v>2.0</v>
      </c>
      <c r="Q239" s="42">
        <v>0.0</v>
      </c>
      <c r="R239" s="42">
        <v>1.0</v>
      </c>
      <c r="S239" s="42">
        <v>0.0</v>
      </c>
      <c r="T239" s="42" t="s">
        <v>2136</v>
      </c>
      <c r="U239" s="42">
        <v>0.0</v>
      </c>
      <c r="V239" s="42">
        <v>0.0</v>
      </c>
      <c r="W239" s="42">
        <v>0.0</v>
      </c>
      <c r="X239" s="42">
        <v>100.0</v>
      </c>
      <c r="Y239" s="42">
        <v>0.0</v>
      </c>
    </row>
    <row r="240" ht="22.5" customHeight="1">
      <c r="A240" s="41"/>
      <c r="B240" s="41">
        <v>4319.0</v>
      </c>
      <c r="C240" s="41" t="s">
        <v>271</v>
      </c>
      <c r="D240" s="41" t="s">
        <v>2137</v>
      </c>
      <c r="E240" s="41" t="s">
        <v>2137</v>
      </c>
      <c r="F240" s="41" t="s">
        <v>271</v>
      </c>
      <c r="G240" s="41">
        <v>260.0</v>
      </c>
      <c r="H240" s="41" t="s">
        <v>2138</v>
      </c>
      <c r="I240" s="41"/>
      <c r="J240" s="41" t="s">
        <v>2138</v>
      </c>
      <c r="K240" s="42" t="s">
        <v>2139</v>
      </c>
      <c r="L240" s="42" t="s">
        <v>2140</v>
      </c>
      <c r="M240" s="42" t="s">
        <v>1380</v>
      </c>
      <c r="N240" s="42">
        <v>0.0</v>
      </c>
      <c r="O240" s="42">
        <v>1.0</v>
      </c>
      <c r="P240" s="42">
        <v>2.0</v>
      </c>
      <c r="Q240" s="42">
        <v>0.0</v>
      </c>
      <c r="R240" s="42">
        <v>12.0</v>
      </c>
      <c r="S240" s="42">
        <v>0.0</v>
      </c>
      <c r="T240" s="42" t="s">
        <v>2141</v>
      </c>
      <c r="U240" s="42">
        <v>1.0</v>
      </c>
      <c r="V240" s="42">
        <v>4.0</v>
      </c>
      <c r="W240" s="42">
        <v>0.0</v>
      </c>
      <c r="X240" s="42">
        <v>100.0</v>
      </c>
      <c r="Y240" s="42">
        <v>0.0</v>
      </c>
    </row>
    <row r="241" ht="22.5" customHeight="1">
      <c r="A241" s="41"/>
      <c r="B241" s="41">
        <v>4320.0</v>
      </c>
      <c r="C241" s="41" t="s">
        <v>271</v>
      </c>
      <c r="D241" s="41" t="s">
        <v>2142</v>
      </c>
      <c r="E241" s="41" t="s">
        <v>2142</v>
      </c>
      <c r="F241" s="41" t="s">
        <v>271</v>
      </c>
      <c r="G241" s="41">
        <v>261.0</v>
      </c>
      <c r="H241" s="41" t="s">
        <v>2143</v>
      </c>
      <c r="I241" s="41"/>
      <c r="J241" s="41" t="s">
        <v>2143</v>
      </c>
      <c r="K241" s="42" t="s">
        <v>2144</v>
      </c>
      <c r="L241" s="42" t="s">
        <v>2145</v>
      </c>
      <c r="N241" s="42">
        <v>0.0</v>
      </c>
      <c r="O241" s="42">
        <v>0.0</v>
      </c>
      <c r="P241" s="42">
        <v>2.0</v>
      </c>
      <c r="Q241" s="42">
        <v>0.0</v>
      </c>
      <c r="R241" s="42">
        <v>0.0</v>
      </c>
      <c r="S241" s="42">
        <v>0.0</v>
      </c>
      <c r="T241" s="42" t="s">
        <v>2146</v>
      </c>
      <c r="U241" s="42">
        <v>1.0</v>
      </c>
      <c r="V241" s="42">
        <v>0.0</v>
      </c>
      <c r="W241" s="42">
        <v>0.0</v>
      </c>
      <c r="X241" s="42">
        <v>100.0</v>
      </c>
      <c r="Y241" s="42">
        <v>0.0</v>
      </c>
    </row>
    <row r="242" ht="22.5" customHeight="1">
      <c r="A242" s="41"/>
      <c r="B242" s="41">
        <v>4321.0</v>
      </c>
      <c r="C242" s="41" t="s">
        <v>271</v>
      </c>
      <c r="D242" s="41" t="s">
        <v>2147</v>
      </c>
      <c r="E242" s="41" t="s">
        <v>2147</v>
      </c>
      <c r="F242" s="41" t="s">
        <v>271</v>
      </c>
      <c r="G242" s="41">
        <v>262.0</v>
      </c>
      <c r="H242" s="41" t="s">
        <v>2148</v>
      </c>
      <c r="I242" s="41"/>
      <c r="J242" s="41" t="s">
        <v>2148</v>
      </c>
      <c r="K242" s="42" t="s">
        <v>2149</v>
      </c>
      <c r="L242" s="42" t="s">
        <v>2150</v>
      </c>
      <c r="M242" s="42" t="s">
        <v>1028</v>
      </c>
      <c r="N242" s="42">
        <v>0.0</v>
      </c>
      <c r="O242" s="42">
        <v>1.0</v>
      </c>
      <c r="P242" s="42">
        <v>2.0</v>
      </c>
      <c r="Q242" s="42">
        <v>0.0</v>
      </c>
      <c r="R242" s="42">
        <v>6.0</v>
      </c>
      <c r="S242" s="42">
        <v>0.0</v>
      </c>
      <c r="T242" s="42" t="s">
        <v>2151</v>
      </c>
      <c r="U242" s="42">
        <v>1.0</v>
      </c>
      <c r="V242" s="42">
        <v>5.0</v>
      </c>
      <c r="W242" s="42">
        <v>0.0</v>
      </c>
      <c r="X242" s="42">
        <v>100.0</v>
      </c>
      <c r="Y242" s="42">
        <v>0.0</v>
      </c>
    </row>
    <row r="243" ht="22.5" customHeight="1">
      <c r="A243" s="41"/>
      <c r="B243" s="41">
        <v>4322.0</v>
      </c>
      <c r="C243" s="41" t="s">
        <v>271</v>
      </c>
      <c r="D243" s="41" t="s">
        <v>2152</v>
      </c>
      <c r="E243" s="41" t="s">
        <v>2152</v>
      </c>
      <c r="F243" s="41" t="s">
        <v>271</v>
      </c>
      <c r="G243" s="41">
        <v>263.0</v>
      </c>
      <c r="H243" s="41" t="s">
        <v>2153</v>
      </c>
      <c r="I243" s="41"/>
      <c r="J243" s="41" t="s">
        <v>2153</v>
      </c>
      <c r="K243" s="42" t="s">
        <v>2154</v>
      </c>
      <c r="L243" s="42" t="s">
        <v>2155</v>
      </c>
      <c r="N243" s="42">
        <v>0.0</v>
      </c>
      <c r="O243" s="42">
        <v>0.0</v>
      </c>
      <c r="P243" s="42">
        <v>2.0</v>
      </c>
      <c r="Q243" s="42">
        <v>0.0</v>
      </c>
      <c r="R243" s="42">
        <v>0.0</v>
      </c>
      <c r="S243" s="42">
        <v>0.0</v>
      </c>
      <c r="T243" s="42" t="s">
        <v>2156</v>
      </c>
      <c r="U243" s="42">
        <v>1.0</v>
      </c>
      <c r="V243" s="42">
        <v>0.0</v>
      </c>
      <c r="W243" s="42">
        <v>0.0</v>
      </c>
      <c r="X243" s="42">
        <v>100.0</v>
      </c>
      <c r="Y243" s="42">
        <v>0.0</v>
      </c>
    </row>
    <row r="244" ht="22.5" customHeight="1">
      <c r="A244" s="41"/>
      <c r="B244" s="41">
        <v>4323.0</v>
      </c>
      <c r="C244" s="41" t="s">
        <v>271</v>
      </c>
      <c r="D244" s="41" t="s">
        <v>2157</v>
      </c>
      <c r="E244" s="41" t="s">
        <v>2157</v>
      </c>
      <c r="F244" s="41" t="s">
        <v>271</v>
      </c>
      <c r="G244" s="41">
        <v>264.0</v>
      </c>
      <c r="H244" s="41" t="s">
        <v>2158</v>
      </c>
      <c r="I244" s="41"/>
      <c r="J244" s="41" t="s">
        <v>2158</v>
      </c>
      <c r="K244" s="42" t="s">
        <v>2159</v>
      </c>
      <c r="L244" s="42" t="s">
        <v>2160</v>
      </c>
      <c r="M244" s="42" t="s">
        <v>1130</v>
      </c>
      <c r="N244" s="42">
        <v>0.0</v>
      </c>
      <c r="O244" s="42">
        <v>1.0</v>
      </c>
      <c r="P244" s="42">
        <v>2.0</v>
      </c>
      <c r="Q244" s="42">
        <v>0.0</v>
      </c>
      <c r="R244" s="42">
        <v>1.0</v>
      </c>
      <c r="S244" s="42">
        <v>0.0</v>
      </c>
      <c r="T244" s="42" t="s">
        <v>2161</v>
      </c>
      <c r="U244" s="42">
        <v>1.0</v>
      </c>
      <c r="V244" s="42">
        <v>6.0</v>
      </c>
      <c r="W244" s="42">
        <v>0.0</v>
      </c>
      <c r="X244" s="42">
        <v>100.0</v>
      </c>
      <c r="Y244" s="42">
        <v>0.0</v>
      </c>
    </row>
    <row r="245" ht="22.5" customHeight="1">
      <c r="A245" s="41"/>
      <c r="B245" s="41">
        <v>4324.0</v>
      </c>
      <c r="C245" s="41" t="s">
        <v>271</v>
      </c>
      <c r="D245" s="41" t="s">
        <v>2162</v>
      </c>
      <c r="E245" s="41" t="s">
        <v>2162</v>
      </c>
      <c r="F245" s="41" t="s">
        <v>271</v>
      </c>
      <c r="G245" s="41">
        <v>265.0</v>
      </c>
      <c r="H245" s="41" t="s">
        <v>2163</v>
      </c>
      <c r="I245" s="41"/>
      <c r="J245" s="41" t="s">
        <v>2163</v>
      </c>
      <c r="K245" s="42" t="s">
        <v>2164</v>
      </c>
      <c r="L245" s="42" t="s">
        <v>2165</v>
      </c>
      <c r="N245" s="42">
        <v>0.0</v>
      </c>
      <c r="O245" s="42">
        <v>0.0</v>
      </c>
      <c r="P245" s="42">
        <v>2.0</v>
      </c>
      <c r="Q245" s="42">
        <v>0.0</v>
      </c>
      <c r="R245" s="42">
        <v>0.0</v>
      </c>
      <c r="S245" s="42">
        <v>0.0</v>
      </c>
      <c r="T245" s="42" t="s">
        <v>2166</v>
      </c>
      <c r="U245" s="42">
        <v>1.0</v>
      </c>
      <c r="V245" s="42">
        <v>0.0</v>
      </c>
      <c r="W245" s="42">
        <v>0.0</v>
      </c>
      <c r="X245" s="42">
        <v>100.0</v>
      </c>
      <c r="Y245" s="42">
        <v>0.0</v>
      </c>
    </row>
    <row r="246" ht="22.5" customHeight="1">
      <c r="A246" s="41"/>
      <c r="B246" s="41">
        <v>4325.0</v>
      </c>
      <c r="C246" s="41" t="s">
        <v>271</v>
      </c>
      <c r="D246" s="41" t="s">
        <v>2167</v>
      </c>
      <c r="E246" s="41" t="s">
        <v>2167</v>
      </c>
      <c r="F246" s="41" t="s">
        <v>271</v>
      </c>
      <c r="G246" s="41">
        <v>266.0</v>
      </c>
      <c r="H246" s="41" t="s">
        <v>2168</v>
      </c>
      <c r="I246" s="41"/>
      <c r="J246" s="41" t="s">
        <v>2168</v>
      </c>
      <c r="K246" s="42" t="s">
        <v>2169</v>
      </c>
      <c r="L246" s="42" t="s">
        <v>2170</v>
      </c>
      <c r="N246" s="42">
        <v>0.0</v>
      </c>
      <c r="O246" s="42">
        <v>0.0</v>
      </c>
      <c r="P246" s="42">
        <v>2.0</v>
      </c>
      <c r="Q246" s="42">
        <v>0.0</v>
      </c>
      <c r="R246" s="42">
        <v>1.0</v>
      </c>
      <c r="S246" s="42">
        <v>0.0</v>
      </c>
      <c r="T246" s="42" t="s">
        <v>2171</v>
      </c>
      <c r="U246" s="42">
        <v>0.0</v>
      </c>
      <c r="V246" s="42">
        <v>0.0</v>
      </c>
      <c r="W246" s="42">
        <v>0.0</v>
      </c>
      <c r="X246" s="42">
        <v>100.0</v>
      </c>
      <c r="Y246" s="42">
        <v>0.0</v>
      </c>
    </row>
    <row r="247" ht="22.5" customHeight="1">
      <c r="A247" s="41"/>
      <c r="B247" s="41">
        <v>4327.0</v>
      </c>
      <c r="C247" s="41" t="s">
        <v>271</v>
      </c>
      <c r="D247" s="41" t="s">
        <v>2172</v>
      </c>
      <c r="E247" s="41" t="s">
        <v>2172</v>
      </c>
      <c r="F247" s="41" t="s">
        <v>271</v>
      </c>
      <c r="G247" s="41">
        <v>267.0</v>
      </c>
      <c r="H247" s="41" t="s">
        <v>2172</v>
      </c>
      <c r="I247" s="41"/>
      <c r="J247" s="41" t="s">
        <v>2172</v>
      </c>
      <c r="K247" s="42" t="s">
        <v>2173</v>
      </c>
      <c r="L247" s="42" t="s">
        <v>2174</v>
      </c>
      <c r="N247" s="42">
        <v>0.0</v>
      </c>
      <c r="O247" s="42">
        <v>0.0</v>
      </c>
      <c r="P247" s="42">
        <v>2.0</v>
      </c>
      <c r="Q247" s="42">
        <v>0.0</v>
      </c>
      <c r="R247" s="42">
        <v>0.0</v>
      </c>
      <c r="S247" s="42">
        <v>1.0</v>
      </c>
      <c r="T247" s="42" t="s">
        <v>2175</v>
      </c>
      <c r="U247" s="42">
        <v>0.0</v>
      </c>
      <c r="V247" s="42">
        <v>8.0</v>
      </c>
      <c r="W247" s="42">
        <v>0.0</v>
      </c>
      <c r="X247" s="42">
        <v>100.0</v>
      </c>
      <c r="Y247" s="42">
        <v>0.0</v>
      </c>
    </row>
    <row r="248" ht="22.5" customHeight="1">
      <c r="A248" s="41"/>
      <c r="B248" s="41">
        <v>4328.0</v>
      </c>
      <c r="C248" s="41" t="s">
        <v>271</v>
      </c>
      <c r="D248" s="41" t="s">
        <v>2176</v>
      </c>
      <c r="E248" s="41" t="s">
        <v>2176</v>
      </c>
      <c r="F248" s="41" t="s">
        <v>271</v>
      </c>
      <c r="G248" s="41">
        <v>268.0</v>
      </c>
      <c r="H248" s="41" t="s">
        <v>2177</v>
      </c>
      <c r="I248" s="41"/>
      <c r="J248" s="41" t="s">
        <v>2177</v>
      </c>
      <c r="K248" s="42" t="s">
        <v>2178</v>
      </c>
      <c r="L248" s="42" t="s">
        <v>2179</v>
      </c>
      <c r="M248" s="42" t="s">
        <v>2180</v>
      </c>
      <c r="N248" s="42">
        <v>0.0</v>
      </c>
      <c r="O248" s="42">
        <v>1.0</v>
      </c>
      <c r="P248" s="42">
        <v>2.0</v>
      </c>
      <c r="Q248" s="42">
        <v>0.0</v>
      </c>
      <c r="R248" s="42">
        <v>8.0</v>
      </c>
      <c r="S248" s="42">
        <v>0.0</v>
      </c>
      <c r="T248" s="42" t="s">
        <v>2181</v>
      </c>
      <c r="U248" s="42">
        <v>1.0</v>
      </c>
      <c r="V248" s="42">
        <v>8.0</v>
      </c>
      <c r="W248" s="42">
        <v>0.0</v>
      </c>
      <c r="X248" s="42">
        <v>100.0</v>
      </c>
      <c r="Y248" s="42">
        <v>0.0</v>
      </c>
    </row>
    <row r="249" ht="22.5" customHeight="1">
      <c r="A249" s="41"/>
      <c r="B249" s="41">
        <v>4329.0</v>
      </c>
      <c r="C249" s="41" t="s">
        <v>271</v>
      </c>
      <c r="D249" s="41" t="s">
        <v>2182</v>
      </c>
      <c r="E249" s="41" t="s">
        <v>2182</v>
      </c>
      <c r="F249" s="41" t="s">
        <v>271</v>
      </c>
      <c r="G249" s="41">
        <v>269.0</v>
      </c>
      <c r="H249" s="41" t="s">
        <v>2183</v>
      </c>
      <c r="I249" s="41"/>
      <c r="J249" s="41" t="s">
        <v>2183</v>
      </c>
      <c r="K249" s="42" t="s">
        <v>2184</v>
      </c>
      <c r="L249" s="42" t="s">
        <v>2185</v>
      </c>
      <c r="M249" s="42" t="s">
        <v>1043</v>
      </c>
      <c r="N249" s="42">
        <v>0.0</v>
      </c>
      <c r="O249" s="42">
        <v>1.0</v>
      </c>
      <c r="P249" s="42">
        <v>2.0</v>
      </c>
      <c r="Q249" s="42">
        <v>0.0</v>
      </c>
      <c r="R249" s="42">
        <v>6.0</v>
      </c>
      <c r="S249" s="42">
        <v>0.0</v>
      </c>
      <c r="T249" s="42" t="s">
        <v>2186</v>
      </c>
      <c r="U249" s="42">
        <v>1.0</v>
      </c>
      <c r="V249" s="42">
        <v>6.0</v>
      </c>
      <c r="W249" s="42">
        <v>0.0</v>
      </c>
      <c r="X249" s="42">
        <v>100.0</v>
      </c>
      <c r="Y249" s="42">
        <v>0.0</v>
      </c>
    </row>
    <row r="250" ht="22.5" customHeight="1">
      <c r="A250" s="41"/>
      <c r="B250" s="41">
        <v>4330.0</v>
      </c>
      <c r="C250" s="41" t="s">
        <v>271</v>
      </c>
      <c r="D250" s="41" t="s">
        <v>2187</v>
      </c>
      <c r="E250" s="41" t="s">
        <v>2187</v>
      </c>
      <c r="F250" s="41" t="s">
        <v>271</v>
      </c>
      <c r="G250" s="41">
        <v>270.0</v>
      </c>
      <c r="H250" s="41" t="s">
        <v>2188</v>
      </c>
      <c r="I250" s="41"/>
      <c r="J250" s="41" t="s">
        <v>2188</v>
      </c>
      <c r="K250" s="42" t="s">
        <v>2189</v>
      </c>
      <c r="L250" s="42" t="s">
        <v>2190</v>
      </c>
      <c r="N250" s="42">
        <v>0.0</v>
      </c>
      <c r="O250" s="42">
        <v>0.0</v>
      </c>
      <c r="P250" s="42">
        <v>2.0</v>
      </c>
      <c r="Q250" s="42">
        <v>0.0</v>
      </c>
      <c r="R250" s="42">
        <v>1.0</v>
      </c>
      <c r="S250" s="42">
        <v>0.0</v>
      </c>
      <c r="T250" s="42" t="s">
        <v>2191</v>
      </c>
      <c r="U250" s="42">
        <v>0.0</v>
      </c>
      <c r="V250" s="42">
        <v>0.0</v>
      </c>
      <c r="W250" s="42">
        <v>0.0</v>
      </c>
      <c r="X250" s="42">
        <v>100.0</v>
      </c>
      <c r="Y250" s="42">
        <v>0.0</v>
      </c>
    </row>
    <row r="251" ht="22.5" customHeight="1">
      <c r="A251" s="41"/>
      <c r="B251" s="41">
        <v>4332.0</v>
      </c>
      <c r="C251" s="41" t="s">
        <v>271</v>
      </c>
      <c r="D251" s="41" t="s">
        <v>2192</v>
      </c>
      <c r="E251" s="41" t="s">
        <v>2192</v>
      </c>
      <c r="F251" s="41" t="s">
        <v>271</v>
      </c>
      <c r="G251" s="41">
        <v>272.0</v>
      </c>
      <c r="H251" s="41" t="s">
        <v>2193</v>
      </c>
      <c r="I251" s="41"/>
      <c r="J251" s="41" t="s">
        <v>2193</v>
      </c>
      <c r="K251" s="42" t="s">
        <v>2194</v>
      </c>
      <c r="L251" s="42" t="s">
        <v>2195</v>
      </c>
      <c r="M251" s="42" t="s">
        <v>1043</v>
      </c>
      <c r="N251" s="42">
        <v>0.0</v>
      </c>
      <c r="O251" s="42">
        <v>1.0</v>
      </c>
      <c r="P251" s="42">
        <v>2.0</v>
      </c>
      <c r="Q251" s="42">
        <v>0.0</v>
      </c>
      <c r="R251" s="42">
        <v>6.0</v>
      </c>
      <c r="S251" s="42">
        <v>0.0</v>
      </c>
      <c r="T251" s="42" t="s">
        <v>2196</v>
      </c>
      <c r="U251" s="42">
        <v>1.0</v>
      </c>
      <c r="V251" s="42">
        <v>8.0</v>
      </c>
      <c r="W251" s="42">
        <v>0.0</v>
      </c>
      <c r="X251" s="42">
        <v>100.0</v>
      </c>
      <c r="Y251" s="42">
        <v>0.0</v>
      </c>
    </row>
    <row r="252" ht="22.5" customHeight="1">
      <c r="A252" s="41"/>
      <c r="B252" s="41">
        <v>5330.0</v>
      </c>
      <c r="C252" s="41" t="s">
        <v>271</v>
      </c>
      <c r="D252" s="41" t="s">
        <v>2197</v>
      </c>
      <c r="E252" s="41" t="s">
        <v>2197</v>
      </c>
      <c r="F252" s="41" t="s">
        <v>271</v>
      </c>
      <c r="G252" s="41">
        <v>273.0</v>
      </c>
      <c r="H252" s="41" t="s">
        <v>2198</v>
      </c>
      <c r="I252" s="41"/>
      <c r="J252" s="41" t="s">
        <v>2199</v>
      </c>
      <c r="K252" s="42" t="s">
        <v>2200</v>
      </c>
      <c r="L252" s="42" t="s">
        <v>2201</v>
      </c>
      <c r="N252" s="42">
        <v>0.0</v>
      </c>
      <c r="O252" s="42">
        <v>0.0</v>
      </c>
      <c r="P252" s="42">
        <v>2.0</v>
      </c>
      <c r="Q252" s="42">
        <v>0.0</v>
      </c>
      <c r="R252" s="42">
        <v>1.0</v>
      </c>
      <c r="S252" s="42">
        <v>0.0</v>
      </c>
      <c r="T252" s="42" t="s">
        <v>2202</v>
      </c>
      <c r="U252" s="42">
        <v>0.0</v>
      </c>
      <c r="V252" s="42">
        <v>2.0</v>
      </c>
      <c r="W252" s="42">
        <v>0.0</v>
      </c>
      <c r="X252" s="42">
        <v>100.0</v>
      </c>
      <c r="Y252" s="42">
        <v>0.0</v>
      </c>
    </row>
    <row r="253" ht="22.5" customHeight="1">
      <c r="A253" s="41"/>
      <c r="B253" s="41">
        <v>5332.0</v>
      </c>
      <c r="C253" s="41" t="s">
        <v>271</v>
      </c>
      <c r="D253" s="41" t="s">
        <v>2203</v>
      </c>
      <c r="E253" s="41" t="s">
        <v>2203</v>
      </c>
      <c r="F253" s="41" t="s">
        <v>271</v>
      </c>
      <c r="G253" s="41">
        <v>275.0</v>
      </c>
      <c r="H253" s="41" t="s">
        <v>2204</v>
      </c>
      <c r="I253" s="41"/>
      <c r="J253" s="41" t="s">
        <v>2204</v>
      </c>
      <c r="K253" s="42" t="s">
        <v>2205</v>
      </c>
      <c r="L253" s="42" t="s">
        <v>2206</v>
      </c>
      <c r="M253" s="42" t="s">
        <v>1043</v>
      </c>
      <c r="N253" s="42">
        <v>0.0</v>
      </c>
      <c r="O253" s="42">
        <v>1.0</v>
      </c>
      <c r="P253" s="42">
        <v>2.0</v>
      </c>
      <c r="Q253" s="42">
        <v>0.0</v>
      </c>
      <c r="R253" s="42">
        <v>1.0</v>
      </c>
      <c r="S253" s="42">
        <v>0.0</v>
      </c>
      <c r="T253" s="42" t="s">
        <v>2207</v>
      </c>
      <c r="U253" s="42">
        <v>1.0</v>
      </c>
      <c r="V253" s="42">
        <v>8.0</v>
      </c>
      <c r="W253" s="42">
        <v>0.0</v>
      </c>
      <c r="X253" s="42">
        <v>100.0</v>
      </c>
      <c r="Y253" s="42">
        <v>0.0</v>
      </c>
    </row>
    <row r="254" ht="22.5" customHeight="1">
      <c r="A254" s="41"/>
      <c r="B254" s="41">
        <v>5333.0</v>
      </c>
      <c r="C254" s="41" t="s">
        <v>271</v>
      </c>
      <c r="D254" s="41" t="s">
        <v>2208</v>
      </c>
      <c r="E254" s="41" t="s">
        <v>2208</v>
      </c>
      <c r="F254" s="41" t="s">
        <v>271</v>
      </c>
      <c r="G254" s="41">
        <v>276.0</v>
      </c>
      <c r="H254" s="41" t="s">
        <v>2209</v>
      </c>
      <c r="I254" s="41"/>
      <c r="J254" s="41" t="s">
        <v>2209</v>
      </c>
      <c r="K254" s="42" t="s">
        <v>2210</v>
      </c>
      <c r="L254" s="42" t="s">
        <v>2211</v>
      </c>
      <c r="M254" s="42" t="s">
        <v>1043</v>
      </c>
      <c r="N254" s="42">
        <v>0.0</v>
      </c>
      <c r="O254" s="42">
        <v>1.0</v>
      </c>
      <c r="P254" s="42">
        <v>2.0</v>
      </c>
      <c r="Q254" s="42">
        <v>0.0</v>
      </c>
      <c r="R254" s="42">
        <v>11.0</v>
      </c>
      <c r="S254" s="42">
        <v>0.0</v>
      </c>
      <c r="T254" s="42" t="s">
        <v>2212</v>
      </c>
      <c r="U254" s="42">
        <v>1.0</v>
      </c>
      <c r="V254" s="42">
        <v>6.0</v>
      </c>
      <c r="W254" s="42">
        <v>0.0</v>
      </c>
      <c r="X254" s="42">
        <v>100.0</v>
      </c>
      <c r="Y254" s="42">
        <v>0.0</v>
      </c>
    </row>
    <row r="255" ht="22.5" customHeight="1">
      <c r="A255" s="41"/>
      <c r="B255" s="41">
        <v>5334.0</v>
      </c>
      <c r="C255" s="41" t="s">
        <v>271</v>
      </c>
      <c r="D255" s="41" t="s">
        <v>2213</v>
      </c>
      <c r="E255" s="41" t="s">
        <v>2213</v>
      </c>
      <c r="F255" s="41" t="s">
        <v>271</v>
      </c>
      <c r="G255" s="41">
        <v>277.0</v>
      </c>
      <c r="H255" s="41" t="s">
        <v>2214</v>
      </c>
      <c r="I255" s="41"/>
      <c r="J255" s="41" t="s">
        <v>2214</v>
      </c>
      <c r="K255" s="42" t="s">
        <v>2215</v>
      </c>
      <c r="L255" s="42" t="s">
        <v>2216</v>
      </c>
      <c r="N255" s="42">
        <v>0.0</v>
      </c>
      <c r="O255" s="42">
        <v>0.0</v>
      </c>
      <c r="P255" s="42">
        <v>2.0</v>
      </c>
      <c r="Q255" s="42">
        <v>0.0</v>
      </c>
      <c r="R255" s="42">
        <v>1.0</v>
      </c>
      <c r="S255" s="42">
        <v>0.0</v>
      </c>
      <c r="T255" s="42" t="s">
        <v>2217</v>
      </c>
      <c r="U255" s="42">
        <v>0.0</v>
      </c>
      <c r="V255" s="42">
        <v>0.0</v>
      </c>
      <c r="W255" s="42">
        <v>0.0</v>
      </c>
      <c r="X255" s="42">
        <v>100.0</v>
      </c>
      <c r="Y255" s="42">
        <v>0.0</v>
      </c>
    </row>
    <row r="256" ht="22.5" customHeight="1">
      <c r="A256" s="41"/>
      <c r="B256" s="41">
        <v>5336.0</v>
      </c>
      <c r="C256" s="41" t="s">
        <v>271</v>
      </c>
      <c r="D256" s="41" t="s">
        <v>2218</v>
      </c>
      <c r="E256" s="41" t="s">
        <v>2218</v>
      </c>
      <c r="F256" s="41" t="s">
        <v>271</v>
      </c>
      <c r="G256" s="41">
        <v>279.0</v>
      </c>
      <c r="H256" s="41" t="s">
        <v>2219</v>
      </c>
      <c r="I256" s="41"/>
      <c r="J256" s="41" t="s">
        <v>2219</v>
      </c>
      <c r="K256" s="42" t="s">
        <v>2220</v>
      </c>
      <c r="L256" s="42" t="s">
        <v>2221</v>
      </c>
      <c r="M256" s="42" t="s">
        <v>1028</v>
      </c>
      <c r="N256" s="42">
        <v>0.0</v>
      </c>
      <c r="O256" s="42">
        <v>1.0</v>
      </c>
      <c r="P256" s="42">
        <v>2.0</v>
      </c>
      <c r="Q256" s="42">
        <v>0.0</v>
      </c>
      <c r="R256" s="42">
        <v>1.0</v>
      </c>
      <c r="S256" s="42">
        <v>0.0</v>
      </c>
      <c r="T256" s="42" t="s">
        <v>2222</v>
      </c>
      <c r="U256" s="42">
        <v>1.0</v>
      </c>
      <c r="V256" s="42">
        <v>8.0</v>
      </c>
      <c r="W256" s="42">
        <v>0.0</v>
      </c>
      <c r="X256" s="42">
        <v>100.0</v>
      </c>
      <c r="Y256" s="42">
        <v>0.0</v>
      </c>
    </row>
    <row r="257" ht="22.5" customHeight="1">
      <c r="A257" s="41"/>
      <c r="B257" s="41">
        <v>5337.0</v>
      </c>
      <c r="C257" s="41" t="s">
        <v>271</v>
      </c>
      <c r="D257" s="41" t="s">
        <v>2223</v>
      </c>
      <c r="E257" s="41" t="s">
        <v>2223</v>
      </c>
      <c r="F257" s="41" t="s">
        <v>271</v>
      </c>
      <c r="G257" s="41">
        <v>280.0</v>
      </c>
      <c r="H257" s="41" t="s">
        <v>2224</v>
      </c>
      <c r="I257" s="41"/>
      <c r="J257" s="41" t="s">
        <v>2224</v>
      </c>
      <c r="K257" s="42" t="s">
        <v>2225</v>
      </c>
      <c r="L257" s="42" t="s">
        <v>2226</v>
      </c>
      <c r="M257" s="42" t="s">
        <v>1043</v>
      </c>
      <c r="N257" s="42">
        <v>0.0</v>
      </c>
      <c r="O257" s="42">
        <v>1.0</v>
      </c>
      <c r="P257" s="42">
        <v>2.0</v>
      </c>
      <c r="Q257" s="42">
        <v>0.0</v>
      </c>
      <c r="R257" s="42">
        <v>1.0</v>
      </c>
      <c r="S257" s="42">
        <v>0.0</v>
      </c>
      <c r="T257" s="42" t="s">
        <v>2227</v>
      </c>
      <c r="U257" s="42">
        <v>1.0</v>
      </c>
      <c r="V257" s="42">
        <v>6.0</v>
      </c>
      <c r="W257" s="42">
        <v>0.0</v>
      </c>
      <c r="X257" s="42">
        <v>100.0</v>
      </c>
      <c r="Y257" s="42">
        <v>0.0</v>
      </c>
    </row>
    <row r="258" ht="22.5" customHeight="1">
      <c r="A258" s="41"/>
      <c r="B258" s="41">
        <v>5338.0</v>
      </c>
      <c r="C258" s="41" t="s">
        <v>271</v>
      </c>
      <c r="D258" s="41" t="s">
        <v>2228</v>
      </c>
      <c r="E258" s="41" t="s">
        <v>2228</v>
      </c>
      <c r="F258" s="41" t="s">
        <v>271</v>
      </c>
      <c r="G258" s="41">
        <v>281.0</v>
      </c>
      <c r="H258" s="41" t="s">
        <v>2229</v>
      </c>
      <c r="I258" s="41"/>
      <c r="J258" s="41" t="s">
        <v>2229</v>
      </c>
      <c r="K258" s="42" t="s">
        <v>2230</v>
      </c>
      <c r="L258" s="42" t="s">
        <v>2231</v>
      </c>
      <c r="M258" s="42" t="s">
        <v>1043</v>
      </c>
      <c r="N258" s="42">
        <v>0.0</v>
      </c>
      <c r="O258" s="42">
        <v>1.0</v>
      </c>
      <c r="P258" s="42">
        <v>2.0</v>
      </c>
      <c r="Q258" s="42">
        <v>0.0</v>
      </c>
      <c r="R258" s="42">
        <v>8.0</v>
      </c>
      <c r="S258" s="42">
        <v>0.0</v>
      </c>
      <c r="T258" s="42" t="s">
        <v>2232</v>
      </c>
      <c r="U258" s="42">
        <v>1.0</v>
      </c>
      <c r="V258" s="42">
        <v>5.0</v>
      </c>
      <c r="W258" s="42">
        <v>0.0</v>
      </c>
      <c r="X258" s="42">
        <v>100.0</v>
      </c>
      <c r="Y258" s="42">
        <v>0.0</v>
      </c>
    </row>
    <row r="259" ht="22.5" customHeight="1">
      <c r="A259" s="41"/>
      <c r="B259" s="41">
        <v>5339.0</v>
      </c>
      <c r="C259" s="41" t="s">
        <v>271</v>
      </c>
      <c r="D259" s="41" t="s">
        <v>2233</v>
      </c>
      <c r="E259" s="41" t="s">
        <v>2233</v>
      </c>
      <c r="F259" s="41" t="s">
        <v>271</v>
      </c>
      <c r="G259" s="41">
        <v>282.0</v>
      </c>
      <c r="H259" s="41" t="s">
        <v>2234</v>
      </c>
      <c r="I259" s="41"/>
      <c r="J259" s="41" t="s">
        <v>2234</v>
      </c>
      <c r="K259" s="42" t="s">
        <v>2235</v>
      </c>
      <c r="L259" s="42" t="s">
        <v>2236</v>
      </c>
      <c r="M259" s="42" t="s">
        <v>1028</v>
      </c>
      <c r="N259" s="42">
        <v>0.0</v>
      </c>
      <c r="O259" s="42">
        <v>1.0</v>
      </c>
      <c r="P259" s="42">
        <v>2.0</v>
      </c>
      <c r="Q259" s="42">
        <v>0.0</v>
      </c>
      <c r="R259" s="42">
        <v>1.0</v>
      </c>
      <c r="S259" s="42">
        <v>0.0</v>
      </c>
      <c r="T259" s="42" t="s">
        <v>2237</v>
      </c>
      <c r="U259" s="42">
        <v>1.0</v>
      </c>
      <c r="V259" s="42">
        <v>2.0</v>
      </c>
      <c r="W259" s="42">
        <v>0.0</v>
      </c>
      <c r="X259" s="42">
        <v>100.0</v>
      </c>
      <c r="Y259" s="42">
        <v>0.0</v>
      </c>
    </row>
    <row r="260" ht="22.5" customHeight="1">
      <c r="A260" s="41"/>
      <c r="B260" s="41">
        <v>5340.0</v>
      </c>
      <c r="C260" s="41" t="s">
        <v>271</v>
      </c>
      <c r="D260" s="41" t="s">
        <v>2238</v>
      </c>
      <c r="E260" s="41" t="s">
        <v>2238</v>
      </c>
      <c r="F260" s="41" t="s">
        <v>271</v>
      </c>
      <c r="G260" s="41">
        <v>283.0</v>
      </c>
      <c r="H260" s="41" t="s">
        <v>2239</v>
      </c>
      <c r="I260" s="41"/>
      <c r="J260" s="41" t="s">
        <v>2239</v>
      </c>
      <c r="K260" s="42" t="s">
        <v>2240</v>
      </c>
      <c r="L260" s="42" t="s">
        <v>2241</v>
      </c>
      <c r="M260" s="42" t="s">
        <v>1043</v>
      </c>
      <c r="N260" s="42">
        <v>0.0</v>
      </c>
      <c r="O260" s="42">
        <v>1.0</v>
      </c>
      <c r="P260" s="42">
        <v>2.0</v>
      </c>
      <c r="Q260" s="42">
        <v>0.0</v>
      </c>
      <c r="R260" s="42">
        <v>1.0</v>
      </c>
      <c r="S260" s="42">
        <v>0.0</v>
      </c>
      <c r="T260" s="42" t="s">
        <v>2242</v>
      </c>
      <c r="U260" s="42">
        <v>1.0</v>
      </c>
      <c r="V260" s="42">
        <v>8.0</v>
      </c>
      <c r="W260" s="42">
        <v>0.0</v>
      </c>
      <c r="X260" s="42">
        <v>100.0</v>
      </c>
      <c r="Y260" s="42">
        <v>0.0</v>
      </c>
    </row>
    <row r="261" ht="22.5" customHeight="1">
      <c r="A261" s="41"/>
      <c r="B261" s="41">
        <v>5342.0</v>
      </c>
      <c r="C261" s="41" t="s">
        <v>271</v>
      </c>
      <c r="D261" s="41" t="s">
        <v>2243</v>
      </c>
      <c r="E261" s="41" t="s">
        <v>2243</v>
      </c>
      <c r="F261" s="41" t="s">
        <v>271</v>
      </c>
      <c r="G261" s="41">
        <v>285.0</v>
      </c>
      <c r="H261" s="41" t="s">
        <v>2244</v>
      </c>
      <c r="I261" s="41"/>
      <c r="J261" s="41" t="s">
        <v>2244</v>
      </c>
      <c r="K261" s="42" t="s">
        <v>2245</v>
      </c>
      <c r="L261" s="42" t="s">
        <v>2246</v>
      </c>
      <c r="M261" s="42" t="s">
        <v>1028</v>
      </c>
      <c r="N261" s="42">
        <v>0.0</v>
      </c>
      <c r="O261" s="42">
        <v>1.0</v>
      </c>
      <c r="P261" s="42">
        <v>2.0</v>
      </c>
      <c r="Q261" s="42">
        <v>0.0</v>
      </c>
      <c r="R261" s="42">
        <v>1.0</v>
      </c>
      <c r="S261" s="42">
        <v>0.0</v>
      </c>
      <c r="T261" s="42" t="s">
        <v>2247</v>
      </c>
      <c r="U261" s="42">
        <v>1.0</v>
      </c>
      <c r="V261" s="42">
        <v>8.0</v>
      </c>
      <c r="W261" s="42">
        <v>0.0</v>
      </c>
      <c r="X261" s="42">
        <v>100.0</v>
      </c>
      <c r="Y261" s="42">
        <v>0.0</v>
      </c>
    </row>
    <row r="262" ht="22.5" customHeight="1">
      <c r="A262" s="41"/>
      <c r="B262" s="41">
        <v>5344.0</v>
      </c>
      <c r="C262" s="41" t="s">
        <v>271</v>
      </c>
      <c r="D262" s="41" t="s">
        <v>2248</v>
      </c>
      <c r="E262" s="41" t="s">
        <v>2248</v>
      </c>
      <c r="F262" s="41" t="s">
        <v>271</v>
      </c>
      <c r="G262" s="41">
        <v>287.0</v>
      </c>
      <c r="H262" s="41" t="s">
        <v>2249</v>
      </c>
      <c r="I262" s="41"/>
      <c r="J262" s="41" t="s">
        <v>2249</v>
      </c>
      <c r="K262" s="42" t="s">
        <v>2250</v>
      </c>
      <c r="L262" s="42" t="s">
        <v>2251</v>
      </c>
      <c r="N262" s="42">
        <v>0.0</v>
      </c>
      <c r="O262" s="42">
        <v>0.0</v>
      </c>
      <c r="P262" s="42">
        <v>2.0</v>
      </c>
      <c r="Q262" s="42">
        <v>0.0</v>
      </c>
      <c r="R262" s="42">
        <v>1.0</v>
      </c>
      <c r="S262" s="42">
        <v>0.0</v>
      </c>
      <c r="T262" s="42" t="s">
        <v>2252</v>
      </c>
      <c r="U262" s="42">
        <v>0.0</v>
      </c>
      <c r="V262" s="42">
        <v>0.0</v>
      </c>
      <c r="W262" s="42">
        <v>0.0</v>
      </c>
      <c r="X262" s="42">
        <v>100.0</v>
      </c>
      <c r="Y262" s="42">
        <v>0.0</v>
      </c>
    </row>
    <row r="263" ht="22.5" customHeight="1">
      <c r="A263" s="41"/>
      <c r="B263" s="41">
        <v>5345.0</v>
      </c>
      <c r="C263" s="41" t="s">
        <v>271</v>
      </c>
      <c r="D263" s="41" t="s">
        <v>2253</v>
      </c>
      <c r="E263" s="41" t="s">
        <v>2253</v>
      </c>
      <c r="F263" s="41" t="s">
        <v>271</v>
      </c>
      <c r="G263" s="41">
        <v>288.0</v>
      </c>
      <c r="H263" s="41" t="s">
        <v>2254</v>
      </c>
      <c r="I263" s="41"/>
      <c r="J263" s="41" t="s">
        <v>2254</v>
      </c>
      <c r="K263" s="42" t="s">
        <v>2255</v>
      </c>
      <c r="L263" s="42" t="s">
        <v>2256</v>
      </c>
      <c r="M263" s="42" t="s">
        <v>1130</v>
      </c>
      <c r="N263" s="42">
        <v>0.0</v>
      </c>
      <c r="O263" s="42">
        <v>1.0</v>
      </c>
      <c r="P263" s="42">
        <v>2.0</v>
      </c>
      <c r="Q263" s="42">
        <v>0.0</v>
      </c>
      <c r="R263" s="42">
        <v>1.0</v>
      </c>
      <c r="S263" s="42">
        <v>0.0</v>
      </c>
      <c r="T263" s="42" t="s">
        <v>2257</v>
      </c>
      <c r="U263" s="42">
        <v>1.0</v>
      </c>
      <c r="V263" s="42">
        <v>8.0</v>
      </c>
      <c r="W263" s="42">
        <v>0.0</v>
      </c>
      <c r="X263" s="42">
        <v>100.0</v>
      </c>
      <c r="Y263" s="42">
        <v>0.0</v>
      </c>
    </row>
    <row r="264" ht="22.5" customHeight="1">
      <c r="A264" s="41"/>
      <c r="B264" s="41">
        <v>5346.0</v>
      </c>
      <c r="C264" s="41" t="s">
        <v>271</v>
      </c>
      <c r="D264" s="41" t="s">
        <v>2258</v>
      </c>
      <c r="E264" s="41" t="s">
        <v>2258</v>
      </c>
      <c r="F264" s="41" t="s">
        <v>271</v>
      </c>
      <c r="G264" s="41">
        <v>289.0</v>
      </c>
      <c r="H264" s="41" t="s">
        <v>2259</v>
      </c>
      <c r="I264" s="41"/>
      <c r="J264" s="41" t="s">
        <v>2259</v>
      </c>
      <c r="K264" s="42" t="s">
        <v>2260</v>
      </c>
      <c r="L264" s="42" t="s">
        <v>2261</v>
      </c>
      <c r="N264" s="42">
        <v>0.0</v>
      </c>
      <c r="O264" s="42">
        <v>0.0</v>
      </c>
      <c r="P264" s="42">
        <v>2.0</v>
      </c>
      <c r="Q264" s="42">
        <v>0.0</v>
      </c>
      <c r="R264" s="42">
        <v>0.0</v>
      </c>
      <c r="S264" s="42">
        <v>0.0</v>
      </c>
      <c r="T264" s="42" t="s">
        <v>2262</v>
      </c>
      <c r="U264" s="42">
        <v>1.0</v>
      </c>
      <c r="V264" s="42">
        <v>0.0</v>
      </c>
      <c r="W264" s="42">
        <v>0.0</v>
      </c>
      <c r="X264" s="42">
        <v>100.0</v>
      </c>
      <c r="Y264" s="42">
        <v>0.0</v>
      </c>
    </row>
    <row r="265" ht="22.5" customHeight="1">
      <c r="A265" s="41"/>
      <c r="B265" s="41">
        <v>5349.0</v>
      </c>
      <c r="C265" s="41" t="s">
        <v>271</v>
      </c>
      <c r="D265" s="41" t="s">
        <v>2263</v>
      </c>
      <c r="E265" s="41" t="s">
        <v>2263</v>
      </c>
      <c r="F265" s="41" t="s">
        <v>271</v>
      </c>
      <c r="G265" s="41">
        <v>291.0</v>
      </c>
      <c r="H265" s="41" t="s">
        <v>2264</v>
      </c>
      <c r="I265" s="41"/>
      <c r="J265" s="41" t="s">
        <v>2264</v>
      </c>
      <c r="K265" s="42" t="s">
        <v>2265</v>
      </c>
      <c r="L265" s="42" t="s">
        <v>2266</v>
      </c>
      <c r="N265" s="42">
        <v>0.0</v>
      </c>
      <c r="O265" s="42">
        <v>0.0</v>
      </c>
      <c r="P265" s="42">
        <v>2.0</v>
      </c>
      <c r="Q265" s="42">
        <v>0.0</v>
      </c>
      <c r="R265" s="42">
        <v>0.0</v>
      </c>
      <c r="S265" s="42">
        <v>0.0</v>
      </c>
      <c r="T265" s="42" t="s">
        <v>2267</v>
      </c>
      <c r="U265" s="42">
        <v>1.0</v>
      </c>
      <c r="V265" s="42">
        <v>0.0</v>
      </c>
      <c r="W265" s="42">
        <v>0.0</v>
      </c>
      <c r="X265" s="42">
        <v>100.0</v>
      </c>
      <c r="Y265" s="42">
        <v>0.0</v>
      </c>
    </row>
    <row r="266" ht="22.5" customHeight="1">
      <c r="A266" s="41"/>
      <c r="B266" s="41">
        <v>5353.0</v>
      </c>
      <c r="C266" s="41" t="s">
        <v>271</v>
      </c>
      <c r="D266" s="41" t="s">
        <v>2268</v>
      </c>
      <c r="E266" s="41" t="s">
        <v>2268</v>
      </c>
      <c r="F266" s="41" t="s">
        <v>271</v>
      </c>
      <c r="G266" s="41">
        <v>295.0</v>
      </c>
      <c r="H266" s="41" t="s">
        <v>2268</v>
      </c>
      <c r="I266" s="41"/>
      <c r="J266" s="41" t="s">
        <v>2268</v>
      </c>
      <c r="K266" s="42" t="s">
        <v>2269</v>
      </c>
      <c r="L266" s="42" t="s">
        <v>2270</v>
      </c>
      <c r="N266" s="42">
        <v>0.0</v>
      </c>
      <c r="O266" s="42">
        <v>0.0</v>
      </c>
      <c r="P266" s="42">
        <v>2.0</v>
      </c>
      <c r="Q266" s="42">
        <v>0.0</v>
      </c>
      <c r="R266" s="42">
        <v>0.0</v>
      </c>
      <c r="S266" s="42">
        <v>1.0</v>
      </c>
      <c r="T266" s="42" t="s">
        <v>2271</v>
      </c>
      <c r="U266" s="42">
        <v>0.0</v>
      </c>
      <c r="V266" s="42">
        <v>8.0</v>
      </c>
      <c r="W266" s="42">
        <v>0.0</v>
      </c>
      <c r="X266" s="42">
        <v>100.0</v>
      </c>
      <c r="Y266" s="42">
        <v>0.0</v>
      </c>
    </row>
    <row r="267" ht="22.5" customHeight="1">
      <c r="A267" s="41"/>
      <c r="B267" s="41">
        <v>5354.0</v>
      </c>
      <c r="C267" s="41" t="s">
        <v>271</v>
      </c>
      <c r="D267" s="41" t="s">
        <v>2272</v>
      </c>
      <c r="E267" s="41" t="s">
        <v>2272</v>
      </c>
      <c r="F267" s="41" t="s">
        <v>271</v>
      </c>
      <c r="G267" s="41">
        <v>296.0</v>
      </c>
      <c r="H267" s="41" t="s">
        <v>2273</v>
      </c>
      <c r="I267" s="41"/>
      <c r="J267" s="41" t="s">
        <v>2273</v>
      </c>
      <c r="K267" s="42" t="s">
        <v>2274</v>
      </c>
      <c r="L267" s="42" t="s">
        <v>2275</v>
      </c>
      <c r="N267" s="42">
        <v>0.0</v>
      </c>
      <c r="O267" s="42">
        <v>0.0</v>
      </c>
      <c r="P267" s="42">
        <v>2.0</v>
      </c>
      <c r="Q267" s="42">
        <v>0.0</v>
      </c>
      <c r="R267" s="42">
        <v>1.0</v>
      </c>
      <c r="S267" s="42">
        <v>0.0</v>
      </c>
      <c r="T267" s="42" t="s">
        <v>2276</v>
      </c>
      <c r="U267" s="42">
        <v>0.0</v>
      </c>
      <c r="V267" s="42">
        <v>0.0</v>
      </c>
      <c r="W267" s="42">
        <v>0.0</v>
      </c>
      <c r="X267" s="42">
        <v>100.0</v>
      </c>
      <c r="Y267" s="42">
        <v>0.0</v>
      </c>
    </row>
    <row r="268" ht="22.5" customHeight="1">
      <c r="A268" s="41"/>
      <c r="B268" s="41">
        <v>5355.0</v>
      </c>
      <c r="C268" s="41" t="s">
        <v>271</v>
      </c>
      <c r="D268" s="41" t="s">
        <v>2277</v>
      </c>
      <c r="E268" s="41" t="s">
        <v>2278</v>
      </c>
      <c r="F268" s="41" t="s">
        <v>271</v>
      </c>
      <c r="G268" s="41">
        <v>297.0</v>
      </c>
      <c r="H268" s="41" t="s">
        <v>2279</v>
      </c>
      <c r="I268" s="41"/>
      <c r="J268" s="41" t="s">
        <v>2279</v>
      </c>
      <c r="K268" s="42" t="s">
        <v>2280</v>
      </c>
      <c r="L268" s="42" t="s">
        <v>2281</v>
      </c>
      <c r="M268" s="42" t="s">
        <v>1028</v>
      </c>
      <c r="N268" s="42">
        <v>0.0</v>
      </c>
      <c r="O268" s="42">
        <v>1.0</v>
      </c>
      <c r="P268" s="42">
        <v>2.0</v>
      </c>
      <c r="Q268" s="42">
        <v>0.0</v>
      </c>
      <c r="R268" s="42">
        <v>1.0</v>
      </c>
      <c r="S268" s="42">
        <v>0.0</v>
      </c>
      <c r="T268" s="42" t="s">
        <v>2282</v>
      </c>
      <c r="U268" s="42">
        <v>1.0</v>
      </c>
      <c r="V268" s="42">
        <v>3.0</v>
      </c>
      <c r="W268" s="42">
        <v>0.0</v>
      </c>
      <c r="X268" s="42">
        <v>100.0</v>
      </c>
      <c r="Y268" s="42">
        <v>0.0</v>
      </c>
    </row>
    <row r="269" ht="22.5" customHeight="1">
      <c r="A269" s="41"/>
      <c r="B269" s="41">
        <v>5357.0</v>
      </c>
      <c r="C269" s="41" t="s">
        <v>271</v>
      </c>
      <c r="D269" s="41" t="s">
        <v>2283</v>
      </c>
      <c r="E269" s="41" t="s">
        <v>2283</v>
      </c>
      <c r="F269" s="41" t="s">
        <v>271</v>
      </c>
      <c r="G269" s="41">
        <v>299.0</v>
      </c>
      <c r="H269" s="41" t="s">
        <v>2284</v>
      </c>
      <c r="I269" s="41"/>
      <c r="J269" s="41" t="s">
        <v>2284</v>
      </c>
      <c r="K269" s="42" t="s">
        <v>2285</v>
      </c>
      <c r="L269" s="42" t="s">
        <v>2286</v>
      </c>
      <c r="M269" s="42" t="s">
        <v>1810</v>
      </c>
      <c r="N269" s="42">
        <v>0.0</v>
      </c>
      <c r="O269" s="42">
        <v>1.0</v>
      </c>
      <c r="P269" s="42">
        <v>2.0</v>
      </c>
      <c r="Q269" s="42">
        <v>0.0</v>
      </c>
      <c r="R269" s="42">
        <v>11.0</v>
      </c>
      <c r="S269" s="42">
        <v>0.0</v>
      </c>
      <c r="T269" s="42" t="s">
        <v>2287</v>
      </c>
      <c r="U269" s="42">
        <v>1.0</v>
      </c>
      <c r="V269" s="42">
        <v>4.0</v>
      </c>
      <c r="W269" s="42">
        <v>0.0</v>
      </c>
      <c r="X269" s="42">
        <v>100.0</v>
      </c>
      <c r="Y269" s="42">
        <v>0.0</v>
      </c>
    </row>
    <row r="270" ht="22.5" customHeight="1">
      <c r="A270" s="41"/>
      <c r="B270" s="41">
        <v>5358.0</v>
      </c>
      <c r="C270" s="41" t="s">
        <v>271</v>
      </c>
      <c r="D270" s="41" t="s">
        <v>2288</v>
      </c>
      <c r="E270" s="41" t="s">
        <v>2288</v>
      </c>
      <c r="F270" s="41" t="s">
        <v>271</v>
      </c>
      <c r="G270" s="41">
        <v>300.0</v>
      </c>
      <c r="H270" s="41" t="s">
        <v>2289</v>
      </c>
      <c r="I270" s="41"/>
      <c r="J270" s="41" t="s">
        <v>2289</v>
      </c>
      <c r="K270" s="42" t="s">
        <v>2290</v>
      </c>
      <c r="L270" s="42" t="s">
        <v>2291</v>
      </c>
      <c r="M270" s="42" t="s">
        <v>1380</v>
      </c>
      <c r="N270" s="42">
        <v>0.0</v>
      </c>
      <c r="O270" s="42">
        <v>1.0</v>
      </c>
      <c r="P270" s="42">
        <v>2.0</v>
      </c>
      <c r="Q270" s="42">
        <v>0.0</v>
      </c>
      <c r="R270" s="42">
        <v>12.0</v>
      </c>
      <c r="S270" s="42">
        <v>0.0</v>
      </c>
      <c r="T270" s="42" t="s">
        <v>2292</v>
      </c>
      <c r="U270" s="42">
        <v>1.0</v>
      </c>
      <c r="V270" s="42">
        <v>2.0</v>
      </c>
      <c r="W270" s="42">
        <v>0.0</v>
      </c>
      <c r="X270" s="42">
        <v>100.0</v>
      </c>
      <c r="Y270" s="42">
        <v>0.0</v>
      </c>
    </row>
    <row r="271" ht="22.5" customHeight="1">
      <c r="A271" s="41"/>
      <c r="B271" s="41">
        <v>5359.0</v>
      </c>
      <c r="C271" s="41" t="s">
        <v>271</v>
      </c>
      <c r="D271" s="41" t="s">
        <v>2293</v>
      </c>
      <c r="E271" s="41" t="s">
        <v>2293</v>
      </c>
      <c r="F271" s="41" t="s">
        <v>271</v>
      </c>
      <c r="G271" s="41">
        <v>301.0</v>
      </c>
      <c r="H271" s="41" t="s">
        <v>2294</v>
      </c>
      <c r="I271" s="41"/>
      <c r="J271" s="41" t="s">
        <v>2294</v>
      </c>
      <c r="K271" s="42" t="s">
        <v>2295</v>
      </c>
      <c r="L271" s="42" t="s">
        <v>2296</v>
      </c>
      <c r="N271" s="42">
        <v>0.0</v>
      </c>
      <c r="O271" s="42">
        <v>0.0</v>
      </c>
      <c r="P271" s="42">
        <v>2.0</v>
      </c>
      <c r="Q271" s="42">
        <v>0.0</v>
      </c>
      <c r="R271" s="42">
        <v>1.0</v>
      </c>
      <c r="S271" s="42">
        <v>0.0</v>
      </c>
      <c r="T271" s="42" t="s">
        <v>2297</v>
      </c>
      <c r="U271" s="42">
        <v>0.0</v>
      </c>
      <c r="V271" s="42">
        <v>0.0</v>
      </c>
      <c r="W271" s="42">
        <v>0.0</v>
      </c>
      <c r="X271" s="42">
        <v>100.0</v>
      </c>
      <c r="Y271" s="42">
        <v>0.0</v>
      </c>
    </row>
    <row r="272" ht="22.5" customHeight="1">
      <c r="A272" s="41"/>
      <c r="B272" s="41">
        <v>5361.0</v>
      </c>
      <c r="C272" s="41" t="s">
        <v>271</v>
      </c>
      <c r="D272" s="41" t="s">
        <v>2298</v>
      </c>
      <c r="E272" s="41" t="s">
        <v>2298</v>
      </c>
      <c r="F272" s="41" t="s">
        <v>271</v>
      </c>
      <c r="G272" s="41">
        <v>303.0</v>
      </c>
      <c r="H272" s="41" t="s">
        <v>2299</v>
      </c>
      <c r="I272" s="41"/>
      <c r="J272" s="41" t="s">
        <v>2299</v>
      </c>
      <c r="K272" s="42" t="s">
        <v>2300</v>
      </c>
      <c r="L272" s="42" t="s">
        <v>2301</v>
      </c>
      <c r="M272" s="42" t="s">
        <v>1082</v>
      </c>
      <c r="N272" s="42">
        <v>0.0</v>
      </c>
      <c r="O272" s="42">
        <v>1.0</v>
      </c>
      <c r="P272" s="42">
        <v>2.0</v>
      </c>
      <c r="Q272" s="42">
        <v>0.0</v>
      </c>
      <c r="R272" s="42">
        <v>1.0</v>
      </c>
      <c r="S272" s="42">
        <v>0.0</v>
      </c>
      <c r="T272" s="42" t="s">
        <v>2302</v>
      </c>
      <c r="U272" s="42">
        <v>1.0</v>
      </c>
      <c r="V272" s="42">
        <v>5.0</v>
      </c>
      <c r="W272" s="42">
        <v>0.0</v>
      </c>
      <c r="X272" s="42">
        <v>100.0</v>
      </c>
      <c r="Y272" s="42">
        <v>0.0</v>
      </c>
    </row>
    <row r="273" ht="22.5" customHeight="1">
      <c r="A273" s="41"/>
      <c r="B273" s="41">
        <v>5362.0</v>
      </c>
      <c r="C273" s="41" t="s">
        <v>271</v>
      </c>
      <c r="D273" s="41" t="s">
        <v>2303</v>
      </c>
      <c r="E273" s="41" t="s">
        <v>2303</v>
      </c>
      <c r="F273" s="41" t="s">
        <v>271</v>
      </c>
      <c r="G273" s="41">
        <v>304.0</v>
      </c>
      <c r="H273" s="41" t="s">
        <v>2303</v>
      </c>
      <c r="I273" s="41"/>
      <c r="J273" s="41" t="s">
        <v>2303</v>
      </c>
      <c r="K273" s="42" t="s">
        <v>2304</v>
      </c>
      <c r="L273" s="42" t="s">
        <v>2305</v>
      </c>
      <c r="N273" s="42">
        <v>0.0</v>
      </c>
      <c r="O273" s="42">
        <v>0.0</v>
      </c>
      <c r="P273" s="42">
        <v>2.0</v>
      </c>
      <c r="Q273" s="42">
        <v>0.0</v>
      </c>
      <c r="R273" s="42">
        <v>0.0</v>
      </c>
      <c r="S273" s="42">
        <v>1.0</v>
      </c>
      <c r="T273" s="42" t="s">
        <v>2306</v>
      </c>
      <c r="U273" s="42">
        <v>0.0</v>
      </c>
      <c r="V273" s="42">
        <v>8.0</v>
      </c>
      <c r="W273" s="42">
        <v>0.0</v>
      </c>
      <c r="X273" s="42">
        <v>100.0</v>
      </c>
      <c r="Y273" s="42">
        <v>0.0</v>
      </c>
    </row>
    <row r="274" ht="22.5" customHeight="1">
      <c r="A274" s="41"/>
      <c r="B274" s="41">
        <v>5363.0</v>
      </c>
      <c r="C274" s="41" t="s">
        <v>271</v>
      </c>
      <c r="D274" s="41" t="s">
        <v>2307</v>
      </c>
      <c r="E274" s="41" t="s">
        <v>2307</v>
      </c>
      <c r="F274" s="41" t="s">
        <v>271</v>
      </c>
      <c r="G274" s="41">
        <v>305.0</v>
      </c>
      <c r="H274" s="41" t="s">
        <v>2308</v>
      </c>
      <c r="I274" s="41"/>
      <c r="J274" s="41" t="s">
        <v>2308</v>
      </c>
      <c r="K274" s="42" t="s">
        <v>2309</v>
      </c>
      <c r="L274" s="42" t="s">
        <v>2310</v>
      </c>
      <c r="N274" s="42">
        <v>0.0</v>
      </c>
      <c r="O274" s="42">
        <v>0.0</v>
      </c>
      <c r="P274" s="42">
        <v>2.0</v>
      </c>
      <c r="Q274" s="42">
        <v>0.0</v>
      </c>
      <c r="R274" s="42">
        <v>1.0</v>
      </c>
      <c r="S274" s="42">
        <v>0.0</v>
      </c>
      <c r="T274" s="42" t="s">
        <v>2311</v>
      </c>
      <c r="U274" s="42">
        <v>0.0</v>
      </c>
      <c r="V274" s="42">
        <v>0.0</v>
      </c>
      <c r="W274" s="42">
        <v>0.0</v>
      </c>
      <c r="X274" s="42">
        <v>100.0</v>
      </c>
      <c r="Y274" s="42">
        <v>0.0</v>
      </c>
    </row>
    <row r="275" ht="22.5" customHeight="1">
      <c r="A275" s="41"/>
      <c r="B275" s="41">
        <v>5364.0</v>
      </c>
      <c r="C275" s="41" t="s">
        <v>271</v>
      </c>
      <c r="D275" s="41" t="s">
        <v>2312</v>
      </c>
      <c r="E275" s="41" t="s">
        <v>2312</v>
      </c>
      <c r="F275" s="41" t="s">
        <v>271</v>
      </c>
      <c r="G275" s="41">
        <v>306.0</v>
      </c>
      <c r="H275" s="41" t="s">
        <v>2313</v>
      </c>
      <c r="I275" s="41"/>
      <c r="J275" s="41" t="s">
        <v>2313</v>
      </c>
      <c r="K275" s="42" t="s">
        <v>2314</v>
      </c>
      <c r="L275" s="42" t="s">
        <v>2315</v>
      </c>
      <c r="N275" s="42">
        <v>0.0</v>
      </c>
      <c r="O275" s="42">
        <v>0.0</v>
      </c>
      <c r="P275" s="42">
        <v>2.0</v>
      </c>
      <c r="Q275" s="42">
        <v>0.0</v>
      </c>
      <c r="R275" s="42">
        <v>1.0</v>
      </c>
      <c r="S275" s="42">
        <v>0.0</v>
      </c>
      <c r="T275" s="42" t="s">
        <v>2316</v>
      </c>
      <c r="U275" s="42">
        <v>0.0</v>
      </c>
      <c r="V275" s="42">
        <v>0.0</v>
      </c>
      <c r="W275" s="42">
        <v>0.0</v>
      </c>
      <c r="X275" s="42">
        <v>100.0</v>
      </c>
      <c r="Y275" s="42">
        <v>0.0</v>
      </c>
    </row>
    <row r="276" ht="22.5" customHeight="1">
      <c r="A276" s="41"/>
      <c r="B276" s="41">
        <v>5365.0</v>
      </c>
      <c r="C276" s="41" t="s">
        <v>271</v>
      </c>
      <c r="D276" s="41" t="s">
        <v>2317</v>
      </c>
      <c r="E276" s="41" t="s">
        <v>2317</v>
      </c>
      <c r="F276" s="41" t="s">
        <v>271</v>
      </c>
      <c r="G276" s="41">
        <v>307.0</v>
      </c>
      <c r="H276" s="41" t="s">
        <v>2318</v>
      </c>
      <c r="I276" s="41"/>
      <c r="J276" s="41" t="s">
        <v>2318</v>
      </c>
      <c r="K276" s="42" t="s">
        <v>2319</v>
      </c>
      <c r="L276" s="42" t="s">
        <v>2320</v>
      </c>
      <c r="M276" s="42" t="s">
        <v>1043</v>
      </c>
      <c r="N276" s="42">
        <v>0.0</v>
      </c>
      <c r="O276" s="42">
        <v>1.0</v>
      </c>
      <c r="P276" s="42">
        <v>2.0</v>
      </c>
      <c r="Q276" s="42">
        <v>0.0</v>
      </c>
      <c r="R276" s="42">
        <v>1.0</v>
      </c>
      <c r="S276" s="42">
        <v>0.0</v>
      </c>
      <c r="T276" s="42" t="s">
        <v>2321</v>
      </c>
      <c r="U276" s="42">
        <v>1.0</v>
      </c>
      <c r="V276" s="42">
        <v>4.0</v>
      </c>
      <c r="W276" s="42">
        <v>0.0</v>
      </c>
      <c r="X276" s="42">
        <v>100.0</v>
      </c>
      <c r="Y276" s="42">
        <v>0.0</v>
      </c>
    </row>
    <row r="277" ht="22.5" customHeight="1">
      <c r="A277" s="41"/>
      <c r="B277" s="41">
        <v>5366.0</v>
      </c>
      <c r="C277" s="41" t="s">
        <v>271</v>
      </c>
      <c r="D277" s="41" t="s">
        <v>2322</v>
      </c>
      <c r="E277" s="41" t="s">
        <v>2322</v>
      </c>
      <c r="F277" s="41" t="s">
        <v>271</v>
      </c>
      <c r="G277" s="41">
        <v>308.0</v>
      </c>
      <c r="H277" s="41" t="s">
        <v>2323</v>
      </c>
      <c r="I277" s="41"/>
      <c r="J277" s="41" t="s">
        <v>2323</v>
      </c>
      <c r="K277" s="42" t="s">
        <v>2324</v>
      </c>
      <c r="L277" s="42" t="s">
        <v>2325</v>
      </c>
      <c r="N277" s="42">
        <v>0.0</v>
      </c>
      <c r="O277" s="42">
        <v>0.0</v>
      </c>
      <c r="P277" s="42">
        <v>2.0</v>
      </c>
      <c r="Q277" s="42">
        <v>0.0</v>
      </c>
      <c r="R277" s="42">
        <v>1.0</v>
      </c>
      <c r="S277" s="42">
        <v>0.0</v>
      </c>
      <c r="T277" s="42" t="s">
        <v>2326</v>
      </c>
      <c r="U277" s="42">
        <v>0.0</v>
      </c>
      <c r="V277" s="42">
        <v>0.0</v>
      </c>
      <c r="W277" s="42">
        <v>0.0</v>
      </c>
      <c r="X277" s="42">
        <v>100.0</v>
      </c>
      <c r="Y277" s="42">
        <v>0.0</v>
      </c>
    </row>
    <row r="278" ht="22.5" customHeight="1">
      <c r="A278" s="41"/>
      <c r="B278" s="41">
        <v>5367.0</v>
      </c>
      <c r="C278" s="41" t="s">
        <v>271</v>
      </c>
      <c r="D278" s="41" t="s">
        <v>2327</v>
      </c>
      <c r="E278" s="41" t="s">
        <v>2327</v>
      </c>
      <c r="F278" s="41" t="s">
        <v>271</v>
      </c>
      <c r="G278" s="41">
        <v>309.0</v>
      </c>
      <c r="H278" s="41" t="s">
        <v>2328</v>
      </c>
      <c r="I278" s="41"/>
      <c r="J278" s="41" t="s">
        <v>2328</v>
      </c>
      <c r="K278" s="42" t="s">
        <v>2329</v>
      </c>
      <c r="L278" s="42" t="s">
        <v>2330</v>
      </c>
      <c r="M278" s="42" t="s">
        <v>1130</v>
      </c>
      <c r="N278" s="42">
        <v>0.0</v>
      </c>
      <c r="O278" s="42">
        <v>1.0</v>
      </c>
      <c r="P278" s="42">
        <v>2.0</v>
      </c>
      <c r="Q278" s="42">
        <v>0.0</v>
      </c>
      <c r="R278" s="42">
        <v>1.0</v>
      </c>
      <c r="S278" s="42">
        <v>0.0</v>
      </c>
      <c r="T278" s="42" t="s">
        <v>2331</v>
      </c>
      <c r="U278" s="42">
        <v>1.0</v>
      </c>
      <c r="V278" s="42">
        <v>8.0</v>
      </c>
      <c r="W278" s="42">
        <v>0.0</v>
      </c>
      <c r="X278" s="42">
        <v>100.0</v>
      </c>
      <c r="Y278" s="42">
        <v>0.0</v>
      </c>
    </row>
    <row r="279" ht="22.5" customHeight="1">
      <c r="A279" s="41"/>
      <c r="B279" s="41">
        <v>5368.0</v>
      </c>
      <c r="C279" s="41" t="s">
        <v>271</v>
      </c>
      <c r="D279" s="41" t="s">
        <v>2332</v>
      </c>
      <c r="E279" s="41" t="s">
        <v>2332</v>
      </c>
      <c r="F279" s="41" t="s">
        <v>271</v>
      </c>
      <c r="G279" s="41">
        <v>310.0</v>
      </c>
      <c r="H279" s="41" t="s">
        <v>2333</v>
      </c>
      <c r="I279" s="41"/>
      <c r="J279" s="41" t="s">
        <v>2333</v>
      </c>
      <c r="K279" s="42" t="s">
        <v>2334</v>
      </c>
      <c r="L279" s="42" t="s">
        <v>2335</v>
      </c>
      <c r="N279" s="42">
        <v>0.0</v>
      </c>
      <c r="O279" s="42">
        <v>0.0</v>
      </c>
      <c r="P279" s="42">
        <v>2.0</v>
      </c>
      <c r="Q279" s="42">
        <v>0.0</v>
      </c>
      <c r="R279" s="42">
        <v>0.0</v>
      </c>
      <c r="S279" s="42">
        <v>0.0</v>
      </c>
      <c r="T279" s="42" t="s">
        <v>2336</v>
      </c>
      <c r="U279" s="42">
        <v>1.0</v>
      </c>
      <c r="V279" s="42">
        <v>0.0</v>
      </c>
      <c r="W279" s="42">
        <v>0.0</v>
      </c>
      <c r="X279" s="42">
        <v>100.0</v>
      </c>
      <c r="Y279" s="42">
        <v>0.0</v>
      </c>
    </row>
    <row r="280" ht="22.5" customHeight="1">
      <c r="A280" s="41"/>
      <c r="B280" s="41">
        <v>5369.0</v>
      </c>
      <c r="C280" s="41" t="s">
        <v>271</v>
      </c>
      <c r="D280" s="41" t="s">
        <v>1903</v>
      </c>
      <c r="E280" s="41" t="s">
        <v>1903</v>
      </c>
      <c r="F280" s="41" t="s">
        <v>271</v>
      </c>
      <c r="G280" s="41">
        <v>311.0</v>
      </c>
      <c r="H280" s="41" t="s">
        <v>1904</v>
      </c>
      <c r="I280" s="41"/>
      <c r="J280" s="41" t="s">
        <v>1904</v>
      </c>
      <c r="K280" s="42" t="s">
        <v>1905</v>
      </c>
      <c r="L280" s="42" t="s">
        <v>2337</v>
      </c>
      <c r="M280" s="42" t="s">
        <v>970</v>
      </c>
      <c r="N280" s="42">
        <v>0.0</v>
      </c>
      <c r="O280" s="42">
        <v>1.0</v>
      </c>
      <c r="P280" s="42">
        <v>2.0</v>
      </c>
      <c r="Q280" s="42">
        <v>0.0</v>
      </c>
      <c r="R280" s="42">
        <v>1.0</v>
      </c>
      <c r="S280" s="42">
        <v>1.0</v>
      </c>
      <c r="T280" s="42" t="s">
        <v>2338</v>
      </c>
      <c r="U280" s="42">
        <v>1.0</v>
      </c>
      <c r="V280" s="42">
        <v>0.0</v>
      </c>
      <c r="W280" s="42">
        <v>0.0</v>
      </c>
      <c r="X280" s="42">
        <v>100.0</v>
      </c>
      <c r="Y280" s="42">
        <v>0.0</v>
      </c>
    </row>
    <row r="281" ht="22.5" customHeight="1">
      <c r="A281" s="41"/>
      <c r="B281" s="41">
        <v>5374.0</v>
      </c>
      <c r="C281" s="41" t="s">
        <v>271</v>
      </c>
      <c r="D281" s="41" t="s">
        <v>2339</v>
      </c>
      <c r="E281" s="41" t="s">
        <v>2339</v>
      </c>
      <c r="F281" s="41" t="s">
        <v>271</v>
      </c>
      <c r="G281" s="41">
        <v>313.0</v>
      </c>
      <c r="H281" s="41" t="s">
        <v>2340</v>
      </c>
      <c r="I281" s="41"/>
      <c r="J281" s="41" t="s">
        <v>2340</v>
      </c>
      <c r="K281" s="42" t="s">
        <v>2341</v>
      </c>
      <c r="L281" s="42" t="s">
        <v>2342</v>
      </c>
      <c r="M281" s="42" t="s">
        <v>1043</v>
      </c>
      <c r="N281" s="42">
        <v>0.0</v>
      </c>
      <c r="O281" s="42">
        <v>1.0</v>
      </c>
      <c r="P281" s="42">
        <v>2.0</v>
      </c>
      <c r="Q281" s="42">
        <v>0.0</v>
      </c>
      <c r="R281" s="42">
        <v>8.0</v>
      </c>
      <c r="S281" s="42">
        <v>0.0</v>
      </c>
      <c r="T281" s="42" t="s">
        <v>2343</v>
      </c>
      <c r="U281" s="42">
        <v>1.0</v>
      </c>
      <c r="V281" s="42">
        <v>3.0</v>
      </c>
      <c r="W281" s="42">
        <v>0.0</v>
      </c>
      <c r="X281" s="42">
        <v>100.0</v>
      </c>
      <c r="Y281" s="42">
        <v>0.0</v>
      </c>
    </row>
    <row r="282" ht="22.5" customHeight="1">
      <c r="A282" s="41"/>
      <c r="B282" s="41">
        <v>5375.0</v>
      </c>
      <c r="C282" s="41" t="s">
        <v>271</v>
      </c>
      <c r="D282" s="41" t="s">
        <v>2344</v>
      </c>
      <c r="E282" s="41" t="s">
        <v>2344</v>
      </c>
      <c r="F282" s="41" t="s">
        <v>271</v>
      </c>
      <c r="G282" s="41">
        <v>314.0</v>
      </c>
      <c r="H282" s="41" t="s">
        <v>2345</v>
      </c>
      <c r="I282" s="41"/>
      <c r="J282" s="41" t="s">
        <v>2345</v>
      </c>
      <c r="K282" s="42" t="s">
        <v>2346</v>
      </c>
      <c r="L282" s="42" t="s">
        <v>2347</v>
      </c>
      <c r="M282" s="42" t="s">
        <v>1043</v>
      </c>
      <c r="N282" s="42">
        <v>0.0</v>
      </c>
      <c r="O282" s="42">
        <v>1.0</v>
      </c>
      <c r="P282" s="42">
        <v>2.0</v>
      </c>
      <c r="Q282" s="42">
        <v>0.0</v>
      </c>
      <c r="R282" s="42">
        <v>7.0</v>
      </c>
      <c r="S282" s="42">
        <v>0.0</v>
      </c>
      <c r="T282" s="42" t="s">
        <v>2348</v>
      </c>
      <c r="U282" s="42">
        <v>1.0</v>
      </c>
      <c r="V282" s="42">
        <v>6.0</v>
      </c>
      <c r="W282" s="42">
        <v>0.0</v>
      </c>
      <c r="X282" s="42">
        <v>100.0</v>
      </c>
      <c r="Y282" s="42">
        <v>0.0</v>
      </c>
    </row>
    <row r="283" ht="22.5" customHeight="1">
      <c r="A283" s="41"/>
      <c r="B283" s="41">
        <v>5376.0</v>
      </c>
      <c r="C283" s="41" t="s">
        <v>271</v>
      </c>
      <c r="D283" s="41" t="s">
        <v>2349</v>
      </c>
      <c r="E283" s="41" t="s">
        <v>2349</v>
      </c>
      <c r="F283" s="41" t="s">
        <v>271</v>
      </c>
      <c r="G283" s="41">
        <v>315.0</v>
      </c>
      <c r="H283" s="41" t="s">
        <v>2350</v>
      </c>
      <c r="I283" s="41"/>
      <c r="J283" s="41" t="s">
        <v>2350</v>
      </c>
      <c r="K283" s="42" t="s">
        <v>2351</v>
      </c>
      <c r="L283" s="42" t="s">
        <v>2352</v>
      </c>
      <c r="M283" s="42" t="s">
        <v>1043</v>
      </c>
      <c r="N283" s="42">
        <v>0.0</v>
      </c>
      <c r="O283" s="42">
        <v>1.0</v>
      </c>
      <c r="P283" s="42">
        <v>2.0</v>
      </c>
      <c r="Q283" s="42">
        <v>0.0</v>
      </c>
      <c r="R283" s="42">
        <v>6.0</v>
      </c>
      <c r="S283" s="42">
        <v>0.0</v>
      </c>
      <c r="T283" s="42" t="s">
        <v>2353</v>
      </c>
      <c r="U283" s="42">
        <v>1.0</v>
      </c>
      <c r="V283" s="42">
        <v>5.0</v>
      </c>
      <c r="W283" s="42">
        <v>0.0</v>
      </c>
      <c r="X283" s="42">
        <v>100.0</v>
      </c>
      <c r="Y283" s="42">
        <v>0.0</v>
      </c>
    </row>
    <row r="284" ht="22.5" customHeight="1">
      <c r="A284" s="41"/>
      <c r="B284" s="41">
        <v>5377.0</v>
      </c>
      <c r="C284" s="41" t="s">
        <v>271</v>
      </c>
      <c r="D284" s="41" t="s">
        <v>2354</v>
      </c>
      <c r="E284" s="41" t="s">
        <v>2354</v>
      </c>
      <c r="F284" s="41" t="s">
        <v>271</v>
      </c>
      <c r="G284" s="41">
        <v>316.0</v>
      </c>
      <c r="H284" s="41" t="s">
        <v>2354</v>
      </c>
      <c r="I284" s="41"/>
      <c r="J284" s="41" t="s">
        <v>2354</v>
      </c>
      <c r="K284" s="42" t="s">
        <v>2355</v>
      </c>
      <c r="L284" s="42" t="s">
        <v>2356</v>
      </c>
      <c r="N284" s="42">
        <v>0.0</v>
      </c>
      <c r="O284" s="42">
        <v>0.0</v>
      </c>
      <c r="P284" s="42">
        <v>2.0</v>
      </c>
      <c r="Q284" s="42">
        <v>0.0</v>
      </c>
      <c r="R284" s="42">
        <v>0.0</v>
      </c>
      <c r="S284" s="42">
        <v>1.0</v>
      </c>
      <c r="T284" s="42" t="s">
        <v>2357</v>
      </c>
      <c r="U284" s="42">
        <v>1.0</v>
      </c>
      <c r="V284" s="42">
        <v>8.0</v>
      </c>
      <c r="W284" s="42">
        <v>0.0</v>
      </c>
      <c r="X284" s="42">
        <v>100.0</v>
      </c>
      <c r="Y284" s="42">
        <v>0.0</v>
      </c>
    </row>
    <row r="285" ht="22.5" customHeight="1">
      <c r="A285" s="41"/>
      <c r="B285" s="41">
        <v>5378.0</v>
      </c>
      <c r="C285" s="41" t="s">
        <v>271</v>
      </c>
      <c r="D285" s="41" t="s">
        <v>2358</v>
      </c>
      <c r="E285" s="41" t="s">
        <v>2358</v>
      </c>
      <c r="F285" s="41" t="s">
        <v>271</v>
      </c>
      <c r="G285" s="41">
        <v>317.0</v>
      </c>
      <c r="H285" s="41" t="s">
        <v>2358</v>
      </c>
      <c r="I285" s="41"/>
      <c r="J285" s="41" t="s">
        <v>2358</v>
      </c>
      <c r="K285" s="42" t="s">
        <v>2359</v>
      </c>
      <c r="L285" s="42" t="s">
        <v>2360</v>
      </c>
      <c r="M285" s="42" t="s">
        <v>962</v>
      </c>
      <c r="N285" s="42">
        <v>0.0</v>
      </c>
      <c r="O285" s="42">
        <v>1.0</v>
      </c>
      <c r="P285" s="42">
        <v>2.0</v>
      </c>
      <c r="Q285" s="42">
        <v>0.0</v>
      </c>
      <c r="R285" s="42">
        <v>0.0</v>
      </c>
      <c r="S285" s="42">
        <v>1.0</v>
      </c>
      <c r="T285" s="42" t="s">
        <v>2361</v>
      </c>
      <c r="U285" s="42">
        <v>1.0</v>
      </c>
      <c r="V285" s="42">
        <v>8.0</v>
      </c>
      <c r="W285" s="42">
        <v>0.0</v>
      </c>
      <c r="X285" s="42">
        <v>100.0</v>
      </c>
      <c r="Y285" s="42">
        <v>0.0</v>
      </c>
    </row>
    <row r="286" ht="22.5" customHeight="1">
      <c r="A286" s="41"/>
      <c r="B286" s="41">
        <v>5379.0</v>
      </c>
      <c r="C286" s="41" t="s">
        <v>271</v>
      </c>
      <c r="D286" s="41" t="s">
        <v>2362</v>
      </c>
      <c r="E286" s="41" t="s">
        <v>2362</v>
      </c>
      <c r="F286" s="41" t="s">
        <v>271</v>
      </c>
      <c r="G286" s="41">
        <v>318.0</v>
      </c>
      <c r="H286" s="41" t="s">
        <v>2363</v>
      </c>
      <c r="I286" s="41"/>
      <c r="J286" s="41" t="s">
        <v>2363</v>
      </c>
      <c r="K286" s="42" t="s">
        <v>2364</v>
      </c>
      <c r="L286" s="42" t="s">
        <v>2365</v>
      </c>
      <c r="M286" s="42" t="s">
        <v>1028</v>
      </c>
      <c r="N286" s="42">
        <v>0.0</v>
      </c>
      <c r="O286" s="42">
        <v>1.0</v>
      </c>
      <c r="P286" s="42">
        <v>2.0</v>
      </c>
      <c r="Q286" s="42">
        <v>0.0</v>
      </c>
      <c r="R286" s="42">
        <v>11.0</v>
      </c>
      <c r="S286" s="42">
        <v>0.0</v>
      </c>
      <c r="T286" s="42" t="s">
        <v>2366</v>
      </c>
      <c r="U286" s="42">
        <v>1.0</v>
      </c>
      <c r="V286" s="42">
        <v>8.0</v>
      </c>
      <c r="W286" s="42">
        <v>0.0</v>
      </c>
      <c r="X286" s="42">
        <v>100.0</v>
      </c>
      <c r="Y286" s="42">
        <v>0.0</v>
      </c>
    </row>
    <row r="287" ht="22.5" customHeight="1">
      <c r="A287" s="41"/>
      <c r="B287" s="41">
        <v>5380.0</v>
      </c>
      <c r="C287" s="41" t="s">
        <v>271</v>
      </c>
      <c r="D287" s="41" t="s">
        <v>2367</v>
      </c>
      <c r="E287" s="41" t="s">
        <v>2367</v>
      </c>
      <c r="F287" s="41" t="s">
        <v>271</v>
      </c>
      <c r="G287" s="41">
        <v>319.0</v>
      </c>
      <c r="H287" s="41" t="s">
        <v>2368</v>
      </c>
      <c r="I287" s="41"/>
      <c r="J287" s="41" t="s">
        <v>2368</v>
      </c>
      <c r="K287" s="42" t="s">
        <v>2369</v>
      </c>
      <c r="L287" s="42" t="s">
        <v>2370</v>
      </c>
      <c r="N287" s="42">
        <v>0.0</v>
      </c>
      <c r="O287" s="42">
        <v>0.0</v>
      </c>
      <c r="P287" s="42">
        <v>2.0</v>
      </c>
      <c r="Q287" s="42">
        <v>0.0</v>
      </c>
      <c r="R287" s="42">
        <v>0.0</v>
      </c>
      <c r="S287" s="42">
        <v>0.0</v>
      </c>
      <c r="T287" s="42" t="s">
        <v>2371</v>
      </c>
      <c r="U287" s="42">
        <v>1.0</v>
      </c>
      <c r="V287" s="42">
        <v>0.0</v>
      </c>
      <c r="W287" s="42">
        <v>0.0</v>
      </c>
      <c r="X287" s="42">
        <v>100.0</v>
      </c>
      <c r="Y287" s="42">
        <v>0.0</v>
      </c>
    </row>
    <row r="288" ht="22.5" customHeight="1">
      <c r="A288" s="41"/>
      <c r="B288" s="41">
        <v>5381.0</v>
      </c>
      <c r="C288" s="41" t="s">
        <v>271</v>
      </c>
      <c r="D288" s="41" t="s">
        <v>2372</v>
      </c>
      <c r="E288" s="41" t="s">
        <v>2372</v>
      </c>
      <c r="F288" s="41" t="s">
        <v>271</v>
      </c>
      <c r="G288" s="41">
        <v>320.0</v>
      </c>
      <c r="H288" s="41" t="s">
        <v>2372</v>
      </c>
      <c r="I288" s="41"/>
      <c r="J288" s="41" t="s">
        <v>2372</v>
      </c>
      <c r="K288" s="42" t="s">
        <v>2373</v>
      </c>
      <c r="L288" s="42" t="s">
        <v>2374</v>
      </c>
      <c r="N288" s="42">
        <v>0.0</v>
      </c>
      <c r="O288" s="42">
        <v>0.0</v>
      </c>
      <c r="P288" s="42">
        <v>2.0</v>
      </c>
      <c r="Q288" s="42">
        <v>0.0</v>
      </c>
      <c r="R288" s="42">
        <v>0.0</v>
      </c>
      <c r="S288" s="42">
        <v>1.0</v>
      </c>
      <c r="T288" s="42" t="s">
        <v>2375</v>
      </c>
      <c r="U288" s="42">
        <v>0.0</v>
      </c>
      <c r="V288" s="42">
        <v>8.0</v>
      </c>
      <c r="W288" s="42">
        <v>0.0</v>
      </c>
      <c r="X288" s="42">
        <v>100.0</v>
      </c>
      <c r="Y288" s="42">
        <v>0.0</v>
      </c>
    </row>
    <row r="289" ht="22.5" customHeight="1">
      <c r="A289" s="41"/>
      <c r="B289" s="41">
        <v>5386.0</v>
      </c>
      <c r="C289" s="41" t="s">
        <v>271</v>
      </c>
      <c r="D289" s="41" t="s">
        <v>2376</v>
      </c>
      <c r="E289" s="41" t="s">
        <v>2376</v>
      </c>
      <c r="F289" s="41" t="s">
        <v>271</v>
      </c>
      <c r="G289" s="41">
        <v>324.0</v>
      </c>
      <c r="H289" s="41" t="s">
        <v>2377</v>
      </c>
      <c r="I289" s="41"/>
      <c r="J289" s="41" t="s">
        <v>2377</v>
      </c>
      <c r="K289" s="42" t="s">
        <v>2378</v>
      </c>
      <c r="L289" s="42" t="s">
        <v>2379</v>
      </c>
      <c r="M289" s="42" t="s">
        <v>1028</v>
      </c>
      <c r="N289" s="42">
        <v>0.0</v>
      </c>
      <c r="O289" s="42">
        <v>1.0</v>
      </c>
      <c r="P289" s="42">
        <v>2.0</v>
      </c>
      <c r="Q289" s="42">
        <v>0.0</v>
      </c>
      <c r="R289" s="42">
        <v>1.0</v>
      </c>
      <c r="S289" s="42">
        <v>0.0</v>
      </c>
      <c r="T289" s="42" t="s">
        <v>2380</v>
      </c>
      <c r="U289" s="42">
        <v>1.0</v>
      </c>
      <c r="V289" s="42">
        <v>8.0</v>
      </c>
      <c r="W289" s="42">
        <v>0.0</v>
      </c>
      <c r="X289" s="42">
        <v>100.0</v>
      </c>
      <c r="Y289" s="42">
        <v>0.0</v>
      </c>
    </row>
    <row r="290" ht="22.5" customHeight="1">
      <c r="A290" s="41"/>
      <c r="B290" s="41">
        <v>5388.0</v>
      </c>
      <c r="C290" s="41" t="s">
        <v>271</v>
      </c>
      <c r="D290" s="41" t="s">
        <v>2381</v>
      </c>
      <c r="E290" s="41" t="s">
        <v>2381</v>
      </c>
      <c r="F290" s="41" t="s">
        <v>271</v>
      </c>
      <c r="G290" s="41">
        <v>325.0</v>
      </c>
      <c r="H290" s="41" t="s">
        <v>2382</v>
      </c>
      <c r="I290" s="41"/>
      <c r="J290" s="41" t="s">
        <v>2382</v>
      </c>
      <c r="K290" s="42" t="s">
        <v>2383</v>
      </c>
      <c r="L290" s="42" t="s">
        <v>2384</v>
      </c>
      <c r="N290" s="42">
        <v>0.0</v>
      </c>
      <c r="O290" s="42">
        <v>0.0</v>
      </c>
      <c r="P290" s="42">
        <v>2.0</v>
      </c>
      <c r="Q290" s="42">
        <v>0.0</v>
      </c>
      <c r="R290" s="42">
        <v>0.0</v>
      </c>
      <c r="S290" s="42">
        <v>0.0</v>
      </c>
      <c r="T290" s="42" t="s">
        <v>2385</v>
      </c>
      <c r="U290" s="42">
        <v>1.0</v>
      </c>
      <c r="V290" s="42">
        <v>0.0</v>
      </c>
      <c r="W290" s="42">
        <v>0.0</v>
      </c>
      <c r="X290" s="42">
        <v>100.0</v>
      </c>
      <c r="Y290" s="42">
        <v>0.0</v>
      </c>
    </row>
    <row r="291" ht="22.5" customHeight="1">
      <c r="A291" s="41"/>
      <c r="B291" s="41">
        <v>5389.0</v>
      </c>
      <c r="C291" s="41" t="s">
        <v>271</v>
      </c>
      <c r="D291" s="41" t="s">
        <v>2386</v>
      </c>
      <c r="E291" s="41" t="s">
        <v>2386</v>
      </c>
      <c r="F291" s="41" t="s">
        <v>271</v>
      </c>
      <c r="G291" s="41">
        <v>326.0</v>
      </c>
      <c r="H291" s="41" t="s">
        <v>2386</v>
      </c>
      <c r="I291" s="41"/>
      <c r="J291" s="41" t="s">
        <v>2386</v>
      </c>
      <c r="K291" s="42" t="s">
        <v>2387</v>
      </c>
      <c r="L291" s="42" t="s">
        <v>2388</v>
      </c>
      <c r="M291" s="42" t="s">
        <v>962</v>
      </c>
      <c r="N291" s="42">
        <v>0.0</v>
      </c>
      <c r="O291" s="42">
        <v>1.0</v>
      </c>
      <c r="P291" s="42">
        <v>2.0</v>
      </c>
      <c r="Q291" s="42">
        <v>0.0</v>
      </c>
      <c r="R291" s="42">
        <v>0.0</v>
      </c>
      <c r="S291" s="42">
        <v>1.0</v>
      </c>
      <c r="T291" s="42" t="s">
        <v>2389</v>
      </c>
      <c r="U291" s="42">
        <v>1.0</v>
      </c>
      <c r="V291" s="42">
        <v>8.0</v>
      </c>
      <c r="W291" s="42">
        <v>0.0</v>
      </c>
      <c r="X291" s="42">
        <v>100.0</v>
      </c>
      <c r="Y291" s="42">
        <v>0.0</v>
      </c>
    </row>
    <row r="292" ht="22.5" customHeight="1">
      <c r="A292" s="41"/>
      <c r="B292" s="41">
        <v>5390.0</v>
      </c>
      <c r="C292" s="41" t="s">
        <v>271</v>
      </c>
      <c r="D292" s="41" t="s">
        <v>2390</v>
      </c>
      <c r="E292" s="41" t="s">
        <v>2390</v>
      </c>
      <c r="F292" s="41" t="s">
        <v>271</v>
      </c>
      <c r="G292" s="41">
        <v>327.0</v>
      </c>
      <c r="H292" s="41" t="s">
        <v>2391</v>
      </c>
      <c r="I292" s="41"/>
      <c r="J292" s="41" t="s">
        <v>2391</v>
      </c>
      <c r="K292" s="42" t="s">
        <v>2392</v>
      </c>
      <c r="L292" s="42" t="s">
        <v>2393</v>
      </c>
      <c r="N292" s="42">
        <v>0.0</v>
      </c>
      <c r="O292" s="42">
        <v>0.0</v>
      </c>
      <c r="P292" s="42">
        <v>2.0</v>
      </c>
      <c r="Q292" s="42">
        <v>0.0</v>
      </c>
      <c r="R292" s="42">
        <v>0.0</v>
      </c>
      <c r="S292" s="42">
        <v>0.0</v>
      </c>
      <c r="T292" s="42" t="s">
        <v>2394</v>
      </c>
      <c r="U292" s="42">
        <v>1.0</v>
      </c>
      <c r="V292" s="42">
        <v>0.0</v>
      </c>
      <c r="W292" s="42">
        <v>0.0</v>
      </c>
      <c r="X292" s="42">
        <v>100.0</v>
      </c>
      <c r="Y292" s="42">
        <v>0.0</v>
      </c>
    </row>
    <row r="293" ht="22.5" customHeight="1">
      <c r="A293" s="41"/>
      <c r="B293" s="41">
        <v>5391.0</v>
      </c>
      <c r="C293" s="41" t="s">
        <v>271</v>
      </c>
      <c r="D293" s="41" t="s">
        <v>2395</v>
      </c>
      <c r="E293" s="41" t="s">
        <v>2395</v>
      </c>
      <c r="F293" s="41" t="s">
        <v>271</v>
      </c>
      <c r="G293" s="41">
        <v>328.0</v>
      </c>
      <c r="H293" s="41" t="s">
        <v>2396</v>
      </c>
      <c r="I293" s="41"/>
      <c r="J293" s="41" t="s">
        <v>2396</v>
      </c>
      <c r="K293" s="42" t="s">
        <v>2397</v>
      </c>
      <c r="L293" s="42" t="s">
        <v>2398</v>
      </c>
      <c r="M293" s="42" t="s">
        <v>1043</v>
      </c>
      <c r="N293" s="42">
        <v>0.0</v>
      </c>
      <c r="O293" s="42">
        <v>1.0</v>
      </c>
      <c r="P293" s="42">
        <v>2.0</v>
      </c>
      <c r="Q293" s="42">
        <v>0.0</v>
      </c>
      <c r="R293" s="42">
        <v>11.0</v>
      </c>
      <c r="S293" s="42">
        <v>0.0</v>
      </c>
      <c r="T293" s="42" t="s">
        <v>2399</v>
      </c>
      <c r="U293" s="42">
        <v>1.0</v>
      </c>
      <c r="V293" s="42">
        <v>5.0</v>
      </c>
      <c r="W293" s="42">
        <v>0.0</v>
      </c>
      <c r="X293" s="42">
        <v>100.0</v>
      </c>
      <c r="Y293" s="42">
        <v>0.0</v>
      </c>
    </row>
    <row r="294" ht="22.5" customHeight="1">
      <c r="A294" s="41"/>
      <c r="B294" s="41">
        <v>5392.0</v>
      </c>
      <c r="C294" s="41" t="s">
        <v>271</v>
      </c>
      <c r="D294" s="41" t="s">
        <v>2400</v>
      </c>
      <c r="E294" s="41" t="s">
        <v>2400</v>
      </c>
      <c r="F294" s="41" t="s">
        <v>271</v>
      </c>
      <c r="G294" s="41">
        <v>329.0</v>
      </c>
      <c r="H294" s="41" t="s">
        <v>2401</v>
      </c>
      <c r="I294" s="41"/>
      <c r="J294" s="41" t="s">
        <v>2401</v>
      </c>
      <c r="K294" s="42" t="s">
        <v>2402</v>
      </c>
      <c r="L294" s="42" t="s">
        <v>2403</v>
      </c>
      <c r="M294" s="42" t="s">
        <v>1043</v>
      </c>
      <c r="N294" s="42">
        <v>0.0</v>
      </c>
      <c r="O294" s="42">
        <v>1.0</v>
      </c>
      <c r="P294" s="42">
        <v>2.0</v>
      </c>
      <c r="Q294" s="42">
        <v>0.0</v>
      </c>
      <c r="R294" s="42">
        <v>1.0</v>
      </c>
      <c r="S294" s="42">
        <v>0.0</v>
      </c>
      <c r="T294" s="42" t="s">
        <v>2404</v>
      </c>
      <c r="U294" s="42">
        <v>1.0</v>
      </c>
      <c r="V294" s="42">
        <v>5.0</v>
      </c>
      <c r="W294" s="42">
        <v>0.0</v>
      </c>
      <c r="X294" s="42">
        <v>100.0</v>
      </c>
      <c r="Y294" s="42">
        <v>0.0</v>
      </c>
    </row>
    <row r="295" ht="22.5" customHeight="1">
      <c r="A295" s="41"/>
      <c r="B295" s="41">
        <v>5393.0</v>
      </c>
      <c r="C295" s="41" t="s">
        <v>271</v>
      </c>
      <c r="D295" s="41" t="s">
        <v>2405</v>
      </c>
      <c r="E295" s="41" t="s">
        <v>2405</v>
      </c>
      <c r="F295" s="41" t="s">
        <v>271</v>
      </c>
      <c r="G295" s="41">
        <v>330.0</v>
      </c>
      <c r="H295" s="41" t="s">
        <v>2406</v>
      </c>
      <c r="I295" s="41"/>
      <c r="J295" s="41" t="s">
        <v>2406</v>
      </c>
      <c r="K295" s="42" t="s">
        <v>2407</v>
      </c>
      <c r="L295" s="42" t="s">
        <v>2408</v>
      </c>
      <c r="M295" s="42" t="s">
        <v>1130</v>
      </c>
      <c r="N295" s="42">
        <v>0.0</v>
      </c>
      <c r="O295" s="42">
        <v>1.0</v>
      </c>
      <c r="P295" s="42">
        <v>2.0</v>
      </c>
      <c r="Q295" s="42">
        <v>0.0</v>
      </c>
      <c r="R295" s="42">
        <v>1.0</v>
      </c>
      <c r="S295" s="42">
        <v>0.0</v>
      </c>
      <c r="T295" s="42" t="s">
        <v>2409</v>
      </c>
      <c r="U295" s="42">
        <v>1.0</v>
      </c>
      <c r="V295" s="42">
        <v>8.0</v>
      </c>
      <c r="W295" s="42">
        <v>0.0</v>
      </c>
      <c r="X295" s="42">
        <v>100.0</v>
      </c>
      <c r="Y295" s="42">
        <v>0.0</v>
      </c>
    </row>
    <row r="296" ht="22.5" customHeight="1">
      <c r="A296" s="41"/>
      <c r="B296" s="41">
        <v>5394.0</v>
      </c>
      <c r="C296" s="41" t="s">
        <v>271</v>
      </c>
      <c r="D296" s="41" t="s">
        <v>2410</v>
      </c>
      <c r="E296" s="41" t="s">
        <v>2410</v>
      </c>
      <c r="F296" s="41" t="s">
        <v>271</v>
      </c>
      <c r="G296" s="41">
        <v>331.0</v>
      </c>
      <c r="H296" s="41" t="s">
        <v>2411</v>
      </c>
      <c r="I296" s="41"/>
      <c r="J296" s="41" t="s">
        <v>2411</v>
      </c>
      <c r="K296" s="42" t="s">
        <v>2412</v>
      </c>
      <c r="L296" s="42" t="s">
        <v>2413</v>
      </c>
      <c r="N296" s="42">
        <v>0.0</v>
      </c>
      <c r="O296" s="42">
        <v>0.0</v>
      </c>
      <c r="P296" s="42">
        <v>2.0</v>
      </c>
      <c r="Q296" s="42">
        <v>0.0</v>
      </c>
      <c r="R296" s="42">
        <v>0.0</v>
      </c>
      <c r="S296" s="42">
        <v>0.0</v>
      </c>
      <c r="T296" s="42" t="s">
        <v>2414</v>
      </c>
      <c r="U296" s="42">
        <v>1.0</v>
      </c>
      <c r="V296" s="42">
        <v>0.0</v>
      </c>
      <c r="W296" s="42">
        <v>0.0</v>
      </c>
      <c r="X296" s="42">
        <v>100.0</v>
      </c>
      <c r="Y296" s="42">
        <v>0.0</v>
      </c>
    </row>
    <row r="297" ht="22.5" customHeight="1">
      <c r="A297" s="41"/>
      <c r="B297" s="41">
        <v>5395.0</v>
      </c>
      <c r="C297" s="41" t="s">
        <v>271</v>
      </c>
      <c r="D297" s="41" t="s">
        <v>2415</v>
      </c>
      <c r="E297" s="41" t="s">
        <v>2415</v>
      </c>
      <c r="F297" s="41" t="s">
        <v>271</v>
      </c>
      <c r="G297" s="41">
        <v>332.0</v>
      </c>
      <c r="H297" s="41" t="s">
        <v>2415</v>
      </c>
      <c r="I297" s="41"/>
      <c r="J297" s="41" t="s">
        <v>2415</v>
      </c>
      <c r="K297" s="42" t="s">
        <v>2416</v>
      </c>
      <c r="L297" s="42" t="s">
        <v>2417</v>
      </c>
      <c r="N297" s="42">
        <v>0.0</v>
      </c>
      <c r="O297" s="42">
        <v>0.0</v>
      </c>
      <c r="P297" s="42">
        <v>2.0</v>
      </c>
      <c r="Q297" s="42">
        <v>0.0</v>
      </c>
      <c r="R297" s="42">
        <v>0.0</v>
      </c>
      <c r="S297" s="42">
        <v>1.0</v>
      </c>
      <c r="T297" s="42" t="s">
        <v>2418</v>
      </c>
      <c r="U297" s="42">
        <v>0.0</v>
      </c>
      <c r="V297" s="42">
        <v>8.0</v>
      </c>
      <c r="W297" s="42">
        <v>0.0</v>
      </c>
      <c r="X297" s="42">
        <v>100.0</v>
      </c>
      <c r="Y297" s="42">
        <v>0.0</v>
      </c>
    </row>
    <row r="298" ht="22.5" customHeight="1">
      <c r="A298" s="41"/>
      <c r="B298" s="41">
        <v>5396.0</v>
      </c>
      <c r="C298" s="41" t="s">
        <v>271</v>
      </c>
      <c r="D298" s="41" t="s">
        <v>2419</v>
      </c>
      <c r="E298" s="41" t="s">
        <v>2419</v>
      </c>
      <c r="F298" s="41" t="s">
        <v>271</v>
      </c>
      <c r="G298" s="41">
        <v>333.0</v>
      </c>
      <c r="H298" s="41" t="s">
        <v>2419</v>
      </c>
      <c r="I298" s="41"/>
      <c r="J298" s="41" t="s">
        <v>2419</v>
      </c>
      <c r="K298" s="42" t="s">
        <v>2420</v>
      </c>
      <c r="L298" s="42" t="s">
        <v>2421</v>
      </c>
      <c r="N298" s="42">
        <v>0.0</v>
      </c>
      <c r="O298" s="42">
        <v>0.0</v>
      </c>
      <c r="P298" s="42">
        <v>2.0</v>
      </c>
      <c r="Q298" s="42">
        <v>0.0</v>
      </c>
      <c r="R298" s="42">
        <v>0.0</v>
      </c>
      <c r="S298" s="42">
        <v>1.0</v>
      </c>
      <c r="T298" s="42" t="s">
        <v>2422</v>
      </c>
      <c r="U298" s="42">
        <v>0.0</v>
      </c>
      <c r="V298" s="42">
        <v>8.0</v>
      </c>
      <c r="W298" s="42">
        <v>0.0</v>
      </c>
      <c r="X298" s="42">
        <v>100.0</v>
      </c>
      <c r="Y298" s="42">
        <v>0.0</v>
      </c>
    </row>
    <row r="299" ht="22.5" customHeight="1">
      <c r="A299" s="41"/>
      <c r="B299" s="41">
        <v>5397.0</v>
      </c>
      <c r="C299" s="41" t="s">
        <v>271</v>
      </c>
      <c r="D299" s="41" t="s">
        <v>2423</v>
      </c>
      <c r="E299" s="41" t="s">
        <v>2423</v>
      </c>
      <c r="F299" s="41" t="s">
        <v>271</v>
      </c>
      <c r="G299" s="41">
        <v>334.0</v>
      </c>
      <c r="H299" s="41" t="s">
        <v>2423</v>
      </c>
      <c r="I299" s="41"/>
      <c r="J299" s="41" t="s">
        <v>2423</v>
      </c>
      <c r="K299" s="42" t="s">
        <v>2424</v>
      </c>
      <c r="L299" s="42" t="s">
        <v>2425</v>
      </c>
      <c r="N299" s="42">
        <v>0.0</v>
      </c>
      <c r="O299" s="42">
        <v>0.0</v>
      </c>
      <c r="P299" s="42">
        <v>2.0</v>
      </c>
      <c r="Q299" s="42">
        <v>0.0</v>
      </c>
      <c r="R299" s="42">
        <v>0.0</v>
      </c>
      <c r="S299" s="42">
        <v>1.0</v>
      </c>
      <c r="T299" s="42" t="s">
        <v>2426</v>
      </c>
      <c r="U299" s="42">
        <v>0.0</v>
      </c>
      <c r="V299" s="42">
        <v>8.0</v>
      </c>
      <c r="W299" s="42">
        <v>0.0</v>
      </c>
      <c r="X299" s="42">
        <v>100.0</v>
      </c>
      <c r="Y299" s="42">
        <v>0.0</v>
      </c>
    </row>
    <row r="300" ht="22.5" customHeight="1">
      <c r="A300" s="41"/>
      <c r="B300" s="41">
        <v>5398.0</v>
      </c>
      <c r="C300" s="41" t="s">
        <v>271</v>
      </c>
      <c r="D300" s="41" t="s">
        <v>2427</v>
      </c>
      <c r="E300" s="41" t="s">
        <v>2427</v>
      </c>
      <c r="F300" s="41" t="s">
        <v>271</v>
      </c>
      <c r="G300" s="41">
        <v>335.0</v>
      </c>
      <c r="H300" s="41" t="s">
        <v>2428</v>
      </c>
      <c r="I300" s="41"/>
      <c r="J300" s="41" t="s">
        <v>2428</v>
      </c>
      <c r="K300" s="42" t="s">
        <v>2429</v>
      </c>
      <c r="L300" s="42" t="s">
        <v>2430</v>
      </c>
      <c r="M300" s="42" t="s">
        <v>2180</v>
      </c>
      <c r="N300" s="42">
        <v>0.0</v>
      </c>
      <c r="O300" s="42">
        <v>1.0</v>
      </c>
      <c r="P300" s="42">
        <v>2.0</v>
      </c>
      <c r="Q300" s="42">
        <v>0.0</v>
      </c>
      <c r="R300" s="42">
        <v>11.0</v>
      </c>
      <c r="S300" s="42">
        <v>0.0</v>
      </c>
      <c r="T300" s="42" t="s">
        <v>2431</v>
      </c>
      <c r="U300" s="42">
        <v>1.0</v>
      </c>
      <c r="V300" s="42">
        <v>8.0</v>
      </c>
      <c r="W300" s="42">
        <v>0.0</v>
      </c>
      <c r="X300" s="42">
        <v>100.0</v>
      </c>
      <c r="Y300" s="42">
        <v>0.0</v>
      </c>
    </row>
    <row r="301" ht="22.5" customHeight="1">
      <c r="A301" s="41"/>
      <c r="B301" s="41">
        <v>5399.0</v>
      </c>
      <c r="C301" s="41" t="s">
        <v>271</v>
      </c>
      <c r="D301" s="41" t="s">
        <v>2432</v>
      </c>
      <c r="E301" s="41" t="s">
        <v>2432</v>
      </c>
      <c r="F301" s="41" t="s">
        <v>271</v>
      </c>
      <c r="G301" s="41">
        <v>336.0</v>
      </c>
      <c r="H301" s="41" t="s">
        <v>2433</v>
      </c>
      <c r="I301" s="41"/>
      <c r="J301" s="41" t="s">
        <v>2433</v>
      </c>
      <c r="K301" s="42" t="s">
        <v>2434</v>
      </c>
      <c r="L301" s="42" t="s">
        <v>2435</v>
      </c>
      <c r="N301" s="42">
        <v>0.0</v>
      </c>
      <c r="O301" s="42">
        <v>0.0</v>
      </c>
      <c r="P301" s="42">
        <v>2.0</v>
      </c>
      <c r="Q301" s="42">
        <v>0.0</v>
      </c>
      <c r="R301" s="42">
        <v>1.0</v>
      </c>
      <c r="S301" s="42">
        <v>0.0</v>
      </c>
      <c r="T301" s="42" t="s">
        <v>2436</v>
      </c>
      <c r="U301" s="42">
        <v>0.0</v>
      </c>
      <c r="V301" s="42">
        <v>0.0</v>
      </c>
      <c r="W301" s="42">
        <v>0.0</v>
      </c>
      <c r="X301" s="42">
        <v>100.0</v>
      </c>
      <c r="Y301" s="42">
        <v>0.0</v>
      </c>
    </row>
    <row r="302" ht="22.5" customHeight="1">
      <c r="A302" s="41"/>
      <c r="B302" s="41">
        <v>5400.0</v>
      </c>
      <c r="C302" s="41" t="s">
        <v>271</v>
      </c>
      <c r="D302" s="41" t="s">
        <v>2432</v>
      </c>
      <c r="E302" s="41" t="s">
        <v>2432</v>
      </c>
      <c r="F302" s="41" t="s">
        <v>271</v>
      </c>
      <c r="G302" s="41">
        <v>337.0</v>
      </c>
      <c r="H302" s="41" t="s">
        <v>2437</v>
      </c>
      <c r="I302" s="41"/>
      <c r="J302" s="41" t="s">
        <v>2437</v>
      </c>
      <c r="K302" s="42" t="s">
        <v>2438</v>
      </c>
      <c r="L302" s="42" t="s">
        <v>2439</v>
      </c>
      <c r="N302" s="42">
        <v>0.0</v>
      </c>
      <c r="O302" s="42">
        <v>0.0</v>
      </c>
      <c r="P302" s="42">
        <v>2.0</v>
      </c>
      <c r="Q302" s="42">
        <v>0.0</v>
      </c>
      <c r="R302" s="42">
        <v>1.0</v>
      </c>
      <c r="S302" s="42">
        <v>0.0</v>
      </c>
      <c r="T302" s="42" t="s">
        <v>2440</v>
      </c>
      <c r="U302" s="42">
        <v>0.0</v>
      </c>
      <c r="V302" s="42">
        <v>0.0</v>
      </c>
      <c r="W302" s="42">
        <v>0.0</v>
      </c>
      <c r="X302" s="42">
        <v>100.0</v>
      </c>
      <c r="Y302" s="42">
        <v>0.0</v>
      </c>
    </row>
    <row r="303" ht="22.5" customHeight="1">
      <c r="A303" s="41"/>
      <c r="B303" s="41">
        <v>5401.0</v>
      </c>
      <c r="C303" s="41" t="s">
        <v>271</v>
      </c>
      <c r="D303" s="41" t="s">
        <v>2441</v>
      </c>
      <c r="E303" s="41" t="s">
        <v>2441</v>
      </c>
      <c r="F303" s="41" t="s">
        <v>271</v>
      </c>
      <c r="G303" s="41">
        <v>338.0</v>
      </c>
      <c r="H303" s="41" t="s">
        <v>2442</v>
      </c>
      <c r="I303" s="41"/>
      <c r="J303" s="41" t="s">
        <v>2442</v>
      </c>
      <c r="K303" s="42" t="s">
        <v>2443</v>
      </c>
      <c r="L303" s="42" t="s">
        <v>2444</v>
      </c>
      <c r="M303" s="42" t="s">
        <v>1043</v>
      </c>
      <c r="N303" s="42">
        <v>0.0</v>
      </c>
      <c r="O303" s="42">
        <v>1.0</v>
      </c>
      <c r="P303" s="42">
        <v>2.0</v>
      </c>
      <c r="Q303" s="42">
        <v>0.0</v>
      </c>
      <c r="R303" s="42">
        <v>1.0</v>
      </c>
      <c r="S303" s="42">
        <v>0.0</v>
      </c>
      <c r="T303" s="42" t="s">
        <v>2445</v>
      </c>
      <c r="U303" s="42">
        <v>1.0</v>
      </c>
      <c r="V303" s="42">
        <v>8.0</v>
      </c>
      <c r="W303" s="42">
        <v>0.0</v>
      </c>
      <c r="X303" s="42">
        <v>100.0</v>
      </c>
      <c r="Y303" s="42">
        <v>0.0</v>
      </c>
    </row>
    <row r="304" ht="22.5" customHeight="1">
      <c r="A304" s="41"/>
      <c r="B304" s="41">
        <v>5402.0</v>
      </c>
      <c r="C304" s="41" t="s">
        <v>271</v>
      </c>
      <c r="D304" s="41" t="s">
        <v>2446</v>
      </c>
      <c r="E304" s="41" t="s">
        <v>2446</v>
      </c>
      <c r="F304" s="41" t="s">
        <v>271</v>
      </c>
      <c r="G304" s="41">
        <v>339.0</v>
      </c>
      <c r="H304" s="41" t="s">
        <v>2447</v>
      </c>
      <c r="I304" s="41"/>
      <c r="J304" s="41" t="s">
        <v>2447</v>
      </c>
      <c r="K304" s="42" t="s">
        <v>2448</v>
      </c>
      <c r="L304" s="42" t="s">
        <v>2449</v>
      </c>
      <c r="N304" s="42">
        <v>0.0</v>
      </c>
      <c r="O304" s="42">
        <v>0.0</v>
      </c>
      <c r="P304" s="42">
        <v>2.0</v>
      </c>
      <c r="Q304" s="42">
        <v>0.0</v>
      </c>
      <c r="R304" s="42">
        <v>0.0</v>
      </c>
      <c r="S304" s="42">
        <v>0.0</v>
      </c>
      <c r="T304" s="42" t="s">
        <v>2450</v>
      </c>
      <c r="U304" s="42">
        <v>1.0</v>
      </c>
      <c r="V304" s="42">
        <v>0.0</v>
      </c>
      <c r="W304" s="42">
        <v>0.0</v>
      </c>
      <c r="X304" s="42">
        <v>100.0</v>
      </c>
      <c r="Y304" s="42">
        <v>0.0</v>
      </c>
    </row>
    <row r="305" ht="22.5" customHeight="1">
      <c r="A305" s="41"/>
      <c r="B305" s="41">
        <v>5403.0</v>
      </c>
      <c r="C305" s="41" t="s">
        <v>271</v>
      </c>
      <c r="D305" s="41" t="s">
        <v>2451</v>
      </c>
      <c r="E305" s="41" t="s">
        <v>2451</v>
      </c>
      <c r="F305" s="41" t="s">
        <v>271</v>
      </c>
      <c r="G305" s="41">
        <v>340.0</v>
      </c>
      <c r="H305" s="41" t="s">
        <v>2452</v>
      </c>
      <c r="I305" s="41"/>
      <c r="J305" s="41" t="s">
        <v>2452</v>
      </c>
      <c r="K305" s="42" t="s">
        <v>2453</v>
      </c>
      <c r="L305" s="42" t="s">
        <v>2454</v>
      </c>
      <c r="N305" s="42">
        <v>0.0</v>
      </c>
      <c r="O305" s="42">
        <v>0.0</v>
      </c>
      <c r="P305" s="42">
        <v>2.0</v>
      </c>
      <c r="Q305" s="42">
        <v>0.0</v>
      </c>
      <c r="R305" s="42">
        <v>0.0</v>
      </c>
      <c r="S305" s="42">
        <v>0.0</v>
      </c>
      <c r="T305" s="42" t="s">
        <v>2455</v>
      </c>
      <c r="U305" s="42">
        <v>1.0</v>
      </c>
      <c r="V305" s="42">
        <v>0.0</v>
      </c>
      <c r="W305" s="42">
        <v>0.0</v>
      </c>
      <c r="X305" s="42">
        <v>100.0</v>
      </c>
      <c r="Y305" s="42">
        <v>0.0</v>
      </c>
    </row>
    <row r="306" ht="22.5" customHeight="1">
      <c r="A306" s="41"/>
      <c r="B306" s="41">
        <v>5404.0</v>
      </c>
      <c r="C306" s="41" t="s">
        <v>271</v>
      </c>
      <c r="D306" s="41" t="s">
        <v>2456</v>
      </c>
      <c r="E306" s="41" t="s">
        <v>2456</v>
      </c>
      <c r="F306" s="41" t="s">
        <v>271</v>
      </c>
      <c r="G306" s="41">
        <v>341.0</v>
      </c>
      <c r="H306" s="41" t="s">
        <v>2457</v>
      </c>
      <c r="I306" s="41"/>
      <c r="J306" s="41" t="s">
        <v>2457</v>
      </c>
      <c r="K306" s="42" t="s">
        <v>2458</v>
      </c>
      <c r="L306" s="42" t="s">
        <v>2459</v>
      </c>
      <c r="M306" s="42" t="s">
        <v>1028</v>
      </c>
      <c r="N306" s="42">
        <v>0.0</v>
      </c>
      <c r="O306" s="42">
        <v>1.0</v>
      </c>
      <c r="P306" s="42">
        <v>2.0</v>
      </c>
      <c r="Q306" s="42">
        <v>0.0</v>
      </c>
      <c r="R306" s="42">
        <v>1.0</v>
      </c>
      <c r="S306" s="42">
        <v>0.0</v>
      </c>
      <c r="T306" s="42" t="s">
        <v>2460</v>
      </c>
      <c r="U306" s="42">
        <v>1.0</v>
      </c>
      <c r="V306" s="42">
        <v>8.0</v>
      </c>
      <c r="W306" s="42">
        <v>0.0</v>
      </c>
      <c r="X306" s="42">
        <v>100.0</v>
      </c>
      <c r="Y306" s="42">
        <v>0.0</v>
      </c>
    </row>
    <row r="307" ht="22.5" customHeight="1">
      <c r="A307" s="41"/>
      <c r="B307" s="41">
        <v>5405.0</v>
      </c>
      <c r="C307" s="41" t="s">
        <v>271</v>
      </c>
      <c r="D307" s="41" t="s">
        <v>2461</v>
      </c>
      <c r="E307" s="41" t="s">
        <v>2461</v>
      </c>
      <c r="F307" s="41" t="s">
        <v>271</v>
      </c>
      <c r="G307" s="41">
        <v>342.0</v>
      </c>
      <c r="H307" s="41" t="s">
        <v>2462</v>
      </c>
      <c r="I307" s="41"/>
      <c r="J307" s="41" t="s">
        <v>2462</v>
      </c>
      <c r="K307" s="42" t="s">
        <v>2463</v>
      </c>
      <c r="L307" s="42" t="s">
        <v>2464</v>
      </c>
      <c r="N307" s="42">
        <v>0.0</v>
      </c>
      <c r="O307" s="42">
        <v>0.0</v>
      </c>
      <c r="P307" s="42">
        <v>2.0</v>
      </c>
      <c r="Q307" s="42">
        <v>0.0</v>
      </c>
      <c r="R307" s="42">
        <v>0.0</v>
      </c>
      <c r="S307" s="42">
        <v>0.0</v>
      </c>
      <c r="T307" s="42" t="s">
        <v>2465</v>
      </c>
      <c r="U307" s="42">
        <v>1.0</v>
      </c>
      <c r="V307" s="42">
        <v>0.0</v>
      </c>
      <c r="W307" s="42">
        <v>0.0</v>
      </c>
      <c r="X307" s="42">
        <v>100.0</v>
      </c>
      <c r="Y307" s="42">
        <v>0.0</v>
      </c>
    </row>
    <row r="308" ht="22.5" customHeight="1">
      <c r="A308" s="41"/>
      <c r="B308" s="41">
        <v>5406.0</v>
      </c>
      <c r="C308" s="41" t="s">
        <v>271</v>
      </c>
      <c r="D308" s="41" t="s">
        <v>2466</v>
      </c>
      <c r="E308" s="41" t="s">
        <v>2466</v>
      </c>
      <c r="F308" s="41" t="s">
        <v>271</v>
      </c>
      <c r="G308" s="41">
        <v>343.0</v>
      </c>
      <c r="H308" s="41" t="s">
        <v>2466</v>
      </c>
      <c r="I308" s="41"/>
      <c r="J308" s="41" t="s">
        <v>2466</v>
      </c>
      <c r="K308" s="42" t="s">
        <v>2467</v>
      </c>
      <c r="L308" s="42" t="s">
        <v>2468</v>
      </c>
      <c r="N308" s="42">
        <v>0.0</v>
      </c>
      <c r="O308" s="42">
        <v>0.0</v>
      </c>
      <c r="P308" s="42">
        <v>2.0</v>
      </c>
      <c r="Q308" s="42">
        <v>0.0</v>
      </c>
      <c r="R308" s="42">
        <v>0.0</v>
      </c>
      <c r="S308" s="42">
        <v>1.0</v>
      </c>
      <c r="T308" s="42" t="s">
        <v>2469</v>
      </c>
      <c r="U308" s="42">
        <v>0.0</v>
      </c>
      <c r="V308" s="42">
        <v>8.0</v>
      </c>
      <c r="W308" s="42">
        <v>0.0</v>
      </c>
      <c r="X308" s="42">
        <v>100.0</v>
      </c>
      <c r="Y308" s="42">
        <v>0.0</v>
      </c>
    </row>
    <row r="309" ht="22.5" customHeight="1">
      <c r="A309" s="41"/>
      <c r="B309" s="41">
        <v>5407.0</v>
      </c>
      <c r="C309" s="41" t="s">
        <v>271</v>
      </c>
      <c r="D309" s="41" t="s">
        <v>2470</v>
      </c>
      <c r="E309" s="41" t="s">
        <v>2470</v>
      </c>
      <c r="F309" s="41" t="s">
        <v>271</v>
      </c>
      <c r="G309" s="41">
        <v>344.0</v>
      </c>
      <c r="H309" s="41" t="s">
        <v>2471</v>
      </c>
      <c r="I309" s="41"/>
      <c r="J309" s="41" t="s">
        <v>2471</v>
      </c>
      <c r="K309" s="42" t="s">
        <v>2472</v>
      </c>
      <c r="L309" s="42" t="s">
        <v>2473</v>
      </c>
      <c r="N309" s="42">
        <v>0.0</v>
      </c>
      <c r="O309" s="42">
        <v>0.0</v>
      </c>
      <c r="P309" s="42">
        <v>2.0</v>
      </c>
      <c r="Q309" s="42">
        <v>0.0</v>
      </c>
      <c r="R309" s="42">
        <v>0.0</v>
      </c>
      <c r="S309" s="42">
        <v>0.0</v>
      </c>
      <c r="T309" s="42" t="s">
        <v>2474</v>
      </c>
      <c r="U309" s="42">
        <v>1.0</v>
      </c>
      <c r="V309" s="42">
        <v>0.0</v>
      </c>
      <c r="W309" s="42">
        <v>0.0</v>
      </c>
      <c r="X309" s="42">
        <v>100.0</v>
      </c>
      <c r="Y309" s="42">
        <v>0.0</v>
      </c>
    </row>
    <row r="310" ht="22.5" customHeight="1">
      <c r="A310" s="41"/>
      <c r="B310" s="41">
        <v>5408.0</v>
      </c>
      <c r="C310" s="41" t="s">
        <v>271</v>
      </c>
      <c r="D310" s="41" t="s">
        <v>2475</v>
      </c>
      <c r="E310" s="41" t="s">
        <v>2475</v>
      </c>
      <c r="F310" s="41" t="s">
        <v>271</v>
      </c>
      <c r="G310" s="41">
        <v>345.0</v>
      </c>
      <c r="H310" s="41" t="s">
        <v>2476</v>
      </c>
      <c r="I310" s="41"/>
      <c r="J310" s="41" t="s">
        <v>2476</v>
      </c>
      <c r="K310" s="42" t="s">
        <v>2477</v>
      </c>
      <c r="L310" s="42" t="s">
        <v>2478</v>
      </c>
      <c r="N310" s="42">
        <v>0.0</v>
      </c>
      <c r="O310" s="42">
        <v>0.0</v>
      </c>
      <c r="P310" s="42">
        <v>2.0</v>
      </c>
      <c r="Q310" s="42">
        <v>0.0</v>
      </c>
      <c r="R310" s="42">
        <v>0.0</v>
      </c>
      <c r="S310" s="42">
        <v>0.0</v>
      </c>
      <c r="T310" s="42" t="s">
        <v>2479</v>
      </c>
      <c r="U310" s="42">
        <v>1.0</v>
      </c>
      <c r="V310" s="42">
        <v>0.0</v>
      </c>
      <c r="W310" s="42">
        <v>0.0</v>
      </c>
      <c r="X310" s="42">
        <v>100.0</v>
      </c>
      <c r="Y310" s="42">
        <v>0.0</v>
      </c>
    </row>
    <row r="311" ht="22.5" customHeight="1">
      <c r="A311" s="41"/>
      <c r="B311" s="41">
        <v>5409.0</v>
      </c>
      <c r="C311" s="41" t="s">
        <v>271</v>
      </c>
      <c r="D311" s="41" t="s">
        <v>2480</v>
      </c>
      <c r="E311" s="41" t="s">
        <v>2480</v>
      </c>
      <c r="F311" s="41" t="s">
        <v>271</v>
      </c>
      <c r="G311" s="41">
        <v>346.0</v>
      </c>
      <c r="H311" s="41" t="s">
        <v>2481</v>
      </c>
      <c r="I311" s="41"/>
      <c r="J311" s="41" t="s">
        <v>2481</v>
      </c>
      <c r="K311" s="42" t="s">
        <v>2482</v>
      </c>
      <c r="L311" s="42" t="s">
        <v>2483</v>
      </c>
      <c r="M311" s="42" t="s">
        <v>1043</v>
      </c>
      <c r="N311" s="42">
        <v>0.0</v>
      </c>
      <c r="O311" s="42">
        <v>1.0</v>
      </c>
      <c r="P311" s="42">
        <v>2.0</v>
      </c>
      <c r="Q311" s="42">
        <v>0.0</v>
      </c>
      <c r="R311" s="42">
        <v>1.0</v>
      </c>
      <c r="S311" s="42">
        <v>0.0</v>
      </c>
      <c r="T311" s="42" t="s">
        <v>2484</v>
      </c>
      <c r="U311" s="42">
        <v>1.0</v>
      </c>
      <c r="V311" s="42">
        <v>8.0</v>
      </c>
      <c r="W311" s="42">
        <v>0.0</v>
      </c>
      <c r="X311" s="42">
        <v>100.0</v>
      </c>
      <c r="Y311" s="42">
        <v>0.0</v>
      </c>
    </row>
    <row r="312" ht="22.5" customHeight="1">
      <c r="A312" s="41"/>
      <c r="B312" s="41">
        <v>5410.0</v>
      </c>
      <c r="C312" s="41" t="s">
        <v>271</v>
      </c>
      <c r="D312" s="41" t="s">
        <v>2485</v>
      </c>
      <c r="E312" s="41" t="s">
        <v>2485</v>
      </c>
      <c r="F312" s="41" t="s">
        <v>271</v>
      </c>
      <c r="G312" s="41">
        <v>347.0</v>
      </c>
      <c r="H312" s="41" t="s">
        <v>2485</v>
      </c>
      <c r="I312" s="41"/>
      <c r="J312" s="41" t="s">
        <v>2485</v>
      </c>
      <c r="K312" s="42" t="s">
        <v>2486</v>
      </c>
      <c r="L312" s="42" t="s">
        <v>2487</v>
      </c>
      <c r="N312" s="42">
        <v>0.0</v>
      </c>
      <c r="O312" s="42">
        <v>0.0</v>
      </c>
      <c r="P312" s="42">
        <v>2.0</v>
      </c>
      <c r="Q312" s="42">
        <v>0.0</v>
      </c>
      <c r="R312" s="42">
        <v>0.0</v>
      </c>
      <c r="S312" s="42">
        <v>1.0</v>
      </c>
      <c r="T312" s="42" t="s">
        <v>2488</v>
      </c>
      <c r="U312" s="42">
        <v>0.0</v>
      </c>
      <c r="V312" s="42">
        <v>8.0</v>
      </c>
      <c r="W312" s="42">
        <v>0.0</v>
      </c>
      <c r="X312" s="42">
        <v>100.0</v>
      </c>
      <c r="Y312" s="42">
        <v>0.0</v>
      </c>
    </row>
    <row r="313" ht="22.5" customHeight="1">
      <c r="A313" s="41"/>
      <c r="B313" s="41">
        <v>5411.0</v>
      </c>
      <c r="C313" s="41" t="s">
        <v>271</v>
      </c>
      <c r="D313" s="41" t="s">
        <v>2489</v>
      </c>
      <c r="E313" s="41" t="s">
        <v>2489</v>
      </c>
      <c r="F313" s="41" t="s">
        <v>271</v>
      </c>
      <c r="G313" s="41">
        <v>348.0</v>
      </c>
      <c r="H313" s="41" t="s">
        <v>2489</v>
      </c>
      <c r="I313" s="41"/>
      <c r="J313" s="41" t="s">
        <v>2489</v>
      </c>
      <c r="K313" s="42" t="s">
        <v>2490</v>
      </c>
      <c r="L313" s="42" t="s">
        <v>2491</v>
      </c>
      <c r="N313" s="42">
        <v>0.0</v>
      </c>
      <c r="O313" s="42">
        <v>0.0</v>
      </c>
      <c r="P313" s="42">
        <v>2.0</v>
      </c>
      <c r="Q313" s="42">
        <v>0.0</v>
      </c>
      <c r="R313" s="42">
        <v>0.0</v>
      </c>
      <c r="S313" s="42">
        <v>1.0</v>
      </c>
      <c r="T313" s="42" t="s">
        <v>2492</v>
      </c>
      <c r="U313" s="42">
        <v>0.0</v>
      </c>
      <c r="V313" s="42">
        <v>8.0</v>
      </c>
      <c r="W313" s="42">
        <v>0.0</v>
      </c>
      <c r="X313" s="42">
        <v>100.0</v>
      </c>
      <c r="Y313" s="42">
        <v>0.0</v>
      </c>
    </row>
    <row r="314" ht="22.5" customHeight="1">
      <c r="A314" s="41"/>
      <c r="B314" s="41">
        <v>5412.0</v>
      </c>
      <c r="C314" s="41" t="s">
        <v>271</v>
      </c>
      <c r="D314" s="41" t="s">
        <v>2493</v>
      </c>
      <c r="E314" s="41" t="s">
        <v>2493</v>
      </c>
      <c r="F314" s="41" t="s">
        <v>271</v>
      </c>
      <c r="G314" s="41">
        <v>349.0</v>
      </c>
      <c r="H314" s="41" t="s">
        <v>2493</v>
      </c>
      <c r="I314" s="41"/>
      <c r="J314" s="41" t="s">
        <v>2493</v>
      </c>
      <c r="K314" s="42" t="s">
        <v>2494</v>
      </c>
      <c r="L314" s="42" t="s">
        <v>2495</v>
      </c>
      <c r="N314" s="42">
        <v>0.0</v>
      </c>
      <c r="O314" s="42">
        <v>0.0</v>
      </c>
      <c r="P314" s="42">
        <v>2.0</v>
      </c>
      <c r="Q314" s="42">
        <v>0.0</v>
      </c>
      <c r="R314" s="42">
        <v>0.0</v>
      </c>
      <c r="S314" s="42">
        <v>1.0</v>
      </c>
      <c r="T314" s="42" t="s">
        <v>2496</v>
      </c>
      <c r="U314" s="42">
        <v>0.0</v>
      </c>
      <c r="V314" s="42">
        <v>8.0</v>
      </c>
      <c r="W314" s="42">
        <v>0.0</v>
      </c>
      <c r="X314" s="42">
        <v>100.0</v>
      </c>
      <c r="Y314" s="42">
        <v>0.0</v>
      </c>
    </row>
    <row r="315" ht="22.5" customHeight="1">
      <c r="A315" s="41"/>
      <c r="B315" s="41">
        <v>5413.0</v>
      </c>
      <c r="C315" s="41" t="s">
        <v>271</v>
      </c>
      <c r="D315" s="41" t="s">
        <v>2497</v>
      </c>
      <c r="E315" s="41" t="s">
        <v>2497</v>
      </c>
      <c r="F315" s="41" t="s">
        <v>271</v>
      </c>
      <c r="G315" s="41">
        <v>350.0</v>
      </c>
      <c r="H315" s="41" t="s">
        <v>2497</v>
      </c>
      <c r="I315" s="41"/>
      <c r="J315" s="41" t="s">
        <v>2497</v>
      </c>
      <c r="K315" s="42" t="s">
        <v>2498</v>
      </c>
      <c r="L315" s="42" t="s">
        <v>2499</v>
      </c>
      <c r="N315" s="42">
        <v>0.0</v>
      </c>
      <c r="O315" s="42">
        <v>0.0</v>
      </c>
      <c r="P315" s="42">
        <v>2.0</v>
      </c>
      <c r="Q315" s="42">
        <v>0.0</v>
      </c>
      <c r="R315" s="42">
        <v>0.0</v>
      </c>
      <c r="S315" s="42">
        <v>1.0</v>
      </c>
      <c r="T315" s="42" t="s">
        <v>2500</v>
      </c>
      <c r="U315" s="42">
        <v>0.0</v>
      </c>
      <c r="V315" s="42">
        <v>8.0</v>
      </c>
      <c r="W315" s="42">
        <v>0.0</v>
      </c>
      <c r="X315" s="42">
        <v>100.0</v>
      </c>
      <c r="Y315" s="42">
        <v>0.0</v>
      </c>
    </row>
    <row r="316" ht="22.5" customHeight="1">
      <c r="A316" s="41"/>
      <c r="B316" s="41">
        <v>5414.0</v>
      </c>
      <c r="C316" s="41" t="s">
        <v>271</v>
      </c>
      <c r="D316" s="41" t="s">
        <v>2501</v>
      </c>
      <c r="E316" s="41" t="s">
        <v>2501</v>
      </c>
      <c r="F316" s="41" t="s">
        <v>271</v>
      </c>
      <c r="G316" s="41">
        <v>351.0</v>
      </c>
      <c r="H316" s="41" t="s">
        <v>2501</v>
      </c>
      <c r="I316" s="41"/>
      <c r="J316" s="41" t="s">
        <v>2501</v>
      </c>
      <c r="K316" s="42" t="s">
        <v>2502</v>
      </c>
      <c r="L316" s="42" t="s">
        <v>2503</v>
      </c>
      <c r="N316" s="42">
        <v>0.0</v>
      </c>
      <c r="O316" s="42">
        <v>0.0</v>
      </c>
      <c r="P316" s="42">
        <v>2.0</v>
      </c>
      <c r="Q316" s="42">
        <v>0.0</v>
      </c>
      <c r="R316" s="42">
        <v>0.0</v>
      </c>
      <c r="S316" s="42">
        <v>1.0</v>
      </c>
      <c r="T316" s="42" t="s">
        <v>2504</v>
      </c>
      <c r="U316" s="42">
        <v>0.0</v>
      </c>
      <c r="V316" s="42">
        <v>8.0</v>
      </c>
      <c r="W316" s="42">
        <v>0.0</v>
      </c>
      <c r="X316" s="42">
        <v>100.0</v>
      </c>
      <c r="Y316" s="42">
        <v>0.0</v>
      </c>
    </row>
    <row r="317" ht="22.5" customHeight="1">
      <c r="A317" s="41"/>
      <c r="B317" s="41">
        <v>5415.0</v>
      </c>
      <c r="C317" s="41" t="s">
        <v>271</v>
      </c>
      <c r="D317" s="41" t="s">
        <v>2505</v>
      </c>
      <c r="E317" s="41" t="s">
        <v>2505</v>
      </c>
      <c r="F317" s="41" t="s">
        <v>271</v>
      </c>
      <c r="G317" s="41">
        <v>352.0</v>
      </c>
      <c r="H317" s="41" t="s">
        <v>2506</v>
      </c>
      <c r="I317" s="41"/>
      <c r="J317" s="41" t="s">
        <v>2506</v>
      </c>
      <c r="K317" s="42" t="s">
        <v>2507</v>
      </c>
      <c r="L317" s="42" t="s">
        <v>2508</v>
      </c>
      <c r="M317" s="42" t="s">
        <v>1082</v>
      </c>
      <c r="N317" s="42">
        <v>0.0</v>
      </c>
      <c r="O317" s="42">
        <v>1.0</v>
      </c>
      <c r="P317" s="42">
        <v>2.0</v>
      </c>
      <c r="Q317" s="42">
        <v>0.0</v>
      </c>
      <c r="R317" s="42">
        <v>11.0</v>
      </c>
      <c r="S317" s="42">
        <v>0.0</v>
      </c>
      <c r="T317" s="42" t="s">
        <v>2509</v>
      </c>
      <c r="U317" s="42">
        <v>1.0</v>
      </c>
      <c r="V317" s="42">
        <v>7.0</v>
      </c>
      <c r="W317" s="42">
        <v>0.0</v>
      </c>
      <c r="X317" s="42">
        <v>100.0</v>
      </c>
      <c r="Y317" s="42">
        <v>0.0</v>
      </c>
    </row>
    <row r="318" ht="22.5" customHeight="1">
      <c r="A318" s="41"/>
      <c r="B318" s="41">
        <v>5416.0</v>
      </c>
      <c r="C318" s="41" t="s">
        <v>271</v>
      </c>
      <c r="D318" s="41" t="s">
        <v>2510</v>
      </c>
      <c r="E318" s="41" t="s">
        <v>2510</v>
      </c>
      <c r="F318" s="41" t="s">
        <v>271</v>
      </c>
      <c r="G318" s="41">
        <v>353.0</v>
      </c>
      <c r="H318" s="41" t="s">
        <v>2510</v>
      </c>
      <c r="I318" s="41"/>
      <c r="J318" s="41" t="s">
        <v>2510</v>
      </c>
      <c r="K318" s="42" t="s">
        <v>2511</v>
      </c>
      <c r="L318" s="42" t="s">
        <v>2512</v>
      </c>
      <c r="N318" s="42">
        <v>0.0</v>
      </c>
      <c r="O318" s="42">
        <v>0.0</v>
      </c>
      <c r="P318" s="42">
        <v>2.0</v>
      </c>
      <c r="Q318" s="42">
        <v>0.0</v>
      </c>
      <c r="R318" s="42">
        <v>0.0</v>
      </c>
      <c r="S318" s="42">
        <v>1.0</v>
      </c>
      <c r="T318" s="42" t="s">
        <v>2513</v>
      </c>
      <c r="U318" s="42">
        <v>1.0</v>
      </c>
      <c r="V318" s="42">
        <v>8.0</v>
      </c>
      <c r="W318" s="42">
        <v>0.0</v>
      </c>
      <c r="X318" s="42">
        <v>100.0</v>
      </c>
      <c r="Y318" s="42">
        <v>0.0</v>
      </c>
    </row>
    <row r="319" ht="22.5" customHeight="1">
      <c r="A319" s="41"/>
      <c r="B319" s="41">
        <v>5417.0</v>
      </c>
      <c r="C319" s="41" t="s">
        <v>271</v>
      </c>
      <c r="D319" s="41" t="s">
        <v>2514</v>
      </c>
      <c r="E319" s="41" t="s">
        <v>2514</v>
      </c>
      <c r="F319" s="41" t="s">
        <v>271</v>
      </c>
      <c r="G319" s="41">
        <v>354.0</v>
      </c>
      <c r="H319" s="41" t="s">
        <v>2514</v>
      </c>
      <c r="I319" s="41"/>
      <c r="J319" s="41" t="s">
        <v>2514</v>
      </c>
      <c r="K319" s="42" t="s">
        <v>2515</v>
      </c>
      <c r="L319" s="42" t="s">
        <v>2516</v>
      </c>
      <c r="N319" s="42">
        <v>0.0</v>
      </c>
      <c r="O319" s="42">
        <v>0.0</v>
      </c>
      <c r="P319" s="42">
        <v>2.0</v>
      </c>
      <c r="Q319" s="42">
        <v>0.0</v>
      </c>
      <c r="R319" s="42">
        <v>0.0</v>
      </c>
      <c r="S319" s="42">
        <v>1.0</v>
      </c>
      <c r="T319" s="42" t="s">
        <v>2517</v>
      </c>
      <c r="U319" s="42">
        <v>0.0</v>
      </c>
      <c r="V319" s="42">
        <v>8.0</v>
      </c>
      <c r="W319" s="42">
        <v>0.0</v>
      </c>
      <c r="X319" s="42">
        <v>100.0</v>
      </c>
      <c r="Y319" s="42">
        <v>0.0</v>
      </c>
    </row>
    <row r="320" ht="22.5" customHeight="1">
      <c r="A320" s="41"/>
      <c r="B320" s="41">
        <v>5418.0</v>
      </c>
      <c r="C320" s="41" t="s">
        <v>271</v>
      </c>
      <c r="D320" s="41" t="s">
        <v>2518</v>
      </c>
      <c r="E320" s="41" t="s">
        <v>2518</v>
      </c>
      <c r="F320" s="41" t="s">
        <v>271</v>
      </c>
      <c r="G320" s="41">
        <v>355.0</v>
      </c>
      <c r="H320" s="41" t="s">
        <v>1540</v>
      </c>
      <c r="I320" s="41"/>
      <c r="J320" s="41" t="s">
        <v>1540</v>
      </c>
      <c r="K320" s="42" t="s">
        <v>1541</v>
      </c>
      <c r="L320" s="42" t="s">
        <v>2519</v>
      </c>
      <c r="M320" s="42" t="s">
        <v>1028</v>
      </c>
      <c r="N320" s="42">
        <v>0.0</v>
      </c>
      <c r="O320" s="42">
        <v>1.0</v>
      </c>
      <c r="P320" s="42">
        <v>2.0</v>
      </c>
      <c r="Q320" s="42">
        <v>0.0</v>
      </c>
      <c r="R320" s="42">
        <v>1.0</v>
      </c>
      <c r="S320" s="42">
        <v>0.0</v>
      </c>
      <c r="T320" s="42" t="s">
        <v>2520</v>
      </c>
      <c r="U320" s="42">
        <v>1.0</v>
      </c>
      <c r="V320" s="42">
        <v>3.0</v>
      </c>
      <c r="W320" s="42">
        <v>0.0</v>
      </c>
      <c r="X320" s="42">
        <v>100.0</v>
      </c>
      <c r="Y320" s="42">
        <v>0.0</v>
      </c>
    </row>
    <row r="321" ht="22.5" customHeight="1">
      <c r="A321" s="41"/>
      <c r="B321" s="41">
        <v>5419.0</v>
      </c>
      <c r="C321" s="41" t="s">
        <v>271</v>
      </c>
      <c r="D321" s="41" t="s">
        <v>2521</v>
      </c>
      <c r="E321" s="41" t="s">
        <v>2521</v>
      </c>
      <c r="F321" s="41" t="s">
        <v>271</v>
      </c>
      <c r="G321" s="41">
        <v>356.0</v>
      </c>
      <c r="H321" s="41" t="s">
        <v>2521</v>
      </c>
      <c r="I321" s="41"/>
      <c r="J321" s="41" t="s">
        <v>2521</v>
      </c>
      <c r="K321" s="42" t="s">
        <v>2522</v>
      </c>
      <c r="L321" s="42" t="s">
        <v>2523</v>
      </c>
      <c r="N321" s="42">
        <v>0.0</v>
      </c>
      <c r="O321" s="42">
        <v>0.0</v>
      </c>
      <c r="P321" s="42">
        <v>2.0</v>
      </c>
      <c r="Q321" s="42">
        <v>0.0</v>
      </c>
      <c r="R321" s="42">
        <v>0.0</v>
      </c>
      <c r="S321" s="42">
        <v>1.0</v>
      </c>
      <c r="T321" s="42" t="s">
        <v>2524</v>
      </c>
      <c r="U321" s="42">
        <v>0.0</v>
      </c>
      <c r="V321" s="42">
        <v>8.0</v>
      </c>
      <c r="W321" s="42">
        <v>0.0</v>
      </c>
      <c r="X321" s="42">
        <v>100.0</v>
      </c>
      <c r="Y321" s="42">
        <v>0.0</v>
      </c>
    </row>
    <row r="322" ht="22.5" customHeight="1">
      <c r="A322" s="41"/>
      <c r="B322" s="41">
        <v>5420.0</v>
      </c>
      <c r="C322" s="41" t="s">
        <v>271</v>
      </c>
      <c r="D322" s="41" t="s">
        <v>2525</v>
      </c>
      <c r="E322" s="41" t="s">
        <v>2525</v>
      </c>
      <c r="F322" s="41" t="s">
        <v>271</v>
      </c>
      <c r="G322" s="41">
        <v>357.0</v>
      </c>
      <c r="H322" s="41" t="s">
        <v>2525</v>
      </c>
      <c r="I322" s="41"/>
      <c r="J322" s="41" t="s">
        <v>2525</v>
      </c>
      <c r="K322" s="42" t="s">
        <v>2526</v>
      </c>
      <c r="L322" s="42" t="s">
        <v>2527</v>
      </c>
      <c r="N322" s="42">
        <v>0.0</v>
      </c>
      <c r="O322" s="42">
        <v>0.0</v>
      </c>
      <c r="P322" s="42">
        <v>2.0</v>
      </c>
      <c r="Q322" s="42">
        <v>0.0</v>
      </c>
      <c r="R322" s="42">
        <v>0.0</v>
      </c>
      <c r="S322" s="42">
        <v>1.0</v>
      </c>
      <c r="T322" s="42" t="s">
        <v>2528</v>
      </c>
      <c r="U322" s="42">
        <v>0.0</v>
      </c>
      <c r="V322" s="42">
        <v>8.0</v>
      </c>
      <c r="W322" s="42">
        <v>0.0</v>
      </c>
      <c r="X322" s="42">
        <v>100.0</v>
      </c>
      <c r="Y322" s="42">
        <v>0.0</v>
      </c>
    </row>
    <row r="323" ht="22.5" customHeight="1">
      <c r="A323" s="41"/>
      <c r="B323" s="41">
        <v>5421.0</v>
      </c>
      <c r="C323" s="41" t="s">
        <v>271</v>
      </c>
      <c r="D323" s="41" t="s">
        <v>2529</v>
      </c>
      <c r="E323" s="41" t="s">
        <v>2529</v>
      </c>
      <c r="F323" s="41" t="s">
        <v>271</v>
      </c>
      <c r="G323" s="41">
        <v>358.0</v>
      </c>
      <c r="H323" s="41" t="s">
        <v>2530</v>
      </c>
      <c r="I323" s="41"/>
      <c r="J323" s="41" t="s">
        <v>2530</v>
      </c>
      <c r="K323" s="42" t="s">
        <v>2531</v>
      </c>
      <c r="L323" s="42" t="s">
        <v>2532</v>
      </c>
      <c r="M323" s="42" t="s">
        <v>1028</v>
      </c>
      <c r="N323" s="42">
        <v>0.0</v>
      </c>
      <c r="O323" s="42">
        <v>1.0</v>
      </c>
      <c r="P323" s="42">
        <v>2.0</v>
      </c>
      <c r="Q323" s="42">
        <v>0.0</v>
      </c>
      <c r="R323" s="42">
        <v>11.0</v>
      </c>
      <c r="S323" s="42">
        <v>0.0</v>
      </c>
      <c r="T323" s="42" t="s">
        <v>2533</v>
      </c>
      <c r="U323" s="42">
        <v>1.0</v>
      </c>
      <c r="V323" s="42">
        <v>8.0</v>
      </c>
      <c r="W323" s="42">
        <v>0.0</v>
      </c>
      <c r="X323" s="42">
        <v>100.0</v>
      </c>
      <c r="Y323" s="42">
        <v>0.0</v>
      </c>
    </row>
    <row r="324" ht="22.5" customHeight="1">
      <c r="A324" s="41"/>
      <c r="B324" s="41">
        <v>5422.0</v>
      </c>
      <c r="C324" s="41" t="s">
        <v>271</v>
      </c>
      <c r="D324" s="41" t="s">
        <v>2534</v>
      </c>
      <c r="E324" s="41" t="s">
        <v>2534</v>
      </c>
      <c r="F324" s="41" t="s">
        <v>271</v>
      </c>
      <c r="G324" s="41">
        <v>359.0</v>
      </c>
      <c r="H324" s="41" t="s">
        <v>2535</v>
      </c>
      <c r="I324" s="41"/>
      <c r="J324" s="41" t="s">
        <v>2535</v>
      </c>
      <c r="K324" s="42" t="s">
        <v>2536</v>
      </c>
      <c r="L324" s="42" t="s">
        <v>2537</v>
      </c>
      <c r="N324" s="42">
        <v>1.0</v>
      </c>
      <c r="O324" s="42">
        <v>0.0</v>
      </c>
      <c r="P324" s="42">
        <v>2.0</v>
      </c>
      <c r="Q324" s="42">
        <v>0.0</v>
      </c>
      <c r="R324" s="42">
        <v>1.0</v>
      </c>
      <c r="S324" s="42">
        <v>0.0</v>
      </c>
      <c r="T324" s="42" t="s">
        <v>2538</v>
      </c>
      <c r="U324" s="42">
        <v>0.0</v>
      </c>
      <c r="V324" s="42">
        <v>0.0</v>
      </c>
      <c r="W324" s="42">
        <v>0.0</v>
      </c>
      <c r="X324" s="42">
        <v>100.0</v>
      </c>
      <c r="Y324" s="42">
        <v>0.0</v>
      </c>
    </row>
    <row r="325" ht="22.5" customHeight="1">
      <c r="A325" s="41"/>
      <c r="B325" s="41">
        <v>5423.0</v>
      </c>
      <c r="C325" s="41" t="s">
        <v>271</v>
      </c>
      <c r="D325" s="41" t="s">
        <v>2539</v>
      </c>
      <c r="E325" s="41" t="s">
        <v>2539</v>
      </c>
      <c r="F325" s="41" t="s">
        <v>271</v>
      </c>
      <c r="G325" s="41">
        <v>360.0</v>
      </c>
      <c r="H325" s="41" t="s">
        <v>2540</v>
      </c>
      <c r="I325" s="41"/>
      <c r="J325" s="41" t="s">
        <v>2540</v>
      </c>
      <c r="K325" s="42" t="s">
        <v>2541</v>
      </c>
      <c r="L325" s="42" t="s">
        <v>2542</v>
      </c>
      <c r="N325" s="42">
        <v>0.0</v>
      </c>
      <c r="O325" s="42">
        <v>0.0</v>
      </c>
      <c r="P325" s="42">
        <v>2.0</v>
      </c>
      <c r="Q325" s="42">
        <v>0.0</v>
      </c>
      <c r="R325" s="42">
        <v>0.0</v>
      </c>
      <c r="S325" s="42">
        <v>0.0</v>
      </c>
      <c r="T325" s="42" t="s">
        <v>2543</v>
      </c>
      <c r="U325" s="42">
        <v>1.0</v>
      </c>
      <c r="V325" s="42">
        <v>0.0</v>
      </c>
      <c r="W325" s="42">
        <v>0.0</v>
      </c>
      <c r="X325" s="42">
        <v>100.0</v>
      </c>
      <c r="Y325" s="42">
        <v>0.0</v>
      </c>
    </row>
    <row r="326" ht="22.5" customHeight="1">
      <c r="A326" s="41"/>
      <c r="B326" s="41">
        <v>5424.0</v>
      </c>
      <c r="C326" s="41" t="s">
        <v>271</v>
      </c>
      <c r="D326" s="41" t="s">
        <v>2544</v>
      </c>
      <c r="E326" s="41" t="s">
        <v>2544</v>
      </c>
      <c r="F326" s="41" t="s">
        <v>271</v>
      </c>
      <c r="G326" s="41">
        <v>361.0</v>
      </c>
      <c r="H326" s="41" t="s">
        <v>2545</v>
      </c>
      <c r="I326" s="41"/>
      <c r="J326" s="41" t="s">
        <v>2545</v>
      </c>
      <c r="K326" s="42" t="s">
        <v>2546</v>
      </c>
      <c r="L326" s="42" t="s">
        <v>2547</v>
      </c>
      <c r="M326" s="42" t="s">
        <v>1028</v>
      </c>
      <c r="N326" s="42">
        <v>0.0</v>
      </c>
      <c r="O326" s="42">
        <v>1.0</v>
      </c>
      <c r="P326" s="42">
        <v>2.0</v>
      </c>
      <c r="Q326" s="42">
        <v>0.0</v>
      </c>
      <c r="R326" s="42">
        <v>11.0</v>
      </c>
      <c r="S326" s="42">
        <v>0.0</v>
      </c>
      <c r="T326" s="42" t="s">
        <v>2548</v>
      </c>
      <c r="U326" s="42">
        <v>1.0</v>
      </c>
      <c r="V326" s="42">
        <v>1.0</v>
      </c>
      <c r="W326" s="42">
        <v>0.0</v>
      </c>
      <c r="X326" s="42">
        <v>100.0</v>
      </c>
      <c r="Y326" s="42">
        <v>0.0</v>
      </c>
    </row>
    <row r="327" ht="22.5" customHeight="1">
      <c r="A327" s="41"/>
      <c r="B327" s="41">
        <v>5425.0</v>
      </c>
      <c r="C327" s="41" t="s">
        <v>271</v>
      </c>
      <c r="D327" s="41" t="s">
        <v>2549</v>
      </c>
      <c r="E327" s="41" t="s">
        <v>2549</v>
      </c>
      <c r="F327" s="41" t="s">
        <v>271</v>
      </c>
      <c r="G327" s="41">
        <v>362.0</v>
      </c>
      <c r="H327" s="41" t="s">
        <v>2550</v>
      </c>
      <c r="I327" s="41"/>
      <c r="J327" s="41" t="s">
        <v>2550</v>
      </c>
      <c r="K327" s="42" t="s">
        <v>2551</v>
      </c>
      <c r="L327" s="42" t="s">
        <v>2552</v>
      </c>
      <c r="M327" s="42" t="s">
        <v>1043</v>
      </c>
      <c r="N327" s="42">
        <v>0.0</v>
      </c>
      <c r="O327" s="42">
        <v>1.0</v>
      </c>
      <c r="P327" s="42">
        <v>2.0</v>
      </c>
      <c r="Q327" s="42">
        <v>0.0</v>
      </c>
      <c r="R327" s="42">
        <v>1.0</v>
      </c>
      <c r="S327" s="42">
        <v>0.0</v>
      </c>
      <c r="T327" s="42" t="s">
        <v>2553</v>
      </c>
      <c r="U327" s="42">
        <v>1.0</v>
      </c>
      <c r="V327" s="42">
        <v>8.0</v>
      </c>
      <c r="W327" s="42">
        <v>0.0</v>
      </c>
      <c r="X327" s="42">
        <v>100.0</v>
      </c>
      <c r="Y327" s="42">
        <v>0.0</v>
      </c>
    </row>
    <row r="328" ht="22.5" customHeight="1">
      <c r="A328" s="41"/>
      <c r="B328" s="41">
        <v>5426.0</v>
      </c>
      <c r="C328" s="41" t="s">
        <v>271</v>
      </c>
      <c r="D328" s="41" t="s">
        <v>2554</v>
      </c>
      <c r="E328" s="41" t="s">
        <v>2554</v>
      </c>
      <c r="F328" s="41" t="s">
        <v>271</v>
      </c>
      <c r="G328" s="41">
        <v>363.0</v>
      </c>
      <c r="H328" s="41" t="s">
        <v>2555</v>
      </c>
      <c r="I328" s="41"/>
      <c r="J328" s="41" t="s">
        <v>2555</v>
      </c>
      <c r="K328" s="42" t="s">
        <v>2556</v>
      </c>
      <c r="L328" s="42" t="s">
        <v>2557</v>
      </c>
      <c r="M328" s="42" t="s">
        <v>970</v>
      </c>
      <c r="N328" s="42">
        <v>1.0</v>
      </c>
      <c r="O328" s="42">
        <v>1.0</v>
      </c>
      <c r="P328" s="42">
        <v>2.0</v>
      </c>
      <c r="Q328" s="42">
        <v>0.0</v>
      </c>
      <c r="R328" s="42">
        <v>1.0</v>
      </c>
      <c r="S328" s="42">
        <v>0.0</v>
      </c>
      <c r="T328" s="42" t="s">
        <v>2558</v>
      </c>
      <c r="U328" s="42">
        <v>1.0</v>
      </c>
      <c r="V328" s="42">
        <v>0.0</v>
      </c>
      <c r="W328" s="42">
        <v>1.0</v>
      </c>
      <c r="X328" s="42">
        <v>100.0</v>
      </c>
      <c r="Y328" s="42">
        <v>0.0</v>
      </c>
    </row>
    <row r="329" ht="22.5" customHeight="1">
      <c r="A329" s="41"/>
      <c r="B329" s="41">
        <v>5427.0</v>
      </c>
      <c r="C329" s="41" t="s">
        <v>271</v>
      </c>
      <c r="D329" s="41" t="s">
        <v>2559</v>
      </c>
      <c r="E329" s="41" t="s">
        <v>2559</v>
      </c>
      <c r="F329" s="41" t="s">
        <v>271</v>
      </c>
      <c r="G329" s="41">
        <v>364.0</v>
      </c>
      <c r="H329" s="41" t="s">
        <v>2560</v>
      </c>
      <c r="I329" s="41"/>
      <c r="J329" s="41" t="s">
        <v>2560</v>
      </c>
      <c r="K329" s="42" t="s">
        <v>2561</v>
      </c>
      <c r="L329" s="42" t="s">
        <v>2562</v>
      </c>
      <c r="N329" s="42">
        <v>0.0</v>
      </c>
      <c r="O329" s="42">
        <v>0.0</v>
      </c>
      <c r="P329" s="42">
        <v>2.0</v>
      </c>
      <c r="Q329" s="42">
        <v>0.0</v>
      </c>
      <c r="R329" s="42">
        <v>0.0</v>
      </c>
      <c r="S329" s="42">
        <v>0.0</v>
      </c>
      <c r="T329" s="42" t="s">
        <v>2563</v>
      </c>
      <c r="U329" s="42">
        <v>1.0</v>
      </c>
      <c r="V329" s="42">
        <v>0.0</v>
      </c>
      <c r="W329" s="42">
        <v>0.0</v>
      </c>
      <c r="X329" s="42">
        <v>100.0</v>
      </c>
      <c r="Y329" s="42">
        <v>0.0</v>
      </c>
    </row>
    <row r="330" ht="22.5" customHeight="1">
      <c r="A330" s="41"/>
      <c r="B330" s="41">
        <v>5428.0</v>
      </c>
      <c r="C330" s="41" t="s">
        <v>271</v>
      </c>
      <c r="D330" s="41" t="s">
        <v>2564</v>
      </c>
      <c r="E330" s="41" t="s">
        <v>2564</v>
      </c>
      <c r="F330" s="41" t="s">
        <v>271</v>
      </c>
      <c r="G330" s="41">
        <v>365.0</v>
      </c>
      <c r="H330" s="41" t="s">
        <v>2564</v>
      </c>
      <c r="I330" s="41"/>
      <c r="J330" s="41" t="s">
        <v>2564</v>
      </c>
      <c r="K330" s="42" t="s">
        <v>2565</v>
      </c>
      <c r="L330" s="42" t="s">
        <v>2566</v>
      </c>
      <c r="N330" s="42">
        <v>0.0</v>
      </c>
      <c r="O330" s="42">
        <v>0.0</v>
      </c>
      <c r="P330" s="42">
        <v>2.0</v>
      </c>
      <c r="Q330" s="42">
        <v>0.0</v>
      </c>
      <c r="R330" s="42">
        <v>0.0</v>
      </c>
      <c r="S330" s="42">
        <v>1.0</v>
      </c>
      <c r="T330" s="42" t="s">
        <v>2567</v>
      </c>
      <c r="U330" s="42">
        <v>0.0</v>
      </c>
      <c r="V330" s="42">
        <v>8.0</v>
      </c>
      <c r="W330" s="42">
        <v>0.0</v>
      </c>
      <c r="X330" s="42">
        <v>100.0</v>
      </c>
      <c r="Y330" s="42">
        <v>0.0</v>
      </c>
    </row>
    <row r="331" ht="22.5" customHeight="1">
      <c r="A331" s="41"/>
      <c r="B331" s="41">
        <v>5429.0</v>
      </c>
      <c r="C331" s="41" t="s">
        <v>271</v>
      </c>
      <c r="D331" s="41" t="s">
        <v>2568</v>
      </c>
      <c r="E331" s="41" t="s">
        <v>2568</v>
      </c>
      <c r="F331" s="41" t="s">
        <v>271</v>
      </c>
      <c r="G331" s="41">
        <v>366.0</v>
      </c>
      <c r="H331" s="41" t="s">
        <v>2568</v>
      </c>
      <c r="I331" s="41"/>
      <c r="J331" s="41" t="s">
        <v>2568</v>
      </c>
      <c r="K331" s="42" t="s">
        <v>2569</v>
      </c>
      <c r="L331" s="42" t="s">
        <v>2570</v>
      </c>
      <c r="N331" s="42">
        <v>0.0</v>
      </c>
      <c r="O331" s="42">
        <v>0.0</v>
      </c>
      <c r="P331" s="42">
        <v>2.0</v>
      </c>
      <c r="Q331" s="42">
        <v>0.0</v>
      </c>
      <c r="R331" s="42">
        <v>0.0</v>
      </c>
      <c r="S331" s="42">
        <v>1.0</v>
      </c>
      <c r="T331" s="42" t="s">
        <v>2571</v>
      </c>
      <c r="U331" s="42">
        <v>0.0</v>
      </c>
      <c r="V331" s="42">
        <v>8.0</v>
      </c>
      <c r="W331" s="42">
        <v>0.0</v>
      </c>
      <c r="X331" s="42">
        <v>100.0</v>
      </c>
      <c r="Y331" s="42">
        <v>0.0</v>
      </c>
    </row>
    <row r="332" ht="22.5" customHeight="1">
      <c r="A332" s="41"/>
      <c r="B332" s="41">
        <v>5430.0</v>
      </c>
      <c r="C332" s="41" t="s">
        <v>271</v>
      </c>
      <c r="D332" s="41" t="s">
        <v>2572</v>
      </c>
      <c r="E332" s="41" t="s">
        <v>2572</v>
      </c>
      <c r="F332" s="41" t="s">
        <v>271</v>
      </c>
      <c r="G332" s="41">
        <v>367.0</v>
      </c>
      <c r="H332" s="41" t="s">
        <v>2573</v>
      </c>
      <c r="I332" s="41"/>
      <c r="J332" s="41" t="s">
        <v>2573</v>
      </c>
      <c r="K332" s="42" t="s">
        <v>2574</v>
      </c>
      <c r="L332" s="42" t="s">
        <v>2575</v>
      </c>
      <c r="M332" s="42" t="s">
        <v>1028</v>
      </c>
      <c r="N332" s="42">
        <v>0.0</v>
      </c>
      <c r="O332" s="42">
        <v>1.0</v>
      </c>
      <c r="P332" s="42">
        <v>2.0</v>
      </c>
      <c r="Q332" s="42">
        <v>0.0</v>
      </c>
      <c r="R332" s="42">
        <v>10.0</v>
      </c>
      <c r="S332" s="42">
        <v>0.0</v>
      </c>
      <c r="T332" s="42" t="s">
        <v>2576</v>
      </c>
      <c r="U332" s="42">
        <v>1.0</v>
      </c>
      <c r="V332" s="42">
        <v>8.0</v>
      </c>
      <c r="W332" s="42">
        <v>0.0</v>
      </c>
      <c r="X332" s="42">
        <v>100.0</v>
      </c>
      <c r="Y332" s="42">
        <v>0.0</v>
      </c>
    </row>
    <row r="333" ht="22.5" customHeight="1">
      <c r="A333" s="41"/>
      <c r="B333" s="41">
        <v>5431.0</v>
      </c>
      <c r="C333" s="41" t="s">
        <v>271</v>
      </c>
      <c r="D333" s="41" t="s">
        <v>2577</v>
      </c>
      <c r="E333" s="41" t="s">
        <v>2577</v>
      </c>
      <c r="F333" s="41" t="s">
        <v>271</v>
      </c>
      <c r="G333" s="41">
        <v>368.0</v>
      </c>
      <c r="H333" s="41" t="s">
        <v>2578</v>
      </c>
      <c r="I333" s="41"/>
      <c r="J333" s="41" t="s">
        <v>2578</v>
      </c>
      <c r="K333" s="42" t="s">
        <v>2579</v>
      </c>
      <c r="L333" s="42" t="s">
        <v>2580</v>
      </c>
      <c r="N333" s="42">
        <v>0.0</v>
      </c>
      <c r="O333" s="42">
        <v>0.0</v>
      </c>
      <c r="P333" s="42">
        <v>2.0</v>
      </c>
      <c r="Q333" s="42">
        <v>0.0</v>
      </c>
      <c r="R333" s="42">
        <v>0.0</v>
      </c>
      <c r="S333" s="42">
        <v>0.0</v>
      </c>
      <c r="T333" s="42" t="s">
        <v>2581</v>
      </c>
      <c r="U333" s="42">
        <v>1.0</v>
      </c>
      <c r="V333" s="42">
        <v>0.0</v>
      </c>
      <c r="W333" s="42">
        <v>0.0</v>
      </c>
      <c r="X333" s="42">
        <v>100.0</v>
      </c>
      <c r="Y333" s="42">
        <v>0.0</v>
      </c>
    </row>
    <row r="334" ht="22.5" customHeight="1">
      <c r="A334" s="41"/>
      <c r="B334" s="41">
        <v>5432.0</v>
      </c>
      <c r="C334" s="41" t="s">
        <v>271</v>
      </c>
      <c r="D334" s="41" t="s">
        <v>2582</v>
      </c>
      <c r="E334" s="41" t="s">
        <v>2582</v>
      </c>
      <c r="F334" s="41" t="s">
        <v>271</v>
      </c>
      <c r="G334" s="41">
        <v>369.0</v>
      </c>
      <c r="H334" s="41" t="s">
        <v>2583</v>
      </c>
      <c r="I334" s="41"/>
      <c r="J334" s="41" t="s">
        <v>2583</v>
      </c>
      <c r="K334" s="42" t="s">
        <v>2584</v>
      </c>
      <c r="L334" s="42" t="s">
        <v>2585</v>
      </c>
      <c r="M334" s="42" t="s">
        <v>1043</v>
      </c>
      <c r="N334" s="42">
        <v>0.0</v>
      </c>
      <c r="O334" s="42">
        <v>1.0</v>
      </c>
      <c r="P334" s="42">
        <v>2.0</v>
      </c>
      <c r="Q334" s="42">
        <v>0.0</v>
      </c>
      <c r="R334" s="42">
        <v>1.0</v>
      </c>
      <c r="S334" s="42">
        <v>0.0</v>
      </c>
      <c r="T334" s="42" t="s">
        <v>2586</v>
      </c>
      <c r="U334" s="42">
        <v>1.0</v>
      </c>
      <c r="V334" s="42">
        <v>8.0</v>
      </c>
      <c r="W334" s="42">
        <v>0.0</v>
      </c>
      <c r="X334" s="42">
        <v>100.0</v>
      </c>
      <c r="Y334" s="42">
        <v>0.0</v>
      </c>
    </row>
    <row r="335" ht="22.5" customHeight="1">
      <c r="A335" s="41"/>
      <c r="B335" s="41">
        <v>5433.0</v>
      </c>
      <c r="C335" s="41" t="s">
        <v>271</v>
      </c>
      <c r="D335" s="41" t="s">
        <v>2587</v>
      </c>
      <c r="E335" s="41" t="s">
        <v>2587</v>
      </c>
      <c r="F335" s="41" t="s">
        <v>271</v>
      </c>
      <c r="G335" s="41">
        <v>370.0</v>
      </c>
      <c r="H335" s="41" t="s">
        <v>2588</v>
      </c>
      <c r="I335" s="41"/>
      <c r="J335" s="41" t="s">
        <v>2588</v>
      </c>
      <c r="K335" s="42" t="s">
        <v>2589</v>
      </c>
      <c r="L335" s="42" t="s">
        <v>2590</v>
      </c>
      <c r="M335" s="42" t="s">
        <v>2591</v>
      </c>
      <c r="N335" s="42">
        <v>0.0</v>
      </c>
      <c r="O335" s="42">
        <v>0.0</v>
      </c>
      <c r="P335" s="42">
        <v>2.0</v>
      </c>
      <c r="Q335" s="42">
        <v>0.0</v>
      </c>
      <c r="R335" s="42">
        <v>0.0</v>
      </c>
      <c r="S335" s="42">
        <v>0.0</v>
      </c>
      <c r="T335" s="42" t="s">
        <v>2592</v>
      </c>
      <c r="U335" s="42">
        <v>1.0</v>
      </c>
      <c r="V335" s="42">
        <v>0.0</v>
      </c>
      <c r="W335" s="42">
        <v>0.0</v>
      </c>
      <c r="X335" s="42">
        <v>100.0</v>
      </c>
      <c r="Y335" s="42">
        <v>0.0</v>
      </c>
    </row>
    <row r="336" ht="22.5" customHeight="1">
      <c r="A336" s="41"/>
      <c r="B336" s="41">
        <v>5434.0</v>
      </c>
      <c r="C336" s="41" t="s">
        <v>271</v>
      </c>
      <c r="D336" s="41" t="s">
        <v>2593</v>
      </c>
      <c r="E336" s="41" t="s">
        <v>2593</v>
      </c>
      <c r="F336" s="41" t="s">
        <v>271</v>
      </c>
      <c r="G336" s="41">
        <v>371.0</v>
      </c>
      <c r="H336" s="41" t="s">
        <v>2594</v>
      </c>
      <c r="I336" s="41"/>
      <c r="J336" s="41" t="s">
        <v>2594</v>
      </c>
      <c r="K336" s="42" t="s">
        <v>2595</v>
      </c>
      <c r="L336" s="42" t="s">
        <v>2596</v>
      </c>
      <c r="M336" s="42" t="s">
        <v>1028</v>
      </c>
      <c r="N336" s="42">
        <v>0.0</v>
      </c>
      <c r="O336" s="42">
        <v>1.0</v>
      </c>
      <c r="P336" s="42">
        <v>2.0</v>
      </c>
      <c r="Q336" s="42">
        <v>0.0</v>
      </c>
      <c r="R336" s="42">
        <v>8.0</v>
      </c>
      <c r="S336" s="42">
        <v>0.0</v>
      </c>
      <c r="T336" s="42" t="s">
        <v>2597</v>
      </c>
      <c r="U336" s="42">
        <v>1.0</v>
      </c>
      <c r="V336" s="42">
        <v>3.0</v>
      </c>
      <c r="W336" s="42">
        <v>0.0</v>
      </c>
      <c r="X336" s="42">
        <v>100.0</v>
      </c>
      <c r="Y336" s="42">
        <v>0.0</v>
      </c>
    </row>
    <row r="337" ht="22.5" customHeight="1">
      <c r="A337" s="41"/>
      <c r="B337" s="41">
        <v>5435.0</v>
      </c>
      <c r="C337" s="41" t="s">
        <v>271</v>
      </c>
      <c r="D337" s="41" t="s">
        <v>2598</v>
      </c>
      <c r="E337" s="41" t="s">
        <v>2598</v>
      </c>
      <c r="F337" s="41" t="s">
        <v>271</v>
      </c>
      <c r="G337" s="41">
        <v>372.0</v>
      </c>
      <c r="H337" s="41" t="s">
        <v>2599</v>
      </c>
      <c r="I337" s="41"/>
      <c r="J337" s="41" t="s">
        <v>2599</v>
      </c>
      <c r="K337" s="42" t="s">
        <v>2600</v>
      </c>
      <c r="L337" s="42" t="s">
        <v>2601</v>
      </c>
      <c r="M337" s="42" t="s">
        <v>1043</v>
      </c>
      <c r="N337" s="42">
        <v>0.0</v>
      </c>
      <c r="O337" s="42">
        <v>1.0</v>
      </c>
      <c r="P337" s="42">
        <v>2.0</v>
      </c>
      <c r="Q337" s="42">
        <v>0.0</v>
      </c>
      <c r="R337" s="42">
        <v>6.0</v>
      </c>
      <c r="S337" s="42">
        <v>0.0</v>
      </c>
      <c r="T337" s="42" t="s">
        <v>2602</v>
      </c>
      <c r="U337" s="42">
        <v>1.0</v>
      </c>
      <c r="V337" s="42">
        <v>8.0</v>
      </c>
      <c r="W337" s="42">
        <v>0.0</v>
      </c>
      <c r="X337" s="42">
        <v>100.0</v>
      </c>
      <c r="Y337" s="42">
        <v>0.0</v>
      </c>
    </row>
    <row r="338" ht="22.5" customHeight="1">
      <c r="A338" s="41"/>
      <c r="B338" s="41">
        <v>5436.0</v>
      </c>
      <c r="C338" s="41" t="s">
        <v>271</v>
      </c>
      <c r="D338" s="41" t="s">
        <v>2603</v>
      </c>
      <c r="E338" s="41" t="s">
        <v>2603</v>
      </c>
      <c r="F338" s="41" t="s">
        <v>271</v>
      </c>
      <c r="G338" s="41">
        <v>373.0</v>
      </c>
      <c r="H338" s="41" t="s">
        <v>2604</v>
      </c>
      <c r="I338" s="41"/>
      <c r="J338" s="41" t="s">
        <v>2604</v>
      </c>
      <c r="K338" s="42" t="s">
        <v>2605</v>
      </c>
      <c r="L338" s="42" t="s">
        <v>2606</v>
      </c>
      <c r="M338" s="42" t="s">
        <v>1028</v>
      </c>
      <c r="N338" s="42">
        <v>0.0</v>
      </c>
      <c r="O338" s="42">
        <v>1.0</v>
      </c>
      <c r="P338" s="42">
        <v>2.0</v>
      </c>
      <c r="Q338" s="42">
        <v>0.0</v>
      </c>
      <c r="R338" s="42">
        <v>11.0</v>
      </c>
      <c r="S338" s="42">
        <v>0.0</v>
      </c>
      <c r="T338" s="42" t="s">
        <v>2607</v>
      </c>
      <c r="U338" s="42">
        <v>1.0</v>
      </c>
      <c r="V338" s="42">
        <v>8.0</v>
      </c>
      <c r="W338" s="42">
        <v>0.0</v>
      </c>
      <c r="X338" s="42">
        <v>100.0</v>
      </c>
      <c r="Y338" s="42">
        <v>0.0</v>
      </c>
    </row>
    <row r="339" ht="22.5" customHeight="1">
      <c r="A339" s="41"/>
      <c r="B339" s="41">
        <v>5437.0</v>
      </c>
      <c r="C339" s="41" t="s">
        <v>271</v>
      </c>
      <c r="D339" s="41" t="s">
        <v>2608</v>
      </c>
      <c r="E339" s="41" t="s">
        <v>2608</v>
      </c>
      <c r="F339" s="41" t="s">
        <v>271</v>
      </c>
      <c r="G339" s="41">
        <v>374.0</v>
      </c>
      <c r="H339" s="41" t="s">
        <v>2608</v>
      </c>
      <c r="I339" s="41"/>
      <c r="J339" s="41" t="s">
        <v>2608</v>
      </c>
      <c r="K339" s="42" t="s">
        <v>2609</v>
      </c>
      <c r="L339" s="42" t="s">
        <v>2610</v>
      </c>
      <c r="N339" s="42">
        <v>0.0</v>
      </c>
      <c r="O339" s="42">
        <v>0.0</v>
      </c>
      <c r="P339" s="42">
        <v>2.0</v>
      </c>
      <c r="Q339" s="42">
        <v>0.0</v>
      </c>
      <c r="R339" s="42">
        <v>0.0</v>
      </c>
      <c r="S339" s="42">
        <v>1.0</v>
      </c>
      <c r="T339" s="42" t="s">
        <v>2611</v>
      </c>
      <c r="U339" s="42">
        <v>1.0</v>
      </c>
      <c r="V339" s="42">
        <v>8.0</v>
      </c>
      <c r="W339" s="42">
        <v>0.0</v>
      </c>
      <c r="X339" s="42">
        <v>100.0</v>
      </c>
      <c r="Y339" s="42">
        <v>0.0</v>
      </c>
    </row>
    <row r="340" ht="22.5" customHeight="1">
      <c r="A340" s="41"/>
      <c r="B340" s="41">
        <v>5438.0</v>
      </c>
      <c r="C340" s="41" t="s">
        <v>271</v>
      </c>
      <c r="D340" s="41" t="s">
        <v>2612</v>
      </c>
      <c r="E340" s="41" t="s">
        <v>2612</v>
      </c>
      <c r="F340" s="41" t="s">
        <v>271</v>
      </c>
      <c r="G340" s="41">
        <v>375.0</v>
      </c>
      <c r="H340" s="41" t="s">
        <v>2613</v>
      </c>
      <c r="I340" s="41"/>
      <c r="J340" s="41" t="s">
        <v>2613</v>
      </c>
      <c r="K340" s="42" t="s">
        <v>2614</v>
      </c>
      <c r="L340" s="42" t="s">
        <v>2615</v>
      </c>
      <c r="M340" s="42" t="s">
        <v>1028</v>
      </c>
      <c r="N340" s="42">
        <v>0.0</v>
      </c>
      <c r="O340" s="42">
        <v>1.0</v>
      </c>
      <c r="P340" s="42">
        <v>2.0</v>
      </c>
      <c r="Q340" s="42">
        <v>0.0</v>
      </c>
      <c r="R340" s="42">
        <v>7.0</v>
      </c>
      <c r="S340" s="42">
        <v>0.0</v>
      </c>
      <c r="T340" s="42" t="s">
        <v>2616</v>
      </c>
      <c r="U340" s="42">
        <v>1.0</v>
      </c>
      <c r="V340" s="42">
        <v>8.0</v>
      </c>
      <c r="W340" s="42">
        <v>0.0</v>
      </c>
      <c r="X340" s="42">
        <v>100.0</v>
      </c>
      <c r="Y340" s="42">
        <v>0.0</v>
      </c>
    </row>
    <row r="341" ht="22.5" customHeight="1">
      <c r="A341" s="41"/>
      <c r="B341" s="41">
        <v>5439.0</v>
      </c>
      <c r="C341" s="41" t="s">
        <v>271</v>
      </c>
      <c r="D341" s="41" t="s">
        <v>2617</v>
      </c>
      <c r="E341" s="41" t="s">
        <v>2617</v>
      </c>
      <c r="F341" s="41" t="s">
        <v>271</v>
      </c>
      <c r="G341" s="41">
        <v>376.0</v>
      </c>
      <c r="H341" s="41" t="s">
        <v>2618</v>
      </c>
      <c r="I341" s="41"/>
      <c r="J341" s="41" t="s">
        <v>2618</v>
      </c>
      <c r="K341" s="42" t="s">
        <v>2619</v>
      </c>
      <c r="L341" s="42" t="s">
        <v>2620</v>
      </c>
      <c r="M341" s="42" t="s">
        <v>970</v>
      </c>
      <c r="N341" s="42">
        <v>1.0</v>
      </c>
      <c r="O341" s="42">
        <v>1.0</v>
      </c>
      <c r="P341" s="42">
        <v>2.0</v>
      </c>
      <c r="Q341" s="42">
        <v>0.0</v>
      </c>
      <c r="R341" s="42">
        <v>1.0</v>
      </c>
      <c r="S341" s="42">
        <v>0.0</v>
      </c>
      <c r="T341" s="42" t="s">
        <v>2621</v>
      </c>
      <c r="U341" s="42">
        <v>1.0</v>
      </c>
      <c r="V341" s="42">
        <v>0.0</v>
      </c>
      <c r="W341" s="42">
        <v>0.0</v>
      </c>
      <c r="X341" s="42">
        <v>100.0</v>
      </c>
      <c r="Y341" s="42">
        <v>0.0</v>
      </c>
    </row>
    <row r="342" ht="22.5" customHeight="1">
      <c r="A342" s="41"/>
      <c r="B342" s="41">
        <v>5440.0</v>
      </c>
      <c r="C342" s="41" t="s">
        <v>271</v>
      </c>
      <c r="D342" s="41" t="s">
        <v>2622</v>
      </c>
      <c r="E342" s="41" t="s">
        <v>2622</v>
      </c>
      <c r="F342" s="41" t="s">
        <v>271</v>
      </c>
      <c r="G342" s="41">
        <v>377.0</v>
      </c>
      <c r="H342" s="41" t="s">
        <v>1426</v>
      </c>
      <c r="I342" s="41"/>
      <c r="J342" s="41" t="s">
        <v>1426</v>
      </c>
      <c r="K342" s="42" t="s">
        <v>1427</v>
      </c>
      <c r="L342" s="42" t="s">
        <v>2623</v>
      </c>
      <c r="M342" s="42" t="s">
        <v>1130</v>
      </c>
      <c r="N342" s="42">
        <v>0.0</v>
      </c>
      <c r="O342" s="42">
        <v>1.0</v>
      </c>
      <c r="P342" s="42">
        <v>2.0</v>
      </c>
      <c r="Q342" s="42">
        <v>0.0</v>
      </c>
      <c r="R342" s="42">
        <v>7.0</v>
      </c>
      <c r="S342" s="42">
        <v>0.0</v>
      </c>
      <c r="T342" s="42" t="s">
        <v>2624</v>
      </c>
      <c r="U342" s="42">
        <v>1.0</v>
      </c>
      <c r="V342" s="42">
        <v>5.0</v>
      </c>
      <c r="W342" s="42">
        <v>0.0</v>
      </c>
      <c r="X342" s="42">
        <v>100.0</v>
      </c>
      <c r="Y342" s="42">
        <v>0.0</v>
      </c>
    </row>
    <row r="343" ht="22.5" customHeight="1">
      <c r="A343" s="41"/>
      <c r="B343" s="41">
        <v>5441.0</v>
      </c>
      <c r="C343" s="41" t="s">
        <v>271</v>
      </c>
      <c r="D343" s="41" t="s">
        <v>2587</v>
      </c>
      <c r="E343" s="41" t="s">
        <v>2587</v>
      </c>
      <c r="F343" s="41" t="s">
        <v>271</v>
      </c>
      <c r="G343" s="41">
        <v>378.0</v>
      </c>
      <c r="H343" s="41" t="s">
        <v>2625</v>
      </c>
      <c r="I343" s="41"/>
      <c r="J343" s="41" t="s">
        <v>2625</v>
      </c>
      <c r="K343" s="42" t="s">
        <v>2626</v>
      </c>
      <c r="L343" s="42" t="s">
        <v>2627</v>
      </c>
      <c r="N343" s="42">
        <v>0.0</v>
      </c>
      <c r="O343" s="42">
        <v>0.0</v>
      </c>
      <c r="P343" s="42">
        <v>2.0</v>
      </c>
      <c r="Q343" s="42">
        <v>0.0</v>
      </c>
      <c r="R343" s="42">
        <v>0.0</v>
      </c>
      <c r="S343" s="42">
        <v>0.0</v>
      </c>
      <c r="T343" s="42" t="s">
        <v>2628</v>
      </c>
      <c r="U343" s="42">
        <v>1.0</v>
      </c>
      <c r="V343" s="42">
        <v>0.0</v>
      </c>
      <c r="W343" s="42">
        <v>0.0</v>
      </c>
      <c r="X343" s="42">
        <v>100.0</v>
      </c>
      <c r="Y343" s="42">
        <v>0.0</v>
      </c>
    </row>
    <row r="344" ht="22.5" customHeight="1">
      <c r="A344" s="41"/>
      <c r="B344" s="41">
        <v>5442.0</v>
      </c>
      <c r="C344" s="41" t="s">
        <v>271</v>
      </c>
      <c r="D344" s="41" t="s">
        <v>2629</v>
      </c>
      <c r="E344" s="41" t="s">
        <v>2629</v>
      </c>
      <c r="F344" s="41" t="s">
        <v>271</v>
      </c>
      <c r="G344" s="41">
        <v>379.0</v>
      </c>
      <c r="H344" s="41" t="s">
        <v>2630</v>
      </c>
      <c r="I344" s="41"/>
      <c r="J344" s="41" t="s">
        <v>2630</v>
      </c>
      <c r="K344" s="42" t="s">
        <v>2631</v>
      </c>
      <c r="L344" s="42" t="s">
        <v>2632</v>
      </c>
      <c r="N344" s="42">
        <v>0.0</v>
      </c>
      <c r="O344" s="42">
        <v>0.0</v>
      </c>
      <c r="P344" s="42">
        <v>2.0</v>
      </c>
      <c r="Q344" s="42">
        <v>0.0</v>
      </c>
      <c r="R344" s="42">
        <v>0.0</v>
      </c>
      <c r="S344" s="42">
        <v>0.0</v>
      </c>
      <c r="T344" s="42" t="s">
        <v>2633</v>
      </c>
      <c r="U344" s="42">
        <v>1.0</v>
      </c>
      <c r="V344" s="42">
        <v>0.0</v>
      </c>
      <c r="W344" s="42">
        <v>0.0</v>
      </c>
      <c r="X344" s="42">
        <v>100.0</v>
      </c>
      <c r="Y344" s="42">
        <v>0.0</v>
      </c>
    </row>
    <row r="345" ht="22.5" customHeight="1">
      <c r="A345" s="41"/>
      <c r="B345" s="41">
        <v>5443.0</v>
      </c>
      <c r="C345" s="41" t="s">
        <v>271</v>
      </c>
      <c r="D345" s="41" t="s">
        <v>2634</v>
      </c>
      <c r="E345" s="41" t="s">
        <v>2634</v>
      </c>
      <c r="F345" s="41" t="s">
        <v>271</v>
      </c>
      <c r="G345" s="41">
        <v>380.0</v>
      </c>
      <c r="H345" s="41" t="s">
        <v>2634</v>
      </c>
      <c r="I345" s="41"/>
      <c r="J345" s="41" t="s">
        <v>2634</v>
      </c>
      <c r="K345" s="42" t="s">
        <v>2635</v>
      </c>
      <c r="L345" s="42" t="s">
        <v>2636</v>
      </c>
      <c r="M345" s="42" t="s">
        <v>962</v>
      </c>
      <c r="N345" s="42">
        <v>0.0</v>
      </c>
      <c r="O345" s="42">
        <v>1.0</v>
      </c>
      <c r="P345" s="42">
        <v>2.0</v>
      </c>
      <c r="Q345" s="42">
        <v>0.0</v>
      </c>
      <c r="R345" s="42">
        <v>0.0</v>
      </c>
      <c r="S345" s="42">
        <v>1.0</v>
      </c>
      <c r="T345" s="42" t="s">
        <v>2637</v>
      </c>
      <c r="U345" s="42">
        <v>1.0</v>
      </c>
      <c r="V345" s="42">
        <v>8.0</v>
      </c>
      <c r="W345" s="42">
        <v>0.0</v>
      </c>
      <c r="X345" s="42">
        <v>100.0</v>
      </c>
      <c r="Y345" s="42">
        <v>0.0</v>
      </c>
    </row>
    <row r="346" ht="22.5" customHeight="1">
      <c r="A346" s="41"/>
      <c r="B346" s="41">
        <v>5444.0</v>
      </c>
      <c r="C346" s="41" t="s">
        <v>271</v>
      </c>
      <c r="D346" s="41" t="s">
        <v>2638</v>
      </c>
      <c r="E346" s="41" t="s">
        <v>2638</v>
      </c>
      <c r="F346" s="41" t="s">
        <v>271</v>
      </c>
      <c r="G346" s="41">
        <v>381.0</v>
      </c>
      <c r="H346" s="41" t="s">
        <v>2639</v>
      </c>
      <c r="I346" s="41"/>
      <c r="J346" s="41" t="s">
        <v>2639</v>
      </c>
      <c r="K346" s="42" t="s">
        <v>2640</v>
      </c>
      <c r="L346" s="42" t="s">
        <v>2641</v>
      </c>
      <c r="N346" s="42">
        <v>0.0</v>
      </c>
      <c r="O346" s="42">
        <v>0.0</v>
      </c>
      <c r="P346" s="42">
        <v>2.0</v>
      </c>
      <c r="Q346" s="42">
        <v>0.0</v>
      </c>
      <c r="R346" s="42">
        <v>0.0</v>
      </c>
      <c r="S346" s="42">
        <v>0.0</v>
      </c>
      <c r="T346" s="42" t="s">
        <v>2642</v>
      </c>
      <c r="U346" s="42">
        <v>1.0</v>
      </c>
      <c r="V346" s="42">
        <v>0.0</v>
      </c>
      <c r="W346" s="42">
        <v>0.0</v>
      </c>
      <c r="X346" s="42">
        <v>100.0</v>
      </c>
      <c r="Y346" s="42">
        <v>0.0</v>
      </c>
    </row>
    <row r="347" ht="22.5" customHeight="1">
      <c r="A347" s="41"/>
      <c r="B347" s="41">
        <v>5445.0</v>
      </c>
      <c r="C347" s="41" t="s">
        <v>271</v>
      </c>
      <c r="D347" s="41" t="s">
        <v>2643</v>
      </c>
      <c r="E347" s="41" t="s">
        <v>2643</v>
      </c>
      <c r="F347" s="41" t="s">
        <v>271</v>
      </c>
      <c r="G347" s="41">
        <v>382.0</v>
      </c>
      <c r="H347" s="41" t="s">
        <v>2644</v>
      </c>
      <c r="I347" s="41"/>
      <c r="J347" s="41" t="s">
        <v>2644</v>
      </c>
      <c r="K347" s="42" t="s">
        <v>2645</v>
      </c>
      <c r="L347" s="42" t="s">
        <v>2646</v>
      </c>
      <c r="M347" s="42" t="s">
        <v>1826</v>
      </c>
      <c r="N347" s="42">
        <v>0.0</v>
      </c>
      <c r="O347" s="42">
        <v>1.0</v>
      </c>
      <c r="P347" s="42">
        <v>2.0</v>
      </c>
      <c r="Q347" s="42">
        <v>0.0</v>
      </c>
      <c r="R347" s="42">
        <v>7.0</v>
      </c>
      <c r="S347" s="42">
        <v>0.0</v>
      </c>
      <c r="T347" s="42" t="s">
        <v>2647</v>
      </c>
      <c r="U347" s="42">
        <v>1.0</v>
      </c>
      <c r="V347" s="42">
        <v>6.0</v>
      </c>
      <c r="W347" s="42">
        <v>0.0</v>
      </c>
      <c r="X347" s="42">
        <v>100.0</v>
      </c>
      <c r="Y347" s="42">
        <v>0.0</v>
      </c>
    </row>
    <row r="348" ht="22.5" customHeight="1">
      <c r="A348" s="41"/>
      <c r="B348" s="41">
        <v>5446.0</v>
      </c>
      <c r="C348" s="41" t="s">
        <v>271</v>
      </c>
      <c r="D348" s="41" t="s">
        <v>2648</v>
      </c>
      <c r="E348" s="41" t="s">
        <v>2648</v>
      </c>
      <c r="F348" s="41" t="s">
        <v>271</v>
      </c>
      <c r="G348" s="41">
        <v>383.0</v>
      </c>
      <c r="H348" s="41" t="s">
        <v>2649</v>
      </c>
      <c r="I348" s="41"/>
      <c r="J348" s="41" t="s">
        <v>2649</v>
      </c>
      <c r="K348" s="42" t="s">
        <v>2650</v>
      </c>
      <c r="L348" s="42" t="s">
        <v>2651</v>
      </c>
      <c r="M348" s="42" t="s">
        <v>1130</v>
      </c>
      <c r="N348" s="42">
        <v>0.0</v>
      </c>
      <c r="O348" s="42">
        <v>1.0</v>
      </c>
      <c r="P348" s="42">
        <v>2.0</v>
      </c>
      <c r="Q348" s="42">
        <v>0.0</v>
      </c>
      <c r="R348" s="42">
        <v>6.0</v>
      </c>
      <c r="S348" s="42">
        <v>0.0</v>
      </c>
      <c r="T348" s="42" t="s">
        <v>2652</v>
      </c>
      <c r="U348" s="42">
        <v>1.0</v>
      </c>
      <c r="V348" s="42">
        <v>8.0</v>
      </c>
      <c r="W348" s="42">
        <v>0.0</v>
      </c>
      <c r="X348" s="42">
        <v>100.0</v>
      </c>
      <c r="Y348" s="42">
        <v>0.0</v>
      </c>
    </row>
    <row r="349" ht="22.5" customHeight="1">
      <c r="A349" s="41"/>
      <c r="B349" s="41">
        <v>5447.0</v>
      </c>
      <c r="C349" s="41" t="s">
        <v>271</v>
      </c>
      <c r="D349" s="41" t="s">
        <v>2653</v>
      </c>
      <c r="E349" s="41" t="s">
        <v>2653</v>
      </c>
      <c r="F349" s="41" t="s">
        <v>271</v>
      </c>
      <c r="G349" s="41">
        <v>384.0</v>
      </c>
      <c r="H349" s="41" t="s">
        <v>2654</v>
      </c>
      <c r="I349" s="41"/>
      <c r="J349" s="41" t="s">
        <v>2654</v>
      </c>
      <c r="K349" s="42" t="s">
        <v>2655</v>
      </c>
      <c r="L349" s="42" t="s">
        <v>2656</v>
      </c>
      <c r="N349" s="42">
        <v>0.0</v>
      </c>
      <c r="O349" s="42">
        <v>0.0</v>
      </c>
      <c r="P349" s="42">
        <v>2.0</v>
      </c>
      <c r="Q349" s="42">
        <v>0.0</v>
      </c>
      <c r="R349" s="42">
        <v>0.0</v>
      </c>
      <c r="S349" s="42">
        <v>0.0</v>
      </c>
      <c r="T349" s="42" t="s">
        <v>2657</v>
      </c>
      <c r="U349" s="42">
        <v>1.0</v>
      </c>
      <c r="V349" s="42">
        <v>0.0</v>
      </c>
      <c r="W349" s="42">
        <v>0.0</v>
      </c>
      <c r="X349" s="42">
        <v>100.0</v>
      </c>
      <c r="Y349" s="42">
        <v>0.0</v>
      </c>
    </row>
    <row r="350" ht="22.5" customHeight="1">
      <c r="A350" s="41"/>
      <c r="B350" s="41">
        <v>5448.0</v>
      </c>
      <c r="C350" s="41" t="s">
        <v>271</v>
      </c>
      <c r="D350" s="41" t="s">
        <v>2658</v>
      </c>
      <c r="E350" s="41" t="s">
        <v>2658</v>
      </c>
      <c r="F350" s="41" t="s">
        <v>271</v>
      </c>
      <c r="G350" s="41">
        <v>385.0</v>
      </c>
      <c r="H350" s="41" t="s">
        <v>2659</v>
      </c>
      <c r="I350" s="41"/>
      <c r="J350" s="41" t="s">
        <v>2659</v>
      </c>
      <c r="K350" s="42" t="s">
        <v>2660</v>
      </c>
      <c r="L350" s="42" t="s">
        <v>2661</v>
      </c>
      <c r="M350" s="42" t="s">
        <v>1130</v>
      </c>
      <c r="N350" s="42">
        <v>0.0</v>
      </c>
      <c r="O350" s="42">
        <v>1.0</v>
      </c>
      <c r="P350" s="42">
        <v>2.0</v>
      </c>
      <c r="Q350" s="42">
        <v>0.0</v>
      </c>
      <c r="R350" s="42">
        <v>1.0</v>
      </c>
      <c r="S350" s="42">
        <v>0.0</v>
      </c>
      <c r="T350" s="42" t="s">
        <v>2662</v>
      </c>
      <c r="U350" s="42">
        <v>1.0</v>
      </c>
      <c r="V350" s="42">
        <v>8.0</v>
      </c>
      <c r="W350" s="42">
        <v>0.0</v>
      </c>
      <c r="X350" s="42">
        <v>100.0</v>
      </c>
      <c r="Y350" s="42">
        <v>0.0</v>
      </c>
    </row>
    <row r="351" ht="22.5" customHeight="1">
      <c r="A351" s="41"/>
      <c r="B351" s="41">
        <v>5449.0</v>
      </c>
      <c r="C351" s="41" t="s">
        <v>271</v>
      </c>
      <c r="D351" s="41" t="s">
        <v>2663</v>
      </c>
      <c r="E351" s="41" t="s">
        <v>2663</v>
      </c>
      <c r="F351" s="41" t="s">
        <v>271</v>
      </c>
      <c r="G351" s="41">
        <v>386.0</v>
      </c>
      <c r="H351" s="41" t="s">
        <v>2664</v>
      </c>
      <c r="I351" s="41"/>
      <c r="J351" s="41" t="s">
        <v>2664</v>
      </c>
      <c r="K351" s="42" t="s">
        <v>2665</v>
      </c>
      <c r="L351" s="42" t="s">
        <v>2666</v>
      </c>
      <c r="M351" s="42" t="s">
        <v>1028</v>
      </c>
      <c r="N351" s="42">
        <v>0.0</v>
      </c>
      <c r="O351" s="42">
        <v>1.0</v>
      </c>
      <c r="P351" s="42">
        <v>2.0</v>
      </c>
      <c r="Q351" s="42">
        <v>0.0</v>
      </c>
      <c r="R351" s="42">
        <v>1.0</v>
      </c>
      <c r="S351" s="42">
        <v>0.0</v>
      </c>
      <c r="T351" s="42" t="s">
        <v>2667</v>
      </c>
      <c r="U351" s="42">
        <v>1.0</v>
      </c>
      <c r="V351" s="42">
        <v>8.0</v>
      </c>
      <c r="W351" s="42">
        <v>0.0</v>
      </c>
      <c r="X351" s="42">
        <v>100.0</v>
      </c>
      <c r="Y351" s="42">
        <v>0.0</v>
      </c>
    </row>
    <row r="352" ht="22.5" customHeight="1">
      <c r="A352" s="41"/>
      <c r="B352" s="41">
        <v>5450.0</v>
      </c>
      <c r="C352" s="41" t="s">
        <v>271</v>
      </c>
      <c r="D352" s="41" t="s">
        <v>2668</v>
      </c>
      <c r="E352" s="41" t="s">
        <v>2668</v>
      </c>
      <c r="F352" s="41" t="s">
        <v>271</v>
      </c>
      <c r="G352" s="41">
        <v>387.0</v>
      </c>
      <c r="H352" s="41" t="s">
        <v>2669</v>
      </c>
      <c r="I352" s="41"/>
      <c r="J352" s="41" t="s">
        <v>2669</v>
      </c>
      <c r="K352" s="42" t="s">
        <v>2670</v>
      </c>
      <c r="L352" s="42" t="s">
        <v>2671</v>
      </c>
      <c r="M352" s="42" t="s">
        <v>1043</v>
      </c>
      <c r="N352" s="42">
        <v>0.0</v>
      </c>
      <c r="O352" s="42">
        <v>1.0</v>
      </c>
      <c r="P352" s="42">
        <v>2.0</v>
      </c>
      <c r="Q352" s="42">
        <v>0.0</v>
      </c>
      <c r="R352" s="42">
        <v>1.0</v>
      </c>
      <c r="S352" s="42">
        <v>0.0</v>
      </c>
      <c r="T352" s="42" t="s">
        <v>2672</v>
      </c>
      <c r="U352" s="42">
        <v>1.0</v>
      </c>
      <c r="V352" s="42">
        <v>5.0</v>
      </c>
      <c r="W352" s="42">
        <v>0.0</v>
      </c>
      <c r="X352" s="42">
        <v>100.0</v>
      </c>
      <c r="Y352" s="42">
        <v>0.0</v>
      </c>
    </row>
    <row r="353" ht="22.5" customHeight="1">
      <c r="A353" s="41"/>
      <c r="B353" s="41">
        <v>5451.0</v>
      </c>
      <c r="C353" s="41" t="s">
        <v>271</v>
      </c>
      <c r="D353" s="41" t="s">
        <v>2673</v>
      </c>
      <c r="E353" s="41" t="s">
        <v>2673</v>
      </c>
      <c r="F353" s="41" t="s">
        <v>271</v>
      </c>
      <c r="G353" s="41">
        <v>388.0</v>
      </c>
      <c r="H353" s="41" t="s">
        <v>2674</v>
      </c>
      <c r="I353" s="41"/>
      <c r="J353" s="41" t="s">
        <v>2674</v>
      </c>
      <c r="K353" s="42" t="s">
        <v>2675</v>
      </c>
      <c r="L353" s="42" t="s">
        <v>2676</v>
      </c>
      <c r="M353" s="42" t="s">
        <v>1028</v>
      </c>
      <c r="N353" s="42">
        <v>0.0</v>
      </c>
      <c r="O353" s="42">
        <v>1.0</v>
      </c>
      <c r="P353" s="42">
        <v>2.0</v>
      </c>
      <c r="Q353" s="42">
        <v>0.0</v>
      </c>
      <c r="R353" s="42">
        <v>11.0</v>
      </c>
      <c r="S353" s="42">
        <v>0.0</v>
      </c>
      <c r="T353" s="42" t="s">
        <v>2677</v>
      </c>
      <c r="U353" s="42">
        <v>1.0</v>
      </c>
      <c r="V353" s="42">
        <v>3.0</v>
      </c>
      <c r="W353" s="42">
        <v>0.0</v>
      </c>
      <c r="X353" s="42">
        <v>100.0</v>
      </c>
      <c r="Y353" s="42">
        <v>0.0</v>
      </c>
    </row>
    <row r="354" ht="22.5" customHeight="1">
      <c r="A354" s="41"/>
      <c r="B354" s="41">
        <v>5452.0</v>
      </c>
      <c r="C354" s="41" t="s">
        <v>271</v>
      </c>
      <c r="D354" s="41" t="s">
        <v>2678</v>
      </c>
      <c r="E354" s="41" t="s">
        <v>2678</v>
      </c>
      <c r="F354" s="41" t="s">
        <v>271</v>
      </c>
      <c r="G354" s="41">
        <v>389.0</v>
      </c>
      <c r="H354" s="41" t="s">
        <v>2679</v>
      </c>
      <c r="I354" s="41"/>
      <c r="J354" s="41" t="s">
        <v>2679</v>
      </c>
      <c r="K354" s="42" t="s">
        <v>2680</v>
      </c>
      <c r="L354" s="42" t="s">
        <v>2681</v>
      </c>
      <c r="M354" s="42" t="s">
        <v>1043</v>
      </c>
      <c r="N354" s="42">
        <v>0.0</v>
      </c>
      <c r="O354" s="42">
        <v>1.0</v>
      </c>
      <c r="P354" s="42">
        <v>2.0</v>
      </c>
      <c r="Q354" s="42">
        <v>0.0</v>
      </c>
      <c r="R354" s="42">
        <v>8.0</v>
      </c>
      <c r="S354" s="42">
        <v>0.0</v>
      </c>
      <c r="T354" s="42" t="s">
        <v>2682</v>
      </c>
      <c r="U354" s="42">
        <v>1.0</v>
      </c>
      <c r="V354" s="42">
        <v>8.0</v>
      </c>
      <c r="W354" s="42">
        <v>0.0</v>
      </c>
      <c r="X354" s="42">
        <v>100.0</v>
      </c>
      <c r="Y354" s="42">
        <v>0.0</v>
      </c>
    </row>
    <row r="355" ht="22.5" customHeight="1">
      <c r="A355" s="41"/>
      <c r="B355" s="41">
        <v>5453.0</v>
      </c>
      <c r="C355" s="41" t="s">
        <v>271</v>
      </c>
      <c r="D355" s="41" t="s">
        <v>2683</v>
      </c>
      <c r="E355" s="41" t="s">
        <v>2683</v>
      </c>
      <c r="F355" s="41" t="s">
        <v>271</v>
      </c>
      <c r="G355" s="41">
        <v>390.0</v>
      </c>
      <c r="H355" s="41" t="s">
        <v>2683</v>
      </c>
      <c r="I355" s="41"/>
      <c r="J355" s="41" t="s">
        <v>2683</v>
      </c>
      <c r="K355" s="42" t="s">
        <v>2684</v>
      </c>
      <c r="L355" s="42" t="s">
        <v>2685</v>
      </c>
      <c r="N355" s="42">
        <v>0.0</v>
      </c>
      <c r="O355" s="42">
        <v>0.0</v>
      </c>
      <c r="P355" s="42">
        <v>2.0</v>
      </c>
      <c r="Q355" s="42">
        <v>0.0</v>
      </c>
      <c r="R355" s="42">
        <v>0.0</v>
      </c>
      <c r="S355" s="42">
        <v>1.0</v>
      </c>
      <c r="T355" s="42" t="s">
        <v>2686</v>
      </c>
      <c r="U355" s="42">
        <v>0.0</v>
      </c>
      <c r="V355" s="42">
        <v>8.0</v>
      </c>
      <c r="W355" s="42">
        <v>0.0</v>
      </c>
      <c r="X355" s="42">
        <v>100.0</v>
      </c>
      <c r="Y355" s="42">
        <v>0.0</v>
      </c>
    </row>
    <row r="356" ht="22.5" customHeight="1">
      <c r="A356" s="41"/>
      <c r="B356" s="41">
        <v>5454.0</v>
      </c>
      <c r="C356" s="41" t="s">
        <v>271</v>
      </c>
      <c r="D356" s="41" t="s">
        <v>2687</v>
      </c>
      <c r="E356" s="41" t="s">
        <v>2687</v>
      </c>
      <c r="F356" s="41" t="s">
        <v>271</v>
      </c>
      <c r="G356" s="41">
        <v>391.0</v>
      </c>
      <c r="H356" s="41" t="s">
        <v>2688</v>
      </c>
      <c r="I356" s="41"/>
      <c r="J356" s="41" t="s">
        <v>2688</v>
      </c>
      <c r="K356" s="42" t="s">
        <v>2689</v>
      </c>
      <c r="L356" s="42" t="s">
        <v>2690</v>
      </c>
      <c r="N356" s="42">
        <v>0.0</v>
      </c>
      <c r="O356" s="42">
        <v>0.0</v>
      </c>
      <c r="P356" s="42">
        <v>2.0</v>
      </c>
      <c r="Q356" s="42">
        <v>0.0</v>
      </c>
      <c r="R356" s="42">
        <v>0.0</v>
      </c>
      <c r="S356" s="42">
        <v>0.0</v>
      </c>
      <c r="T356" s="42" t="s">
        <v>2691</v>
      </c>
      <c r="U356" s="42">
        <v>1.0</v>
      </c>
      <c r="V356" s="42">
        <v>0.0</v>
      </c>
      <c r="W356" s="42">
        <v>0.0</v>
      </c>
      <c r="X356" s="42">
        <v>100.0</v>
      </c>
      <c r="Y356" s="42">
        <v>0.0</v>
      </c>
    </row>
    <row r="357" ht="22.5" customHeight="1">
      <c r="A357" s="41"/>
      <c r="B357" s="41">
        <v>5455.0</v>
      </c>
      <c r="C357" s="41" t="s">
        <v>271</v>
      </c>
      <c r="D357" s="41" t="s">
        <v>2692</v>
      </c>
      <c r="E357" s="41" t="s">
        <v>2692</v>
      </c>
      <c r="F357" s="41" t="s">
        <v>271</v>
      </c>
      <c r="G357" s="41">
        <v>392.0</v>
      </c>
      <c r="H357" s="41" t="s">
        <v>2692</v>
      </c>
      <c r="I357" s="41"/>
      <c r="J357" s="41" t="s">
        <v>2692</v>
      </c>
      <c r="K357" s="42" t="s">
        <v>2693</v>
      </c>
      <c r="L357" s="42" t="s">
        <v>2694</v>
      </c>
      <c r="M357" s="42" t="s">
        <v>1028</v>
      </c>
      <c r="N357" s="42">
        <v>0.0</v>
      </c>
      <c r="O357" s="42">
        <v>1.0</v>
      </c>
      <c r="P357" s="42">
        <v>2.0</v>
      </c>
      <c r="Q357" s="42">
        <v>0.0</v>
      </c>
      <c r="R357" s="42">
        <v>7.0</v>
      </c>
      <c r="S357" s="42">
        <v>0.0</v>
      </c>
      <c r="T357" s="42" t="s">
        <v>2695</v>
      </c>
      <c r="U357" s="42">
        <v>1.0</v>
      </c>
      <c r="V357" s="42">
        <v>8.0</v>
      </c>
      <c r="W357" s="42">
        <v>0.0</v>
      </c>
      <c r="X357" s="42">
        <v>100.0</v>
      </c>
      <c r="Y357" s="42">
        <v>0.0</v>
      </c>
    </row>
    <row r="358" ht="22.5" customHeight="1">
      <c r="A358" s="41"/>
      <c r="B358" s="41">
        <v>5456.0</v>
      </c>
      <c r="C358" s="41" t="s">
        <v>271</v>
      </c>
      <c r="D358" s="41" t="s">
        <v>2696</v>
      </c>
      <c r="E358" s="41" t="s">
        <v>2696</v>
      </c>
      <c r="F358" s="41" t="s">
        <v>271</v>
      </c>
      <c r="G358" s="41">
        <v>393.0</v>
      </c>
      <c r="H358" s="41" t="s">
        <v>2697</v>
      </c>
      <c r="I358" s="41"/>
      <c r="J358" s="41" t="s">
        <v>2697</v>
      </c>
      <c r="K358" s="42" t="s">
        <v>2698</v>
      </c>
      <c r="L358" s="42" t="s">
        <v>2699</v>
      </c>
      <c r="M358" s="42" t="s">
        <v>1028</v>
      </c>
      <c r="N358" s="42">
        <v>0.0</v>
      </c>
      <c r="O358" s="42">
        <v>1.0</v>
      </c>
      <c r="P358" s="42">
        <v>2.0</v>
      </c>
      <c r="Q358" s="42">
        <v>0.0</v>
      </c>
      <c r="R358" s="42">
        <v>1.0</v>
      </c>
      <c r="S358" s="42">
        <v>0.0</v>
      </c>
      <c r="T358" s="42" t="s">
        <v>2700</v>
      </c>
      <c r="U358" s="42">
        <v>1.0</v>
      </c>
      <c r="V358" s="42">
        <v>8.0</v>
      </c>
      <c r="W358" s="42">
        <v>0.0</v>
      </c>
      <c r="X358" s="42">
        <v>100.0</v>
      </c>
      <c r="Y358" s="42">
        <v>0.0</v>
      </c>
    </row>
    <row r="359" ht="22.5" customHeight="1">
      <c r="A359" s="41"/>
      <c r="B359" s="41">
        <v>5457.0</v>
      </c>
      <c r="C359" s="41" t="s">
        <v>271</v>
      </c>
      <c r="D359" s="41" t="s">
        <v>2701</v>
      </c>
      <c r="E359" s="41" t="s">
        <v>2701</v>
      </c>
      <c r="F359" s="41" t="s">
        <v>271</v>
      </c>
      <c r="G359" s="41">
        <v>394.0</v>
      </c>
      <c r="H359" s="41" t="s">
        <v>2702</v>
      </c>
      <c r="I359" s="41"/>
      <c r="J359" s="41" t="s">
        <v>2702</v>
      </c>
      <c r="K359" s="42" t="s">
        <v>2703</v>
      </c>
      <c r="L359" s="42" t="s">
        <v>2704</v>
      </c>
      <c r="M359" s="42" t="s">
        <v>1028</v>
      </c>
      <c r="N359" s="42">
        <v>0.0</v>
      </c>
      <c r="O359" s="42">
        <v>1.0</v>
      </c>
      <c r="P359" s="42">
        <v>2.0</v>
      </c>
      <c r="Q359" s="42">
        <v>0.0</v>
      </c>
      <c r="R359" s="42">
        <v>1.0</v>
      </c>
      <c r="S359" s="42">
        <v>0.0</v>
      </c>
      <c r="T359" s="42" t="s">
        <v>2705</v>
      </c>
      <c r="U359" s="42">
        <v>1.0</v>
      </c>
      <c r="V359" s="42">
        <v>1.0</v>
      </c>
      <c r="W359" s="42">
        <v>0.0</v>
      </c>
      <c r="X359" s="42">
        <v>100.0</v>
      </c>
      <c r="Y359" s="42">
        <v>0.0</v>
      </c>
    </row>
    <row r="360" ht="22.5" customHeight="1">
      <c r="A360" s="41"/>
      <c r="B360" s="41">
        <v>5458.0</v>
      </c>
      <c r="C360" s="41" t="s">
        <v>271</v>
      </c>
      <c r="D360" s="41" t="s">
        <v>2706</v>
      </c>
      <c r="E360" s="41" t="s">
        <v>2706</v>
      </c>
      <c r="F360" s="41" t="s">
        <v>271</v>
      </c>
      <c r="G360" s="41">
        <v>395.0</v>
      </c>
      <c r="H360" s="41" t="s">
        <v>2706</v>
      </c>
      <c r="I360" s="41"/>
      <c r="J360" s="41" t="s">
        <v>2706</v>
      </c>
      <c r="K360" s="42" t="s">
        <v>2707</v>
      </c>
      <c r="L360" s="42" t="s">
        <v>2708</v>
      </c>
      <c r="M360" s="42" t="s">
        <v>962</v>
      </c>
      <c r="N360" s="42">
        <v>0.0</v>
      </c>
      <c r="O360" s="42">
        <v>1.0</v>
      </c>
      <c r="P360" s="42">
        <v>2.0</v>
      </c>
      <c r="Q360" s="42">
        <v>0.0</v>
      </c>
      <c r="R360" s="42">
        <v>0.0</v>
      </c>
      <c r="S360" s="42">
        <v>1.0</v>
      </c>
      <c r="T360" s="42" t="s">
        <v>2709</v>
      </c>
      <c r="U360" s="42">
        <v>1.0</v>
      </c>
      <c r="V360" s="42">
        <v>8.0</v>
      </c>
      <c r="W360" s="42">
        <v>0.0</v>
      </c>
      <c r="X360" s="42">
        <v>100.0</v>
      </c>
      <c r="Y360" s="42">
        <v>0.0</v>
      </c>
    </row>
    <row r="361" ht="22.5" customHeight="1">
      <c r="A361" s="41"/>
      <c r="B361" s="41">
        <v>5459.0</v>
      </c>
      <c r="C361" s="41" t="s">
        <v>271</v>
      </c>
      <c r="D361" s="41" t="s">
        <v>2710</v>
      </c>
      <c r="E361" s="41" t="s">
        <v>2710</v>
      </c>
      <c r="F361" s="41" t="s">
        <v>271</v>
      </c>
      <c r="G361" s="41">
        <v>396.0</v>
      </c>
      <c r="H361" s="41" t="s">
        <v>2711</v>
      </c>
      <c r="I361" s="41"/>
      <c r="J361" s="41" t="s">
        <v>2711</v>
      </c>
      <c r="K361" s="42" t="s">
        <v>2712</v>
      </c>
      <c r="L361" s="42" t="s">
        <v>2713</v>
      </c>
      <c r="M361" s="42" t="s">
        <v>1043</v>
      </c>
      <c r="N361" s="42">
        <v>0.0</v>
      </c>
      <c r="O361" s="42">
        <v>1.0</v>
      </c>
      <c r="P361" s="42">
        <v>2.0</v>
      </c>
      <c r="Q361" s="42">
        <v>0.0</v>
      </c>
      <c r="R361" s="42">
        <v>1.0</v>
      </c>
      <c r="S361" s="42">
        <v>0.0</v>
      </c>
      <c r="T361" s="42" t="s">
        <v>2714</v>
      </c>
      <c r="U361" s="42">
        <v>1.0</v>
      </c>
      <c r="V361" s="42">
        <v>6.0</v>
      </c>
      <c r="W361" s="42">
        <v>0.0</v>
      </c>
      <c r="X361" s="42">
        <v>100.0</v>
      </c>
      <c r="Y361" s="42">
        <v>0.0</v>
      </c>
    </row>
    <row r="362" ht="22.5" customHeight="1">
      <c r="A362" s="41"/>
      <c r="B362" s="41">
        <v>5460.0</v>
      </c>
      <c r="C362" s="41" t="s">
        <v>271</v>
      </c>
      <c r="D362" s="41" t="s">
        <v>2715</v>
      </c>
      <c r="E362" s="41" t="s">
        <v>2715</v>
      </c>
      <c r="F362" s="41" t="s">
        <v>271</v>
      </c>
      <c r="G362" s="41">
        <v>397.0</v>
      </c>
      <c r="H362" s="41" t="s">
        <v>2716</v>
      </c>
      <c r="I362" s="41"/>
      <c r="J362" s="41" t="s">
        <v>2716</v>
      </c>
      <c r="K362" s="42" t="s">
        <v>2717</v>
      </c>
      <c r="L362" s="42" t="s">
        <v>2718</v>
      </c>
      <c r="M362" s="42" t="s">
        <v>1130</v>
      </c>
      <c r="N362" s="42">
        <v>0.0</v>
      </c>
      <c r="O362" s="42">
        <v>1.0</v>
      </c>
      <c r="P362" s="42">
        <v>2.0</v>
      </c>
      <c r="Q362" s="42">
        <v>0.0</v>
      </c>
      <c r="R362" s="42">
        <v>1.0</v>
      </c>
      <c r="S362" s="42">
        <v>0.0</v>
      </c>
      <c r="T362" s="42" t="s">
        <v>2719</v>
      </c>
      <c r="U362" s="42">
        <v>1.0</v>
      </c>
      <c r="V362" s="42">
        <v>5.0</v>
      </c>
      <c r="W362" s="42">
        <v>0.0</v>
      </c>
      <c r="X362" s="42">
        <v>100.0</v>
      </c>
      <c r="Y362" s="42">
        <v>0.0</v>
      </c>
    </row>
    <row r="363" ht="22.5" customHeight="1">
      <c r="A363" s="41"/>
      <c r="B363" s="41">
        <v>5461.0</v>
      </c>
      <c r="C363" s="41" t="s">
        <v>271</v>
      </c>
      <c r="D363" s="41" t="s">
        <v>2720</v>
      </c>
      <c r="E363" s="41" t="s">
        <v>2720</v>
      </c>
      <c r="F363" s="41" t="s">
        <v>271</v>
      </c>
      <c r="G363" s="41">
        <v>398.0</v>
      </c>
      <c r="H363" s="41" t="s">
        <v>2721</v>
      </c>
      <c r="I363" s="41"/>
      <c r="J363" s="41" t="s">
        <v>2721</v>
      </c>
      <c r="K363" s="42" t="s">
        <v>2722</v>
      </c>
      <c r="L363" s="42" t="s">
        <v>2723</v>
      </c>
      <c r="M363" s="42" t="s">
        <v>1043</v>
      </c>
      <c r="N363" s="42">
        <v>0.0</v>
      </c>
      <c r="O363" s="42">
        <v>1.0</v>
      </c>
      <c r="P363" s="42">
        <v>2.0</v>
      </c>
      <c r="Q363" s="42">
        <v>0.0</v>
      </c>
      <c r="R363" s="42">
        <v>1.0</v>
      </c>
      <c r="S363" s="42">
        <v>0.0</v>
      </c>
      <c r="T363" s="42" t="s">
        <v>2724</v>
      </c>
      <c r="U363" s="42">
        <v>1.0</v>
      </c>
      <c r="V363" s="42">
        <v>5.0</v>
      </c>
      <c r="W363" s="42">
        <v>0.0</v>
      </c>
      <c r="X363" s="42">
        <v>100.0</v>
      </c>
      <c r="Y363" s="42">
        <v>0.0</v>
      </c>
    </row>
    <row r="364" ht="22.5" customHeight="1">
      <c r="A364" s="41"/>
      <c r="B364" s="41">
        <v>5462.0</v>
      </c>
      <c r="C364" s="41" t="s">
        <v>271</v>
      </c>
      <c r="D364" s="41" t="s">
        <v>2725</v>
      </c>
      <c r="E364" s="41" t="s">
        <v>2725</v>
      </c>
      <c r="F364" s="41" t="s">
        <v>271</v>
      </c>
      <c r="G364" s="41">
        <v>399.0</v>
      </c>
      <c r="H364" s="41" t="s">
        <v>2726</v>
      </c>
      <c r="I364" s="41"/>
      <c r="J364" s="41" t="s">
        <v>2726</v>
      </c>
      <c r="K364" s="42" t="s">
        <v>2727</v>
      </c>
      <c r="L364" s="42" t="s">
        <v>2728</v>
      </c>
      <c r="M364" s="42" t="s">
        <v>1028</v>
      </c>
      <c r="N364" s="42">
        <v>0.0</v>
      </c>
      <c r="O364" s="42">
        <v>1.0</v>
      </c>
      <c r="P364" s="42">
        <v>2.0</v>
      </c>
      <c r="Q364" s="42">
        <v>0.0</v>
      </c>
      <c r="R364" s="42">
        <v>1.0</v>
      </c>
      <c r="S364" s="42">
        <v>0.0</v>
      </c>
      <c r="T364" s="42" t="s">
        <v>2729</v>
      </c>
      <c r="U364" s="42">
        <v>1.0</v>
      </c>
      <c r="V364" s="42">
        <v>8.0</v>
      </c>
      <c r="W364" s="42">
        <v>0.0</v>
      </c>
      <c r="X364" s="42">
        <v>100.0</v>
      </c>
      <c r="Y364" s="42">
        <v>0.0</v>
      </c>
    </row>
    <row r="365" ht="22.5" customHeight="1">
      <c r="A365" s="41"/>
      <c r="B365" s="41">
        <v>5463.0</v>
      </c>
      <c r="C365" s="41" t="s">
        <v>271</v>
      </c>
      <c r="D365" s="41" t="s">
        <v>2730</v>
      </c>
      <c r="E365" s="41" t="s">
        <v>2730</v>
      </c>
      <c r="F365" s="41" t="s">
        <v>271</v>
      </c>
      <c r="G365" s="41">
        <v>400.0</v>
      </c>
      <c r="H365" s="41" t="s">
        <v>2730</v>
      </c>
      <c r="I365" s="41"/>
      <c r="J365" s="41" t="s">
        <v>2730</v>
      </c>
      <c r="K365" s="42" t="s">
        <v>2731</v>
      </c>
      <c r="L365" s="42" t="s">
        <v>2732</v>
      </c>
      <c r="M365" s="42" t="s">
        <v>962</v>
      </c>
      <c r="N365" s="42">
        <v>0.0</v>
      </c>
      <c r="O365" s="42">
        <v>1.0</v>
      </c>
      <c r="P365" s="42">
        <v>2.0</v>
      </c>
      <c r="Q365" s="42">
        <v>0.0</v>
      </c>
      <c r="R365" s="42">
        <v>0.0</v>
      </c>
      <c r="S365" s="42">
        <v>1.0</v>
      </c>
      <c r="T365" s="42" t="s">
        <v>2733</v>
      </c>
      <c r="U365" s="42">
        <v>1.0</v>
      </c>
      <c r="V365" s="42">
        <v>8.0</v>
      </c>
      <c r="W365" s="42">
        <v>0.0</v>
      </c>
      <c r="X365" s="42">
        <v>100.0</v>
      </c>
      <c r="Y365" s="42">
        <v>0.0</v>
      </c>
    </row>
    <row r="366" ht="22.5" customHeight="1">
      <c r="A366" s="41"/>
      <c r="B366" s="41">
        <v>5464.0</v>
      </c>
      <c r="C366" s="41" t="s">
        <v>271</v>
      </c>
      <c r="D366" s="41" t="s">
        <v>2734</v>
      </c>
      <c r="E366" s="41" t="s">
        <v>2734</v>
      </c>
      <c r="F366" s="41" t="s">
        <v>271</v>
      </c>
      <c r="G366" s="41">
        <v>401.0</v>
      </c>
      <c r="H366" s="41" t="s">
        <v>2735</v>
      </c>
      <c r="I366" s="41"/>
      <c r="J366" s="41" t="s">
        <v>2735</v>
      </c>
      <c r="K366" s="42" t="s">
        <v>2736</v>
      </c>
      <c r="L366" s="42" t="s">
        <v>2737</v>
      </c>
      <c r="N366" s="42">
        <v>0.0</v>
      </c>
      <c r="O366" s="42">
        <v>0.0</v>
      </c>
      <c r="P366" s="42">
        <v>2.0</v>
      </c>
      <c r="Q366" s="42">
        <v>0.0</v>
      </c>
      <c r="R366" s="42">
        <v>0.0</v>
      </c>
      <c r="S366" s="42">
        <v>0.0</v>
      </c>
      <c r="T366" s="42" t="s">
        <v>2738</v>
      </c>
      <c r="U366" s="42">
        <v>1.0</v>
      </c>
      <c r="V366" s="42">
        <v>0.0</v>
      </c>
      <c r="W366" s="42">
        <v>0.0</v>
      </c>
      <c r="X366" s="42">
        <v>100.0</v>
      </c>
      <c r="Y366" s="42">
        <v>0.0</v>
      </c>
    </row>
    <row r="367" ht="22.5" customHeight="1">
      <c r="A367" s="41"/>
      <c r="B367" s="41">
        <v>5465.0</v>
      </c>
      <c r="C367" s="41" t="s">
        <v>271</v>
      </c>
      <c r="D367" s="41" t="s">
        <v>2739</v>
      </c>
      <c r="E367" s="41" t="s">
        <v>2739</v>
      </c>
      <c r="F367" s="41" t="s">
        <v>271</v>
      </c>
      <c r="G367" s="41">
        <v>402.0</v>
      </c>
      <c r="H367" s="41" t="s">
        <v>2740</v>
      </c>
      <c r="I367" s="41"/>
      <c r="J367" s="41" t="s">
        <v>2740</v>
      </c>
      <c r="K367" s="42" t="s">
        <v>2741</v>
      </c>
      <c r="L367" s="42" t="s">
        <v>2742</v>
      </c>
      <c r="M367" s="42" t="s">
        <v>1043</v>
      </c>
      <c r="N367" s="42">
        <v>0.0</v>
      </c>
      <c r="O367" s="42">
        <v>1.0</v>
      </c>
      <c r="P367" s="42">
        <v>2.0</v>
      </c>
      <c r="Q367" s="42">
        <v>0.0</v>
      </c>
      <c r="R367" s="42">
        <v>1.0</v>
      </c>
      <c r="S367" s="42">
        <v>0.0</v>
      </c>
      <c r="T367" s="42" t="s">
        <v>2743</v>
      </c>
      <c r="U367" s="42">
        <v>1.0</v>
      </c>
      <c r="V367" s="42">
        <v>5.0</v>
      </c>
      <c r="W367" s="42">
        <v>0.0</v>
      </c>
      <c r="X367" s="42">
        <v>100.0</v>
      </c>
      <c r="Y367" s="42">
        <v>0.0</v>
      </c>
    </row>
    <row r="368" ht="22.5" customHeight="1">
      <c r="A368" s="41"/>
      <c r="B368" s="41">
        <v>5466.0</v>
      </c>
      <c r="C368" s="41" t="s">
        <v>271</v>
      </c>
      <c r="D368" s="41" t="s">
        <v>2744</v>
      </c>
      <c r="E368" s="41" t="s">
        <v>2744</v>
      </c>
      <c r="F368" s="41" t="s">
        <v>271</v>
      </c>
      <c r="G368" s="41">
        <v>403.0</v>
      </c>
      <c r="H368" s="41" t="s">
        <v>2744</v>
      </c>
      <c r="I368" s="41"/>
      <c r="J368" s="41" t="s">
        <v>2744</v>
      </c>
      <c r="K368" s="42" t="s">
        <v>2745</v>
      </c>
      <c r="L368" s="42" t="s">
        <v>2746</v>
      </c>
      <c r="N368" s="42">
        <v>0.0</v>
      </c>
      <c r="O368" s="42">
        <v>0.0</v>
      </c>
      <c r="P368" s="42">
        <v>2.0</v>
      </c>
      <c r="Q368" s="42">
        <v>0.0</v>
      </c>
      <c r="R368" s="42">
        <v>0.0</v>
      </c>
      <c r="S368" s="42">
        <v>1.0</v>
      </c>
      <c r="T368" s="42" t="s">
        <v>2747</v>
      </c>
      <c r="U368" s="42">
        <v>0.0</v>
      </c>
      <c r="V368" s="42">
        <v>8.0</v>
      </c>
      <c r="W368" s="42">
        <v>0.0</v>
      </c>
      <c r="X368" s="42">
        <v>100.0</v>
      </c>
      <c r="Y368" s="42">
        <v>0.0</v>
      </c>
    </row>
    <row r="369" ht="22.5" customHeight="1">
      <c r="A369" s="41"/>
      <c r="B369" s="41">
        <v>5467.0</v>
      </c>
      <c r="C369" s="41" t="s">
        <v>271</v>
      </c>
      <c r="D369" s="41" t="s">
        <v>2748</v>
      </c>
      <c r="E369" s="41" t="s">
        <v>2748</v>
      </c>
      <c r="F369" s="41" t="s">
        <v>271</v>
      </c>
      <c r="G369" s="41">
        <v>404.0</v>
      </c>
      <c r="H369" s="41" t="s">
        <v>2749</v>
      </c>
      <c r="I369" s="41"/>
      <c r="J369" s="41" t="s">
        <v>2749</v>
      </c>
      <c r="K369" s="42" t="s">
        <v>2750</v>
      </c>
      <c r="L369" s="42" t="s">
        <v>2751</v>
      </c>
      <c r="M369" s="42" t="s">
        <v>1043</v>
      </c>
      <c r="N369" s="42">
        <v>0.0</v>
      </c>
      <c r="O369" s="42">
        <v>1.0</v>
      </c>
      <c r="P369" s="42">
        <v>2.0</v>
      </c>
      <c r="Q369" s="42">
        <v>0.0</v>
      </c>
      <c r="R369" s="42">
        <v>1.0</v>
      </c>
      <c r="S369" s="42">
        <v>0.0</v>
      </c>
      <c r="T369" s="42" t="s">
        <v>2752</v>
      </c>
      <c r="U369" s="42">
        <v>1.0</v>
      </c>
      <c r="V369" s="42">
        <v>8.0</v>
      </c>
      <c r="W369" s="42">
        <v>0.0</v>
      </c>
      <c r="X369" s="42">
        <v>100.0</v>
      </c>
      <c r="Y369" s="42">
        <v>0.0</v>
      </c>
    </row>
    <row r="370" ht="22.5" customHeight="1">
      <c r="A370" s="41"/>
      <c r="B370" s="41">
        <v>5468.0</v>
      </c>
      <c r="C370" s="41" t="s">
        <v>271</v>
      </c>
      <c r="D370" s="41" t="s">
        <v>2753</v>
      </c>
      <c r="E370" s="41" t="s">
        <v>2753</v>
      </c>
      <c r="F370" s="41" t="s">
        <v>271</v>
      </c>
      <c r="G370" s="41">
        <v>405.0</v>
      </c>
      <c r="H370" s="41" t="s">
        <v>2754</v>
      </c>
      <c r="I370" s="41"/>
      <c r="J370" s="41" t="s">
        <v>2754</v>
      </c>
      <c r="K370" s="42" t="s">
        <v>2755</v>
      </c>
      <c r="L370" s="42" t="s">
        <v>2756</v>
      </c>
      <c r="M370" s="42" t="s">
        <v>1082</v>
      </c>
      <c r="N370" s="42">
        <v>0.0</v>
      </c>
      <c r="O370" s="42">
        <v>1.0</v>
      </c>
      <c r="P370" s="42">
        <v>2.0</v>
      </c>
      <c r="Q370" s="42">
        <v>0.0</v>
      </c>
      <c r="R370" s="42">
        <v>7.0</v>
      </c>
      <c r="S370" s="42">
        <v>0.0</v>
      </c>
      <c r="T370" s="42" t="s">
        <v>2757</v>
      </c>
      <c r="U370" s="42">
        <v>1.0</v>
      </c>
      <c r="V370" s="42">
        <v>8.0</v>
      </c>
      <c r="W370" s="42">
        <v>0.0</v>
      </c>
      <c r="X370" s="42">
        <v>100.0</v>
      </c>
      <c r="Y370" s="42">
        <v>0.0</v>
      </c>
    </row>
    <row r="371" ht="22.5" customHeight="1">
      <c r="A371" s="41"/>
      <c r="B371" s="41">
        <v>5470.0</v>
      </c>
      <c r="C371" s="41" t="s">
        <v>271</v>
      </c>
      <c r="D371" s="41" t="s">
        <v>2758</v>
      </c>
      <c r="E371" s="41" t="s">
        <v>2758</v>
      </c>
      <c r="F371" s="41" t="s">
        <v>271</v>
      </c>
      <c r="G371" s="41">
        <v>407.0</v>
      </c>
      <c r="H371" s="41" t="s">
        <v>2759</v>
      </c>
      <c r="I371" s="41"/>
      <c r="J371" s="41" t="s">
        <v>2759</v>
      </c>
      <c r="K371" s="42" t="s">
        <v>2760</v>
      </c>
      <c r="L371" s="42" t="s">
        <v>2761</v>
      </c>
      <c r="N371" s="42">
        <v>0.0</v>
      </c>
      <c r="O371" s="42">
        <v>0.0</v>
      </c>
      <c r="P371" s="42">
        <v>2.0</v>
      </c>
      <c r="Q371" s="42">
        <v>0.0</v>
      </c>
      <c r="R371" s="42">
        <v>0.0</v>
      </c>
      <c r="S371" s="42">
        <v>0.0</v>
      </c>
      <c r="T371" s="42" t="s">
        <v>2762</v>
      </c>
      <c r="U371" s="42">
        <v>1.0</v>
      </c>
      <c r="V371" s="42">
        <v>0.0</v>
      </c>
      <c r="W371" s="42">
        <v>0.0</v>
      </c>
      <c r="X371" s="42">
        <v>100.0</v>
      </c>
      <c r="Y371" s="42">
        <v>0.0</v>
      </c>
    </row>
    <row r="372" ht="22.5" customHeight="1">
      <c r="A372" s="41"/>
      <c r="B372" s="41">
        <v>5471.0</v>
      </c>
      <c r="C372" s="41" t="s">
        <v>271</v>
      </c>
      <c r="D372" s="41" t="s">
        <v>2763</v>
      </c>
      <c r="E372" s="41" t="s">
        <v>2763</v>
      </c>
      <c r="F372" s="41" t="s">
        <v>271</v>
      </c>
      <c r="G372" s="41">
        <v>408.0</v>
      </c>
      <c r="H372" s="41" t="s">
        <v>2764</v>
      </c>
      <c r="I372" s="41"/>
      <c r="J372" s="41" t="s">
        <v>2764</v>
      </c>
      <c r="K372" s="42" t="s">
        <v>2765</v>
      </c>
      <c r="L372" s="42" t="s">
        <v>2766</v>
      </c>
      <c r="M372" s="42" t="s">
        <v>1130</v>
      </c>
      <c r="N372" s="42">
        <v>0.0</v>
      </c>
      <c r="O372" s="42">
        <v>1.0</v>
      </c>
      <c r="P372" s="42">
        <v>2.0</v>
      </c>
      <c r="Q372" s="42">
        <v>0.0</v>
      </c>
      <c r="R372" s="42">
        <v>1.0</v>
      </c>
      <c r="S372" s="42">
        <v>0.0</v>
      </c>
      <c r="T372" s="42" t="s">
        <v>2767</v>
      </c>
      <c r="U372" s="42">
        <v>1.0</v>
      </c>
      <c r="V372" s="42">
        <v>8.0</v>
      </c>
      <c r="W372" s="42">
        <v>0.0</v>
      </c>
      <c r="X372" s="42">
        <v>100.0</v>
      </c>
      <c r="Y372" s="42">
        <v>0.0</v>
      </c>
    </row>
    <row r="373" ht="22.5" customHeight="1">
      <c r="A373" s="41"/>
      <c r="B373" s="41">
        <v>5472.0</v>
      </c>
      <c r="C373" s="41" t="s">
        <v>271</v>
      </c>
      <c r="D373" s="41" t="s">
        <v>2768</v>
      </c>
      <c r="E373" s="41" t="s">
        <v>2768</v>
      </c>
      <c r="F373" s="41" t="s">
        <v>271</v>
      </c>
      <c r="G373" s="41">
        <v>409.0</v>
      </c>
      <c r="H373" s="41" t="s">
        <v>2768</v>
      </c>
      <c r="I373" s="41"/>
      <c r="J373" s="41" t="s">
        <v>2768</v>
      </c>
      <c r="K373" s="42" t="s">
        <v>2769</v>
      </c>
      <c r="L373" s="42" t="s">
        <v>2770</v>
      </c>
      <c r="N373" s="42">
        <v>0.0</v>
      </c>
      <c r="O373" s="42">
        <v>0.0</v>
      </c>
      <c r="P373" s="42">
        <v>2.0</v>
      </c>
      <c r="Q373" s="42">
        <v>0.0</v>
      </c>
      <c r="R373" s="42">
        <v>0.0</v>
      </c>
      <c r="S373" s="42">
        <v>1.0</v>
      </c>
      <c r="T373" s="42" t="s">
        <v>2771</v>
      </c>
      <c r="U373" s="42">
        <v>1.0</v>
      </c>
      <c r="V373" s="42">
        <v>8.0</v>
      </c>
      <c r="W373" s="42">
        <v>0.0</v>
      </c>
      <c r="X373" s="42">
        <v>100.0</v>
      </c>
      <c r="Y373" s="42">
        <v>0.0</v>
      </c>
    </row>
    <row r="374" ht="22.5" customHeight="1">
      <c r="A374" s="41"/>
      <c r="B374" s="41">
        <v>5473.0</v>
      </c>
      <c r="C374" s="41" t="s">
        <v>271</v>
      </c>
      <c r="D374" s="41" t="s">
        <v>2772</v>
      </c>
      <c r="E374" s="41" t="s">
        <v>2772</v>
      </c>
      <c r="F374" s="41" t="s">
        <v>271</v>
      </c>
      <c r="G374" s="41">
        <v>410.0</v>
      </c>
      <c r="H374" s="41" t="s">
        <v>2773</v>
      </c>
      <c r="I374" s="41"/>
      <c r="J374" s="41" t="s">
        <v>2773</v>
      </c>
      <c r="K374" s="42" t="s">
        <v>2774</v>
      </c>
      <c r="L374" s="42" t="s">
        <v>2775</v>
      </c>
      <c r="M374" s="42" t="s">
        <v>1130</v>
      </c>
      <c r="N374" s="42">
        <v>0.0</v>
      </c>
      <c r="O374" s="42">
        <v>1.0</v>
      </c>
      <c r="P374" s="42">
        <v>2.0</v>
      </c>
      <c r="Q374" s="42">
        <v>0.0</v>
      </c>
      <c r="R374" s="42">
        <v>1.0</v>
      </c>
      <c r="S374" s="42">
        <v>0.0</v>
      </c>
      <c r="T374" s="42" t="s">
        <v>2776</v>
      </c>
      <c r="U374" s="42">
        <v>1.0</v>
      </c>
      <c r="V374" s="42">
        <v>8.0</v>
      </c>
      <c r="W374" s="42">
        <v>0.0</v>
      </c>
      <c r="X374" s="42">
        <v>100.0</v>
      </c>
      <c r="Y374" s="42">
        <v>0.0</v>
      </c>
    </row>
    <row r="375" ht="22.5" customHeight="1">
      <c r="A375" s="41"/>
      <c r="B375" s="41">
        <v>5474.0</v>
      </c>
      <c r="C375" s="41" t="s">
        <v>271</v>
      </c>
      <c r="D375" s="41" t="s">
        <v>2777</v>
      </c>
      <c r="E375" s="41" t="s">
        <v>2777</v>
      </c>
      <c r="F375" s="41" t="s">
        <v>271</v>
      </c>
      <c r="G375" s="41">
        <v>411.0</v>
      </c>
      <c r="H375" s="41" t="s">
        <v>2778</v>
      </c>
      <c r="I375" s="41"/>
      <c r="J375" s="41" t="s">
        <v>2778</v>
      </c>
      <c r="K375" s="42" t="s">
        <v>2779</v>
      </c>
      <c r="L375" s="42" t="s">
        <v>2780</v>
      </c>
      <c r="N375" s="42">
        <v>0.0</v>
      </c>
      <c r="O375" s="42">
        <v>0.0</v>
      </c>
      <c r="P375" s="42">
        <v>2.0</v>
      </c>
      <c r="Q375" s="42">
        <v>0.0</v>
      </c>
      <c r="R375" s="42">
        <v>0.0</v>
      </c>
      <c r="S375" s="42">
        <v>0.0</v>
      </c>
      <c r="T375" s="42" t="s">
        <v>2781</v>
      </c>
      <c r="U375" s="42">
        <v>1.0</v>
      </c>
      <c r="V375" s="42">
        <v>0.0</v>
      </c>
      <c r="W375" s="42">
        <v>0.0</v>
      </c>
      <c r="X375" s="42">
        <v>100.0</v>
      </c>
      <c r="Y375" s="42">
        <v>0.0</v>
      </c>
    </row>
    <row r="376" ht="22.5" customHeight="1">
      <c r="A376" s="41"/>
      <c r="B376" s="41">
        <v>5475.0</v>
      </c>
      <c r="C376" s="41" t="s">
        <v>271</v>
      </c>
      <c r="D376" s="41" t="s">
        <v>2782</v>
      </c>
      <c r="E376" s="41" t="s">
        <v>2782</v>
      </c>
      <c r="F376" s="41" t="s">
        <v>271</v>
      </c>
      <c r="G376" s="41">
        <v>412.0</v>
      </c>
      <c r="H376" s="41" t="s">
        <v>1721</v>
      </c>
      <c r="I376" s="41"/>
      <c r="J376" s="41" t="s">
        <v>1721</v>
      </c>
      <c r="K376" s="42" t="s">
        <v>1722</v>
      </c>
      <c r="L376" s="42" t="s">
        <v>2783</v>
      </c>
      <c r="M376" s="42" t="s">
        <v>1130</v>
      </c>
      <c r="N376" s="42">
        <v>0.0</v>
      </c>
      <c r="O376" s="42">
        <v>1.0</v>
      </c>
      <c r="P376" s="42">
        <v>2.0</v>
      </c>
      <c r="Q376" s="42">
        <v>0.0</v>
      </c>
      <c r="R376" s="42">
        <v>12.0</v>
      </c>
      <c r="S376" s="42">
        <v>0.0</v>
      </c>
      <c r="T376" s="42" t="s">
        <v>2784</v>
      </c>
      <c r="U376" s="42">
        <v>1.0</v>
      </c>
      <c r="V376" s="42">
        <v>8.0</v>
      </c>
      <c r="W376" s="42">
        <v>0.0</v>
      </c>
      <c r="X376" s="42">
        <v>100.0</v>
      </c>
      <c r="Y376" s="42">
        <v>0.0</v>
      </c>
    </row>
    <row r="377" ht="22.5" customHeight="1">
      <c r="A377" s="41"/>
      <c r="B377" s="41">
        <v>5476.0</v>
      </c>
      <c r="C377" s="41" t="s">
        <v>271</v>
      </c>
      <c r="D377" s="41" t="s">
        <v>2785</v>
      </c>
      <c r="E377" s="41" t="s">
        <v>2785</v>
      </c>
      <c r="F377" s="41" t="s">
        <v>271</v>
      </c>
      <c r="G377" s="41">
        <v>413.0</v>
      </c>
      <c r="H377" s="41" t="s">
        <v>2786</v>
      </c>
      <c r="I377" s="41"/>
      <c r="J377" s="41" t="s">
        <v>2786</v>
      </c>
      <c r="K377" s="42" t="s">
        <v>2787</v>
      </c>
      <c r="L377" s="42" t="s">
        <v>2788</v>
      </c>
      <c r="M377" s="42" t="s">
        <v>1043</v>
      </c>
      <c r="N377" s="42">
        <v>0.0</v>
      </c>
      <c r="O377" s="42">
        <v>1.0</v>
      </c>
      <c r="P377" s="42">
        <v>2.0</v>
      </c>
      <c r="Q377" s="42">
        <v>0.0</v>
      </c>
      <c r="R377" s="42">
        <v>1.0</v>
      </c>
      <c r="S377" s="42">
        <v>0.0</v>
      </c>
      <c r="T377" s="42" t="s">
        <v>2789</v>
      </c>
      <c r="U377" s="42">
        <v>1.0</v>
      </c>
      <c r="V377" s="42">
        <v>5.0</v>
      </c>
      <c r="W377" s="42">
        <v>0.0</v>
      </c>
      <c r="X377" s="42">
        <v>100.0</v>
      </c>
      <c r="Y377" s="42">
        <v>0.0</v>
      </c>
    </row>
    <row r="378" ht="22.5" customHeight="1">
      <c r="A378" s="41"/>
      <c r="B378" s="41">
        <v>5477.0</v>
      </c>
      <c r="C378" s="41" t="s">
        <v>271</v>
      </c>
      <c r="D378" s="41" t="s">
        <v>2790</v>
      </c>
      <c r="E378" s="41" t="s">
        <v>2790</v>
      </c>
      <c r="F378" s="41" t="s">
        <v>271</v>
      </c>
      <c r="G378" s="41">
        <v>414.0</v>
      </c>
      <c r="H378" s="41" t="s">
        <v>2791</v>
      </c>
      <c r="I378" s="41"/>
      <c r="J378" s="41" t="s">
        <v>2791</v>
      </c>
      <c r="K378" s="42" t="s">
        <v>2792</v>
      </c>
      <c r="L378" s="42" t="s">
        <v>2793</v>
      </c>
      <c r="M378" s="42" t="s">
        <v>1043</v>
      </c>
      <c r="N378" s="42">
        <v>0.0</v>
      </c>
      <c r="O378" s="42">
        <v>1.0</v>
      </c>
      <c r="P378" s="42">
        <v>2.0</v>
      </c>
      <c r="Q378" s="42">
        <v>0.0</v>
      </c>
      <c r="R378" s="42">
        <v>1.0</v>
      </c>
      <c r="S378" s="42">
        <v>0.0</v>
      </c>
      <c r="T378" s="42" t="s">
        <v>2794</v>
      </c>
      <c r="U378" s="42">
        <v>1.0</v>
      </c>
      <c r="V378" s="42">
        <v>8.0</v>
      </c>
      <c r="W378" s="42">
        <v>0.0</v>
      </c>
      <c r="X378" s="42">
        <v>100.0</v>
      </c>
      <c r="Y378" s="42">
        <v>0.0</v>
      </c>
    </row>
    <row r="379" ht="22.5" customHeight="1">
      <c r="A379" s="41"/>
      <c r="B379" s="41">
        <v>5478.0</v>
      </c>
      <c r="C379" s="41" t="s">
        <v>271</v>
      </c>
      <c r="D379" s="41" t="s">
        <v>2795</v>
      </c>
      <c r="E379" s="41" t="s">
        <v>2795</v>
      </c>
      <c r="F379" s="41" t="s">
        <v>271</v>
      </c>
      <c r="G379" s="41">
        <v>415.0</v>
      </c>
      <c r="H379" s="41" t="s">
        <v>2796</v>
      </c>
      <c r="I379" s="41"/>
      <c r="J379" s="41" t="s">
        <v>2796</v>
      </c>
      <c r="K379" s="42" t="s">
        <v>2797</v>
      </c>
      <c r="L379" s="42" t="s">
        <v>2798</v>
      </c>
      <c r="N379" s="42">
        <v>0.0</v>
      </c>
      <c r="O379" s="42">
        <v>0.0</v>
      </c>
      <c r="P379" s="42">
        <v>2.0</v>
      </c>
      <c r="Q379" s="42">
        <v>0.0</v>
      </c>
      <c r="R379" s="42">
        <v>0.0</v>
      </c>
      <c r="S379" s="42">
        <v>0.0</v>
      </c>
      <c r="T379" s="42" t="s">
        <v>2799</v>
      </c>
      <c r="U379" s="42">
        <v>1.0</v>
      </c>
      <c r="V379" s="42">
        <v>0.0</v>
      </c>
      <c r="W379" s="42">
        <v>0.0</v>
      </c>
      <c r="X379" s="42">
        <v>100.0</v>
      </c>
      <c r="Y379" s="42">
        <v>0.0</v>
      </c>
    </row>
    <row r="380" ht="22.5" customHeight="1">
      <c r="A380" s="41"/>
      <c r="B380" s="41">
        <v>5479.0</v>
      </c>
      <c r="C380" s="41" t="s">
        <v>271</v>
      </c>
      <c r="D380" s="41" t="s">
        <v>2800</v>
      </c>
      <c r="E380" s="41" t="s">
        <v>2800</v>
      </c>
      <c r="F380" s="41" t="s">
        <v>271</v>
      </c>
      <c r="G380" s="41">
        <v>416.0</v>
      </c>
      <c r="H380" s="41" t="s">
        <v>2801</v>
      </c>
      <c r="I380" s="41"/>
      <c r="J380" s="41" t="s">
        <v>2801</v>
      </c>
      <c r="K380" s="42" t="s">
        <v>2802</v>
      </c>
      <c r="L380" s="42" t="s">
        <v>2803</v>
      </c>
      <c r="M380" s="42" t="s">
        <v>1043</v>
      </c>
      <c r="N380" s="42">
        <v>0.0</v>
      </c>
      <c r="O380" s="42">
        <v>1.0</v>
      </c>
      <c r="P380" s="42">
        <v>2.0</v>
      </c>
      <c r="Q380" s="42">
        <v>0.0</v>
      </c>
      <c r="R380" s="42">
        <v>1.0</v>
      </c>
      <c r="S380" s="42">
        <v>0.0</v>
      </c>
      <c r="T380" s="42" t="s">
        <v>2804</v>
      </c>
      <c r="U380" s="42">
        <v>1.0</v>
      </c>
      <c r="V380" s="42">
        <v>8.0</v>
      </c>
      <c r="W380" s="42">
        <v>0.0</v>
      </c>
      <c r="X380" s="42">
        <v>100.0</v>
      </c>
      <c r="Y380" s="42">
        <v>0.0</v>
      </c>
    </row>
    <row r="381" ht="22.5" customHeight="1">
      <c r="A381" s="41"/>
      <c r="B381" s="41">
        <v>5480.0</v>
      </c>
      <c r="C381" s="41" t="s">
        <v>271</v>
      </c>
      <c r="D381" s="41" t="s">
        <v>2805</v>
      </c>
      <c r="E381" s="41" t="s">
        <v>2805</v>
      </c>
      <c r="F381" s="41" t="s">
        <v>271</v>
      </c>
      <c r="G381" s="41">
        <v>417.0</v>
      </c>
      <c r="H381" s="41" t="s">
        <v>2806</v>
      </c>
      <c r="I381" s="41"/>
      <c r="J381" s="41" t="s">
        <v>2806</v>
      </c>
      <c r="K381" s="42" t="s">
        <v>2807</v>
      </c>
      <c r="L381" s="42" t="s">
        <v>2808</v>
      </c>
      <c r="M381" s="42" t="s">
        <v>1028</v>
      </c>
      <c r="N381" s="42">
        <v>0.0</v>
      </c>
      <c r="O381" s="42">
        <v>1.0</v>
      </c>
      <c r="P381" s="42">
        <v>2.0</v>
      </c>
      <c r="Q381" s="42">
        <v>0.0</v>
      </c>
      <c r="R381" s="42">
        <v>1.0</v>
      </c>
      <c r="S381" s="42">
        <v>0.0</v>
      </c>
      <c r="T381" s="42" t="s">
        <v>2809</v>
      </c>
      <c r="U381" s="42">
        <v>1.0</v>
      </c>
      <c r="V381" s="42">
        <v>8.0</v>
      </c>
      <c r="W381" s="42">
        <v>0.0</v>
      </c>
      <c r="X381" s="42">
        <v>100.0</v>
      </c>
      <c r="Y381" s="42">
        <v>0.0</v>
      </c>
    </row>
    <row r="382" ht="22.5" customHeight="1">
      <c r="A382" s="41"/>
      <c r="B382" s="41">
        <v>5481.0</v>
      </c>
      <c r="C382" s="41" t="s">
        <v>271</v>
      </c>
      <c r="D382" s="41" t="s">
        <v>2810</v>
      </c>
      <c r="E382" s="41" t="s">
        <v>2810</v>
      </c>
      <c r="F382" s="41" t="s">
        <v>271</v>
      </c>
      <c r="G382" s="41">
        <v>418.0</v>
      </c>
      <c r="H382" s="41" t="s">
        <v>2811</v>
      </c>
      <c r="I382" s="41"/>
      <c r="J382" s="41" t="s">
        <v>2811</v>
      </c>
      <c r="K382" s="42" t="s">
        <v>2812</v>
      </c>
      <c r="L382" s="42" t="s">
        <v>2813</v>
      </c>
      <c r="N382" s="42">
        <v>0.0</v>
      </c>
      <c r="O382" s="42">
        <v>0.0</v>
      </c>
      <c r="P382" s="42">
        <v>2.0</v>
      </c>
      <c r="Q382" s="42">
        <v>0.0</v>
      </c>
      <c r="R382" s="42">
        <v>0.0</v>
      </c>
      <c r="S382" s="42">
        <v>0.0</v>
      </c>
      <c r="T382" s="42" t="s">
        <v>2814</v>
      </c>
      <c r="U382" s="42">
        <v>1.0</v>
      </c>
      <c r="V382" s="42">
        <v>0.0</v>
      </c>
      <c r="W382" s="42">
        <v>0.0</v>
      </c>
      <c r="X382" s="42">
        <v>100.0</v>
      </c>
      <c r="Y382" s="42">
        <v>0.0</v>
      </c>
    </row>
    <row r="383" ht="22.5" customHeight="1">
      <c r="A383" s="41"/>
      <c r="B383" s="41">
        <v>5482.0</v>
      </c>
      <c r="C383" s="41" t="s">
        <v>271</v>
      </c>
      <c r="D383" s="41" t="s">
        <v>2815</v>
      </c>
      <c r="E383" s="41" t="s">
        <v>2815</v>
      </c>
      <c r="F383" s="41" t="s">
        <v>271</v>
      </c>
      <c r="G383" s="41">
        <v>419.0</v>
      </c>
      <c r="H383" s="41" t="s">
        <v>2816</v>
      </c>
      <c r="I383" s="41"/>
      <c r="J383" s="41" t="s">
        <v>2816</v>
      </c>
      <c r="K383" s="42" t="s">
        <v>2817</v>
      </c>
      <c r="L383" s="42" t="s">
        <v>2818</v>
      </c>
      <c r="M383" s="42" t="s">
        <v>1028</v>
      </c>
      <c r="N383" s="42">
        <v>0.0</v>
      </c>
      <c r="O383" s="42">
        <v>1.0</v>
      </c>
      <c r="P383" s="42">
        <v>2.0</v>
      </c>
      <c r="Q383" s="42">
        <v>0.0</v>
      </c>
      <c r="R383" s="42">
        <v>1.0</v>
      </c>
      <c r="S383" s="42">
        <v>0.0</v>
      </c>
      <c r="T383" s="42" t="s">
        <v>2819</v>
      </c>
      <c r="U383" s="42">
        <v>1.0</v>
      </c>
      <c r="V383" s="42">
        <v>8.0</v>
      </c>
      <c r="W383" s="42">
        <v>0.0</v>
      </c>
      <c r="X383" s="42">
        <v>100.0</v>
      </c>
      <c r="Y383" s="42">
        <v>0.0</v>
      </c>
    </row>
    <row r="384" ht="22.5" customHeight="1">
      <c r="A384" s="41"/>
      <c r="B384" s="41">
        <v>5483.0</v>
      </c>
      <c r="C384" s="41" t="s">
        <v>271</v>
      </c>
      <c r="D384" s="41" t="s">
        <v>2820</v>
      </c>
      <c r="E384" s="41" t="s">
        <v>2820</v>
      </c>
      <c r="F384" s="41" t="s">
        <v>271</v>
      </c>
      <c r="G384" s="41">
        <v>420.0</v>
      </c>
      <c r="H384" s="41" t="s">
        <v>2820</v>
      </c>
      <c r="I384" s="41"/>
      <c r="J384" s="41" t="s">
        <v>2820</v>
      </c>
      <c r="K384" s="42" t="s">
        <v>2821</v>
      </c>
      <c r="L384" s="42" t="s">
        <v>2822</v>
      </c>
      <c r="M384" s="42" t="s">
        <v>962</v>
      </c>
      <c r="N384" s="42">
        <v>0.0</v>
      </c>
      <c r="O384" s="42">
        <v>1.0</v>
      </c>
      <c r="P384" s="42">
        <v>2.0</v>
      </c>
      <c r="Q384" s="42">
        <v>0.0</v>
      </c>
      <c r="R384" s="42">
        <v>0.0</v>
      </c>
      <c r="S384" s="42">
        <v>1.0</v>
      </c>
      <c r="T384" s="42" t="s">
        <v>2823</v>
      </c>
      <c r="U384" s="42">
        <v>1.0</v>
      </c>
      <c r="V384" s="42">
        <v>8.0</v>
      </c>
      <c r="W384" s="42">
        <v>0.0</v>
      </c>
      <c r="X384" s="42">
        <v>100.0</v>
      </c>
      <c r="Y384" s="42">
        <v>0.0</v>
      </c>
    </row>
    <row r="385" ht="22.5" customHeight="1">
      <c r="A385" s="41"/>
      <c r="B385" s="41">
        <v>5484.0</v>
      </c>
      <c r="C385" s="41" t="s">
        <v>271</v>
      </c>
      <c r="D385" s="41" t="s">
        <v>2824</v>
      </c>
      <c r="E385" s="41" t="s">
        <v>2824</v>
      </c>
      <c r="F385" s="41" t="s">
        <v>271</v>
      </c>
      <c r="G385" s="41">
        <v>421.0</v>
      </c>
      <c r="H385" s="41" t="s">
        <v>2825</v>
      </c>
      <c r="I385" s="41"/>
      <c r="J385" s="41" t="s">
        <v>2825</v>
      </c>
      <c r="K385" s="42" t="s">
        <v>2826</v>
      </c>
      <c r="L385" s="42" t="s">
        <v>2827</v>
      </c>
      <c r="M385" s="42" t="s">
        <v>1028</v>
      </c>
      <c r="N385" s="42">
        <v>0.0</v>
      </c>
      <c r="O385" s="42">
        <v>1.0</v>
      </c>
      <c r="P385" s="42">
        <v>2.0</v>
      </c>
      <c r="Q385" s="42">
        <v>0.0</v>
      </c>
      <c r="R385" s="42">
        <v>10.0</v>
      </c>
      <c r="S385" s="42">
        <v>0.0</v>
      </c>
      <c r="T385" s="42" t="s">
        <v>2828</v>
      </c>
      <c r="U385" s="42">
        <v>1.0</v>
      </c>
      <c r="V385" s="42">
        <v>6.0</v>
      </c>
      <c r="W385" s="42">
        <v>0.0</v>
      </c>
      <c r="X385" s="42">
        <v>100.0</v>
      </c>
      <c r="Y385" s="42">
        <v>0.0</v>
      </c>
    </row>
    <row r="386" ht="22.5" customHeight="1">
      <c r="A386" s="41"/>
      <c r="B386" s="41">
        <v>5485.0</v>
      </c>
      <c r="C386" s="41" t="s">
        <v>271</v>
      </c>
      <c r="D386" s="41" t="s">
        <v>2829</v>
      </c>
      <c r="E386" s="41" t="s">
        <v>2829</v>
      </c>
      <c r="F386" s="41" t="s">
        <v>271</v>
      </c>
      <c r="G386" s="41">
        <v>422.0</v>
      </c>
      <c r="H386" s="41" t="s">
        <v>2830</v>
      </c>
      <c r="I386" s="41"/>
      <c r="J386" s="41" t="s">
        <v>2830</v>
      </c>
      <c r="K386" s="42" t="s">
        <v>2831</v>
      </c>
      <c r="L386" s="42" t="s">
        <v>2832</v>
      </c>
      <c r="M386" s="42" t="s">
        <v>1130</v>
      </c>
      <c r="N386" s="42">
        <v>0.0</v>
      </c>
      <c r="O386" s="42">
        <v>1.0</v>
      </c>
      <c r="P386" s="42">
        <v>2.0</v>
      </c>
      <c r="Q386" s="42">
        <v>0.0</v>
      </c>
      <c r="R386" s="42">
        <v>1.0</v>
      </c>
      <c r="S386" s="42">
        <v>0.0</v>
      </c>
      <c r="T386" s="42" t="s">
        <v>2833</v>
      </c>
      <c r="U386" s="42">
        <v>1.0</v>
      </c>
      <c r="V386" s="42">
        <v>6.0</v>
      </c>
      <c r="W386" s="42">
        <v>0.0</v>
      </c>
      <c r="X386" s="42">
        <v>100.0</v>
      </c>
      <c r="Y386" s="42">
        <v>0.0</v>
      </c>
    </row>
    <row r="387" ht="22.5" customHeight="1">
      <c r="A387" s="41"/>
      <c r="B387" s="41">
        <v>5486.0</v>
      </c>
      <c r="C387" s="41" t="s">
        <v>271</v>
      </c>
      <c r="D387" s="41" t="s">
        <v>2834</v>
      </c>
      <c r="E387" s="41" t="s">
        <v>2834</v>
      </c>
      <c r="F387" s="41" t="s">
        <v>271</v>
      </c>
      <c r="G387" s="41">
        <v>423.0</v>
      </c>
      <c r="H387" s="41" t="s">
        <v>2835</v>
      </c>
      <c r="I387" s="41"/>
      <c r="J387" s="41" t="s">
        <v>2835</v>
      </c>
      <c r="K387" s="42" t="s">
        <v>2836</v>
      </c>
      <c r="L387" s="42" t="s">
        <v>2837</v>
      </c>
      <c r="M387" s="42" t="s">
        <v>1082</v>
      </c>
      <c r="N387" s="42">
        <v>0.0</v>
      </c>
      <c r="O387" s="42">
        <v>1.0</v>
      </c>
      <c r="P387" s="42">
        <v>2.0</v>
      </c>
      <c r="Q387" s="42">
        <v>0.0</v>
      </c>
      <c r="R387" s="42">
        <v>1.0</v>
      </c>
      <c r="S387" s="42">
        <v>0.0</v>
      </c>
      <c r="T387" s="42" t="s">
        <v>2838</v>
      </c>
      <c r="U387" s="42">
        <v>1.0</v>
      </c>
      <c r="V387" s="42">
        <v>8.0</v>
      </c>
      <c r="W387" s="42">
        <v>0.0</v>
      </c>
      <c r="X387" s="42">
        <v>100.0</v>
      </c>
      <c r="Y387" s="42">
        <v>0.0</v>
      </c>
    </row>
    <row r="388" ht="22.5" customHeight="1">
      <c r="A388" s="41"/>
      <c r="B388" s="41">
        <v>5487.0</v>
      </c>
      <c r="C388" s="41" t="s">
        <v>271</v>
      </c>
      <c r="D388" s="41" t="s">
        <v>2839</v>
      </c>
      <c r="E388" s="41" t="s">
        <v>2839</v>
      </c>
      <c r="F388" s="41" t="s">
        <v>271</v>
      </c>
      <c r="G388" s="41">
        <v>424.0</v>
      </c>
      <c r="H388" s="41" t="s">
        <v>2840</v>
      </c>
      <c r="I388" s="41"/>
      <c r="J388" s="41" t="s">
        <v>2840</v>
      </c>
      <c r="K388" s="42" t="s">
        <v>2841</v>
      </c>
      <c r="L388" s="42" t="s">
        <v>2842</v>
      </c>
      <c r="N388" s="42">
        <v>0.0</v>
      </c>
      <c r="O388" s="42">
        <v>0.0</v>
      </c>
      <c r="P388" s="42">
        <v>2.0</v>
      </c>
      <c r="Q388" s="42">
        <v>0.0</v>
      </c>
      <c r="R388" s="42">
        <v>0.0</v>
      </c>
      <c r="S388" s="42">
        <v>0.0</v>
      </c>
      <c r="T388" s="42" t="s">
        <v>2843</v>
      </c>
      <c r="U388" s="42">
        <v>1.0</v>
      </c>
      <c r="V388" s="42">
        <v>0.0</v>
      </c>
      <c r="W388" s="42">
        <v>0.0</v>
      </c>
      <c r="X388" s="42">
        <v>100.0</v>
      </c>
      <c r="Y388" s="42">
        <v>0.0</v>
      </c>
    </row>
    <row r="389" ht="22.5" customHeight="1">
      <c r="A389" s="41"/>
      <c r="B389" s="41">
        <v>5488.0</v>
      </c>
      <c r="C389" s="41" t="s">
        <v>271</v>
      </c>
      <c r="D389" s="41" t="s">
        <v>2844</v>
      </c>
      <c r="E389" s="41" t="s">
        <v>2844</v>
      </c>
      <c r="F389" s="41" t="s">
        <v>271</v>
      </c>
      <c r="G389" s="41">
        <v>425.0</v>
      </c>
      <c r="H389" s="41" t="s">
        <v>2845</v>
      </c>
      <c r="I389" s="41"/>
      <c r="J389" s="41" t="s">
        <v>2845</v>
      </c>
      <c r="K389" s="42" t="s">
        <v>2846</v>
      </c>
      <c r="L389" s="42" t="s">
        <v>2847</v>
      </c>
      <c r="M389" s="42" t="s">
        <v>1028</v>
      </c>
      <c r="N389" s="42">
        <v>0.0</v>
      </c>
      <c r="O389" s="42">
        <v>1.0</v>
      </c>
      <c r="P389" s="42">
        <v>2.0</v>
      </c>
      <c r="Q389" s="42">
        <v>0.0</v>
      </c>
      <c r="R389" s="42">
        <v>8.0</v>
      </c>
      <c r="S389" s="42">
        <v>0.0</v>
      </c>
      <c r="T389" s="42" t="s">
        <v>2848</v>
      </c>
      <c r="U389" s="42">
        <v>1.0</v>
      </c>
      <c r="V389" s="42">
        <v>8.0</v>
      </c>
      <c r="W389" s="42">
        <v>0.0</v>
      </c>
      <c r="X389" s="42">
        <v>100.0</v>
      </c>
      <c r="Y389" s="42">
        <v>0.0</v>
      </c>
    </row>
    <row r="390" ht="22.5" customHeight="1">
      <c r="A390" s="41"/>
      <c r="B390" s="41">
        <v>5489.0</v>
      </c>
      <c r="C390" s="41" t="s">
        <v>271</v>
      </c>
      <c r="D390" s="41" t="s">
        <v>2849</v>
      </c>
      <c r="E390" s="41" t="s">
        <v>2849</v>
      </c>
      <c r="F390" s="41" t="s">
        <v>271</v>
      </c>
      <c r="G390" s="41">
        <v>426.0</v>
      </c>
      <c r="H390" s="41" t="s">
        <v>2850</v>
      </c>
      <c r="I390" s="41"/>
      <c r="J390" s="41" t="s">
        <v>2850</v>
      </c>
      <c r="K390" s="42" t="s">
        <v>2851</v>
      </c>
      <c r="L390" s="42" t="s">
        <v>2852</v>
      </c>
      <c r="M390" s="42" t="s">
        <v>1028</v>
      </c>
      <c r="N390" s="42">
        <v>0.0</v>
      </c>
      <c r="O390" s="42">
        <v>1.0</v>
      </c>
      <c r="P390" s="42">
        <v>2.0</v>
      </c>
      <c r="Q390" s="42">
        <v>0.0</v>
      </c>
      <c r="R390" s="42">
        <v>1.0</v>
      </c>
      <c r="S390" s="42">
        <v>0.0</v>
      </c>
      <c r="T390" s="42" t="s">
        <v>2853</v>
      </c>
      <c r="U390" s="42">
        <v>1.0</v>
      </c>
      <c r="V390" s="42">
        <v>8.0</v>
      </c>
      <c r="W390" s="42">
        <v>0.0</v>
      </c>
      <c r="X390" s="42">
        <v>100.0</v>
      </c>
      <c r="Y390" s="42">
        <v>0.0</v>
      </c>
    </row>
    <row r="391" ht="22.5" customHeight="1">
      <c r="A391" s="41"/>
      <c r="B391" s="41">
        <v>5490.0</v>
      </c>
      <c r="C391" s="41" t="s">
        <v>271</v>
      </c>
      <c r="D391" s="41" t="s">
        <v>2854</v>
      </c>
      <c r="E391" s="41" t="s">
        <v>2854</v>
      </c>
      <c r="F391" s="41" t="s">
        <v>271</v>
      </c>
      <c r="G391" s="41">
        <v>427.0</v>
      </c>
      <c r="H391" s="41" t="s">
        <v>2855</v>
      </c>
      <c r="I391" s="41"/>
      <c r="J391" s="41" t="s">
        <v>2855</v>
      </c>
      <c r="K391" s="42" t="s">
        <v>2856</v>
      </c>
      <c r="L391" s="42" t="s">
        <v>2857</v>
      </c>
      <c r="M391" s="42" t="s">
        <v>1130</v>
      </c>
      <c r="N391" s="42">
        <v>0.0</v>
      </c>
      <c r="O391" s="42">
        <v>1.0</v>
      </c>
      <c r="P391" s="42">
        <v>2.0</v>
      </c>
      <c r="Q391" s="42">
        <v>0.0</v>
      </c>
      <c r="R391" s="42">
        <v>1.0</v>
      </c>
      <c r="S391" s="42">
        <v>0.0</v>
      </c>
      <c r="T391" s="42" t="s">
        <v>2858</v>
      </c>
      <c r="U391" s="42">
        <v>1.0</v>
      </c>
      <c r="V391" s="42">
        <v>8.0</v>
      </c>
      <c r="W391" s="42">
        <v>0.0</v>
      </c>
      <c r="X391" s="42">
        <v>100.0</v>
      </c>
      <c r="Y391" s="42">
        <v>0.0</v>
      </c>
    </row>
    <row r="392" ht="22.5" customHeight="1">
      <c r="A392" s="41"/>
      <c r="B392" s="41">
        <v>5491.0</v>
      </c>
      <c r="C392" s="41" t="s">
        <v>271</v>
      </c>
      <c r="D392" s="41" t="s">
        <v>2859</v>
      </c>
      <c r="E392" s="41" t="s">
        <v>2859</v>
      </c>
      <c r="F392" s="41" t="s">
        <v>271</v>
      </c>
      <c r="G392" s="41">
        <v>428.0</v>
      </c>
      <c r="H392" s="41" t="s">
        <v>2859</v>
      </c>
      <c r="I392" s="41"/>
      <c r="J392" s="41" t="s">
        <v>2859</v>
      </c>
      <c r="K392" s="42" t="s">
        <v>2860</v>
      </c>
      <c r="L392" s="42" t="s">
        <v>2861</v>
      </c>
      <c r="M392" s="42" t="s">
        <v>962</v>
      </c>
      <c r="N392" s="42">
        <v>0.0</v>
      </c>
      <c r="O392" s="42">
        <v>1.0</v>
      </c>
      <c r="P392" s="42">
        <v>2.0</v>
      </c>
      <c r="Q392" s="42">
        <v>0.0</v>
      </c>
      <c r="R392" s="42">
        <v>0.0</v>
      </c>
      <c r="S392" s="42">
        <v>1.0</v>
      </c>
      <c r="T392" s="42" t="s">
        <v>2862</v>
      </c>
      <c r="U392" s="42">
        <v>1.0</v>
      </c>
      <c r="V392" s="42">
        <v>8.0</v>
      </c>
      <c r="W392" s="42">
        <v>0.0</v>
      </c>
      <c r="X392" s="42">
        <v>100.0</v>
      </c>
      <c r="Y392" s="42">
        <v>0.0</v>
      </c>
    </row>
    <row r="393" ht="22.5" customHeight="1">
      <c r="A393" s="41"/>
      <c r="B393" s="41">
        <v>5492.0</v>
      </c>
      <c r="C393" s="41" t="s">
        <v>271</v>
      </c>
      <c r="D393" s="41" t="s">
        <v>2863</v>
      </c>
      <c r="E393" s="41" t="s">
        <v>2863</v>
      </c>
      <c r="F393" s="41" t="s">
        <v>271</v>
      </c>
      <c r="G393" s="41">
        <v>429.0</v>
      </c>
      <c r="H393" s="41" t="s">
        <v>2864</v>
      </c>
      <c r="I393" s="41"/>
      <c r="J393" s="41" t="s">
        <v>2864</v>
      </c>
      <c r="K393" s="42" t="s">
        <v>2865</v>
      </c>
      <c r="L393" s="42" t="s">
        <v>2866</v>
      </c>
      <c r="N393" s="42">
        <v>0.0</v>
      </c>
      <c r="O393" s="42">
        <v>0.0</v>
      </c>
      <c r="P393" s="42">
        <v>2.0</v>
      </c>
      <c r="Q393" s="42">
        <v>0.0</v>
      </c>
      <c r="R393" s="42">
        <v>0.0</v>
      </c>
      <c r="S393" s="42">
        <v>0.0</v>
      </c>
      <c r="T393" s="42" t="s">
        <v>2867</v>
      </c>
      <c r="U393" s="42">
        <v>1.0</v>
      </c>
      <c r="V393" s="42">
        <v>0.0</v>
      </c>
      <c r="W393" s="42">
        <v>0.0</v>
      </c>
      <c r="X393" s="42">
        <v>100.0</v>
      </c>
      <c r="Y393" s="42">
        <v>0.0</v>
      </c>
    </row>
    <row r="394" ht="22.5" customHeight="1">
      <c r="A394" s="41"/>
      <c r="B394" s="41">
        <v>5493.0</v>
      </c>
      <c r="C394" s="41" t="s">
        <v>271</v>
      </c>
      <c r="D394" s="41" t="s">
        <v>2868</v>
      </c>
      <c r="E394" s="41" t="s">
        <v>2868</v>
      </c>
      <c r="F394" s="41" t="s">
        <v>271</v>
      </c>
      <c r="G394" s="41">
        <v>430.0</v>
      </c>
      <c r="H394" s="41" t="s">
        <v>2869</v>
      </c>
      <c r="I394" s="41"/>
      <c r="J394" s="41" t="s">
        <v>2869</v>
      </c>
      <c r="K394" s="42" t="s">
        <v>2870</v>
      </c>
      <c r="L394" s="42" t="s">
        <v>2871</v>
      </c>
      <c r="M394" s="42" t="s">
        <v>1130</v>
      </c>
      <c r="N394" s="42">
        <v>0.0</v>
      </c>
      <c r="O394" s="42">
        <v>1.0</v>
      </c>
      <c r="P394" s="42">
        <v>2.0</v>
      </c>
      <c r="Q394" s="42">
        <v>0.0</v>
      </c>
      <c r="R394" s="42">
        <v>1.0</v>
      </c>
      <c r="S394" s="42">
        <v>0.0</v>
      </c>
      <c r="T394" s="42" t="s">
        <v>2872</v>
      </c>
      <c r="U394" s="42">
        <v>1.0</v>
      </c>
      <c r="V394" s="42">
        <v>5.0</v>
      </c>
      <c r="W394" s="42">
        <v>0.0</v>
      </c>
      <c r="X394" s="42">
        <v>100.0</v>
      </c>
      <c r="Y394" s="42">
        <v>0.0</v>
      </c>
    </row>
    <row r="395" ht="22.5" customHeight="1">
      <c r="A395" s="41"/>
      <c r="B395" s="41">
        <v>5494.0</v>
      </c>
      <c r="C395" s="41" t="s">
        <v>271</v>
      </c>
      <c r="D395" s="41" t="s">
        <v>2873</v>
      </c>
      <c r="E395" s="41" t="s">
        <v>2873</v>
      </c>
      <c r="F395" s="41" t="s">
        <v>271</v>
      </c>
      <c r="G395" s="41">
        <v>431.0</v>
      </c>
      <c r="H395" s="41" t="s">
        <v>2874</v>
      </c>
      <c r="I395" s="41"/>
      <c r="J395" s="41" t="s">
        <v>2874</v>
      </c>
      <c r="K395" s="42" t="s">
        <v>2875</v>
      </c>
      <c r="L395" s="42" t="s">
        <v>2876</v>
      </c>
      <c r="M395" s="42" t="s">
        <v>1043</v>
      </c>
      <c r="N395" s="42">
        <v>0.0</v>
      </c>
      <c r="O395" s="42">
        <v>1.0</v>
      </c>
      <c r="P395" s="42">
        <v>2.0</v>
      </c>
      <c r="Q395" s="42">
        <v>0.0</v>
      </c>
      <c r="R395" s="42">
        <v>1.0</v>
      </c>
      <c r="S395" s="42">
        <v>0.0</v>
      </c>
      <c r="T395" s="42" t="s">
        <v>2877</v>
      </c>
      <c r="U395" s="42">
        <v>1.0</v>
      </c>
      <c r="V395" s="42">
        <v>6.0</v>
      </c>
      <c r="W395" s="42">
        <v>0.0</v>
      </c>
      <c r="X395" s="42">
        <v>100.0</v>
      </c>
      <c r="Y395" s="42">
        <v>0.0</v>
      </c>
    </row>
    <row r="396" ht="22.5" customHeight="1">
      <c r="A396" s="41"/>
      <c r="B396" s="41">
        <v>5495.0</v>
      </c>
      <c r="C396" s="41" t="s">
        <v>271</v>
      </c>
      <c r="D396" s="41" t="s">
        <v>2878</v>
      </c>
      <c r="E396" s="41" t="s">
        <v>2878</v>
      </c>
      <c r="F396" s="41" t="s">
        <v>271</v>
      </c>
      <c r="G396" s="41">
        <v>432.0</v>
      </c>
      <c r="H396" s="41" t="s">
        <v>2879</v>
      </c>
      <c r="I396" s="41"/>
      <c r="J396" s="41" t="s">
        <v>2879</v>
      </c>
      <c r="K396" s="42" t="s">
        <v>2880</v>
      </c>
      <c r="L396" s="42" t="s">
        <v>2881</v>
      </c>
      <c r="N396" s="42">
        <v>0.0</v>
      </c>
      <c r="O396" s="42">
        <v>0.0</v>
      </c>
      <c r="P396" s="42">
        <v>2.0</v>
      </c>
      <c r="Q396" s="42">
        <v>0.0</v>
      </c>
      <c r="R396" s="42">
        <v>0.0</v>
      </c>
      <c r="S396" s="42">
        <v>0.0</v>
      </c>
      <c r="T396" s="42" t="s">
        <v>2882</v>
      </c>
      <c r="U396" s="42">
        <v>1.0</v>
      </c>
      <c r="V396" s="42">
        <v>0.0</v>
      </c>
      <c r="W396" s="42">
        <v>0.0</v>
      </c>
      <c r="X396" s="42">
        <v>100.0</v>
      </c>
      <c r="Y396" s="42">
        <v>0.0</v>
      </c>
    </row>
    <row r="397" ht="22.5" customHeight="1">
      <c r="A397" s="41"/>
      <c r="B397" s="41">
        <v>5496.0</v>
      </c>
      <c r="C397" s="41" t="s">
        <v>271</v>
      </c>
      <c r="D397" s="41" t="s">
        <v>2883</v>
      </c>
      <c r="E397" s="41" t="s">
        <v>2883</v>
      </c>
      <c r="F397" s="41" t="s">
        <v>271</v>
      </c>
      <c r="G397" s="41">
        <v>433.0</v>
      </c>
      <c r="H397" s="41" t="s">
        <v>2884</v>
      </c>
      <c r="I397" s="41"/>
      <c r="J397" s="41" t="s">
        <v>2884</v>
      </c>
      <c r="K397" s="42" t="s">
        <v>2885</v>
      </c>
      <c r="L397" s="42" t="s">
        <v>2886</v>
      </c>
      <c r="M397" s="42" t="s">
        <v>1043</v>
      </c>
      <c r="N397" s="42">
        <v>0.0</v>
      </c>
      <c r="O397" s="42">
        <v>1.0</v>
      </c>
      <c r="P397" s="42">
        <v>2.0</v>
      </c>
      <c r="Q397" s="42">
        <v>0.0</v>
      </c>
      <c r="R397" s="42">
        <v>1.0</v>
      </c>
      <c r="S397" s="42">
        <v>0.0</v>
      </c>
      <c r="T397" s="42" t="s">
        <v>2887</v>
      </c>
      <c r="U397" s="42">
        <v>1.0</v>
      </c>
      <c r="V397" s="42">
        <v>8.0</v>
      </c>
      <c r="W397" s="42">
        <v>0.0</v>
      </c>
      <c r="X397" s="42">
        <v>100.0</v>
      </c>
      <c r="Y397" s="42">
        <v>0.0</v>
      </c>
    </row>
    <row r="398" ht="22.5" customHeight="1">
      <c r="A398" s="41"/>
      <c r="B398" s="41">
        <v>5497.0</v>
      </c>
      <c r="C398" s="41" t="s">
        <v>271</v>
      </c>
      <c r="D398" s="41" t="s">
        <v>2888</v>
      </c>
      <c r="E398" s="41" t="s">
        <v>2888</v>
      </c>
      <c r="F398" s="41" t="s">
        <v>271</v>
      </c>
      <c r="G398" s="41">
        <v>434.0</v>
      </c>
      <c r="H398" s="41" t="s">
        <v>2889</v>
      </c>
      <c r="I398" s="41"/>
      <c r="J398" s="41" t="s">
        <v>2889</v>
      </c>
      <c r="K398" s="42" t="s">
        <v>2890</v>
      </c>
      <c r="L398" s="42" t="s">
        <v>2891</v>
      </c>
      <c r="M398" s="42" t="s">
        <v>1082</v>
      </c>
      <c r="N398" s="42">
        <v>0.0</v>
      </c>
      <c r="O398" s="42">
        <v>1.0</v>
      </c>
      <c r="P398" s="42">
        <v>2.0</v>
      </c>
      <c r="Q398" s="42">
        <v>0.0</v>
      </c>
      <c r="R398" s="42">
        <v>3.0</v>
      </c>
      <c r="S398" s="42">
        <v>0.0</v>
      </c>
      <c r="T398" s="42" t="s">
        <v>2892</v>
      </c>
      <c r="U398" s="42">
        <v>1.0</v>
      </c>
      <c r="V398" s="42">
        <v>6.0</v>
      </c>
      <c r="W398" s="42">
        <v>0.0</v>
      </c>
      <c r="X398" s="42">
        <v>100.0</v>
      </c>
      <c r="Y398" s="42">
        <v>0.0</v>
      </c>
    </row>
    <row r="399" ht="22.5" customHeight="1">
      <c r="A399" s="41"/>
      <c r="B399" s="41">
        <v>5498.0</v>
      </c>
      <c r="C399" s="41" t="s">
        <v>271</v>
      </c>
      <c r="D399" s="41" t="s">
        <v>2893</v>
      </c>
      <c r="E399" s="41" t="s">
        <v>2893</v>
      </c>
      <c r="F399" s="41" t="s">
        <v>271</v>
      </c>
      <c r="G399" s="41">
        <v>435.0</v>
      </c>
      <c r="H399" s="41" t="s">
        <v>2894</v>
      </c>
      <c r="I399" s="41"/>
      <c r="J399" s="41" t="s">
        <v>2894</v>
      </c>
      <c r="K399" s="42" t="s">
        <v>2895</v>
      </c>
      <c r="L399" s="42" t="s">
        <v>2896</v>
      </c>
      <c r="M399" s="42" t="s">
        <v>1043</v>
      </c>
      <c r="N399" s="42">
        <v>0.0</v>
      </c>
      <c r="O399" s="42">
        <v>1.0</v>
      </c>
      <c r="P399" s="42">
        <v>2.0</v>
      </c>
      <c r="Q399" s="42">
        <v>0.0</v>
      </c>
      <c r="R399" s="42">
        <v>1.0</v>
      </c>
      <c r="S399" s="42">
        <v>0.0</v>
      </c>
      <c r="T399" s="42" t="s">
        <v>2897</v>
      </c>
      <c r="U399" s="42">
        <v>1.0</v>
      </c>
      <c r="V399" s="42">
        <v>8.0</v>
      </c>
      <c r="W399" s="42">
        <v>0.0</v>
      </c>
      <c r="X399" s="42">
        <v>100.0</v>
      </c>
      <c r="Y399" s="42">
        <v>0.0</v>
      </c>
    </row>
    <row r="400" ht="22.5" customHeight="1">
      <c r="A400" s="41"/>
      <c r="B400" s="41">
        <v>5499.0</v>
      </c>
      <c r="C400" s="41" t="s">
        <v>271</v>
      </c>
      <c r="D400" s="41" t="s">
        <v>2898</v>
      </c>
      <c r="E400" s="41" t="s">
        <v>2898</v>
      </c>
      <c r="F400" s="41" t="s">
        <v>271</v>
      </c>
      <c r="G400" s="41">
        <v>436.0</v>
      </c>
      <c r="H400" s="41" t="s">
        <v>2899</v>
      </c>
      <c r="I400" s="41"/>
      <c r="J400" s="41" t="s">
        <v>2899</v>
      </c>
      <c r="K400" s="42" t="s">
        <v>2900</v>
      </c>
      <c r="L400" s="42" t="s">
        <v>2901</v>
      </c>
      <c r="M400" s="42" t="s">
        <v>1043</v>
      </c>
      <c r="N400" s="42">
        <v>0.0</v>
      </c>
      <c r="O400" s="42">
        <v>1.0</v>
      </c>
      <c r="P400" s="42">
        <v>2.0</v>
      </c>
      <c r="Q400" s="42">
        <v>0.0</v>
      </c>
      <c r="R400" s="42">
        <v>1.0</v>
      </c>
      <c r="S400" s="42">
        <v>0.0</v>
      </c>
      <c r="T400" s="42" t="s">
        <v>2902</v>
      </c>
      <c r="U400" s="42">
        <v>1.0</v>
      </c>
      <c r="V400" s="42">
        <v>8.0</v>
      </c>
      <c r="W400" s="42">
        <v>0.0</v>
      </c>
      <c r="X400" s="42">
        <v>100.0</v>
      </c>
      <c r="Y400" s="42">
        <v>0.0</v>
      </c>
    </row>
    <row r="401" ht="22.5" customHeight="1">
      <c r="A401" s="41"/>
      <c r="B401" s="41">
        <v>5500.0</v>
      </c>
      <c r="C401" s="41" t="s">
        <v>271</v>
      </c>
      <c r="D401" s="41" t="s">
        <v>2903</v>
      </c>
      <c r="E401" s="41" t="s">
        <v>2903</v>
      </c>
      <c r="F401" s="41" t="s">
        <v>271</v>
      </c>
      <c r="G401" s="41">
        <v>437.0</v>
      </c>
      <c r="H401" s="41" t="s">
        <v>2904</v>
      </c>
      <c r="I401" s="41"/>
      <c r="J401" s="41" t="s">
        <v>2904</v>
      </c>
      <c r="K401" s="42" t="s">
        <v>2905</v>
      </c>
      <c r="L401" s="42" t="s">
        <v>2906</v>
      </c>
      <c r="M401" s="42" t="s">
        <v>1082</v>
      </c>
      <c r="N401" s="42">
        <v>0.0</v>
      </c>
      <c r="O401" s="42">
        <v>1.0</v>
      </c>
      <c r="P401" s="42">
        <v>2.0</v>
      </c>
      <c r="Q401" s="42">
        <v>0.0</v>
      </c>
      <c r="R401" s="42">
        <v>1.0</v>
      </c>
      <c r="S401" s="42">
        <v>0.0</v>
      </c>
      <c r="T401" s="42" t="s">
        <v>2907</v>
      </c>
      <c r="U401" s="42">
        <v>1.0</v>
      </c>
      <c r="V401" s="42">
        <v>8.0</v>
      </c>
      <c r="W401" s="42">
        <v>0.0</v>
      </c>
      <c r="X401" s="42">
        <v>100.0</v>
      </c>
      <c r="Y401" s="42">
        <v>0.0</v>
      </c>
    </row>
    <row r="402" ht="22.5" customHeight="1">
      <c r="A402" s="41"/>
      <c r="B402" s="41">
        <v>5501.0</v>
      </c>
      <c r="C402" s="41" t="s">
        <v>271</v>
      </c>
      <c r="D402" s="41" t="s">
        <v>2908</v>
      </c>
      <c r="E402" s="41" t="s">
        <v>2908</v>
      </c>
      <c r="F402" s="41" t="s">
        <v>271</v>
      </c>
      <c r="G402" s="41">
        <v>438.0</v>
      </c>
      <c r="H402" s="41" t="s">
        <v>2909</v>
      </c>
      <c r="I402" s="41"/>
      <c r="J402" s="41" t="s">
        <v>2909</v>
      </c>
      <c r="K402" s="42" t="s">
        <v>2910</v>
      </c>
      <c r="L402" s="42" t="s">
        <v>2911</v>
      </c>
      <c r="M402" s="42" t="s">
        <v>1130</v>
      </c>
      <c r="N402" s="42">
        <v>0.0</v>
      </c>
      <c r="O402" s="42">
        <v>1.0</v>
      </c>
      <c r="P402" s="42">
        <v>2.0</v>
      </c>
      <c r="Q402" s="42">
        <v>0.0</v>
      </c>
      <c r="R402" s="42">
        <v>1.0</v>
      </c>
      <c r="S402" s="42">
        <v>0.0</v>
      </c>
      <c r="T402" s="42" t="s">
        <v>2912</v>
      </c>
      <c r="U402" s="42">
        <v>1.0</v>
      </c>
      <c r="V402" s="42">
        <v>8.0</v>
      </c>
      <c r="W402" s="42">
        <v>0.0</v>
      </c>
      <c r="X402" s="42">
        <v>100.0</v>
      </c>
      <c r="Y402" s="42">
        <v>0.0</v>
      </c>
    </row>
    <row r="403" ht="22.5" customHeight="1">
      <c r="A403" s="41"/>
      <c r="B403" s="41">
        <v>5502.0</v>
      </c>
      <c r="C403" s="41" t="s">
        <v>271</v>
      </c>
      <c r="D403" s="41" t="s">
        <v>2913</v>
      </c>
      <c r="E403" s="41" t="s">
        <v>2913</v>
      </c>
      <c r="F403" s="41" t="s">
        <v>271</v>
      </c>
      <c r="G403" s="41">
        <v>439.0</v>
      </c>
      <c r="H403" s="41" t="s">
        <v>2914</v>
      </c>
      <c r="I403" s="41"/>
      <c r="J403" s="41" t="s">
        <v>2914</v>
      </c>
      <c r="K403" s="42" t="s">
        <v>2915</v>
      </c>
      <c r="L403" s="42" t="s">
        <v>2916</v>
      </c>
      <c r="M403" s="42" t="s">
        <v>1130</v>
      </c>
      <c r="N403" s="42">
        <v>0.0</v>
      </c>
      <c r="O403" s="42">
        <v>1.0</v>
      </c>
      <c r="P403" s="42">
        <v>2.0</v>
      </c>
      <c r="Q403" s="42">
        <v>0.0</v>
      </c>
      <c r="R403" s="42">
        <v>7.0</v>
      </c>
      <c r="S403" s="42">
        <v>0.0</v>
      </c>
      <c r="T403" s="42" t="s">
        <v>2917</v>
      </c>
      <c r="U403" s="42">
        <v>1.0</v>
      </c>
      <c r="V403" s="42">
        <v>8.0</v>
      </c>
      <c r="W403" s="42">
        <v>0.0</v>
      </c>
      <c r="X403" s="42">
        <v>100.0</v>
      </c>
      <c r="Y403" s="42">
        <v>0.0</v>
      </c>
    </row>
    <row r="404" ht="22.5" customHeight="1">
      <c r="A404" s="41"/>
      <c r="B404" s="41">
        <v>5503.0</v>
      </c>
      <c r="C404" s="41" t="s">
        <v>271</v>
      </c>
      <c r="D404" s="41" t="s">
        <v>2918</v>
      </c>
      <c r="E404" s="41" t="s">
        <v>2918</v>
      </c>
      <c r="F404" s="41" t="s">
        <v>271</v>
      </c>
      <c r="G404" s="41">
        <v>440.0</v>
      </c>
      <c r="H404" s="41" t="s">
        <v>2919</v>
      </c>
      <c r="I404" s="41"/>
      <c r="J404" s="41" t="s">
        <v>2919</v>
      </c>
      <c r="K404" s="42" t="s">
        <v>2920</v>
      </c>
      <c r="L404" s="42" t="s">
        <v>2921</v>
      </c>
      <c r="M404" s="42" t="s">
        <v>1028</v>
      </c>
      <c r="N404" s="42">
        <v>0.0</v>
      </c>
      <c r="O404" s="42">
        <v>1.0</v>
      </c>
      <c r="P404" s="42">
        <v>2.0</v>
      </c>
      <c r="Q404" s="42">
        <v>0.0</v>
      </c>
      <c r="R404" s="42">
        <v>8.0</v>
      </c>
      <c r="S404" s="42">
        <v>0.0</v>
      </c>
      <c r="T404" s="42" t="s">
        <v>2922</v>
      </c>
      <c r="U404" s="42">
        <v>1.0</v>
      </c>
      <c r="V404" s="42">
        <v>8.0</v>
      </c>
      <c r="W404" s="42">
        <v>0.0</v>
      </c>
      <c r="X404" s="42">
        <v>100.0</v>
      </c>
      <c r="Y404" s="42">
        <v>0.0</v>
      </c>
    </row>
    <row r="405" ht="22.5" customHeight="1">
      <c r="A405" s="41"/>
      <c r="B405" s="41">
        <v>5504.0</v>
      </c>
      <c r="C405" s="41" t="s">
        <v>271</v>
      </c>
      <c r="D405" s="41" t="s">
        <v>2923</v>
      </c>
      <c r="E405" s="41" t="s">
        <v>2923</v>
      </c>
      <c r="F405" s="41" t="s">
        <v>271</v>
      </c>
      <c r="G405" s="41">
        <v>441.0</v>
      </c>
      <c r="H405" s="41" t="s">
        <v>2924</v>
      </c>
      <c r="I405" s="41"/>
      <c r="J405" s="41" t="s">
        <v>2924</v>
      </c>
      <c r="K405" s="42" t="s">
        <v>2925</v>
      </c>
      <c r="L405" s="42" t="s">
        <v>2926</v>
      </c>
      <c r="M405" s="42" t="s">
        <v>1380</v>
      </c>
      <c r="N405" s="42">
        <v>0.0</v>
      </c>
      <c r="O405" s="42">
        <v>1.0</v>
      </c>
      <c r="P405" s="42">
        <v>2.0</v>
      </c>
      <c r="Q405" s="42">
        <v>0.0</v>
      </c>
      <c r="R405" s="42">
        <v>1.0</v>
      </c>
      <c r="S405" s="42">
        <v>0.0</v>
      </c>
      <c r="T405" s="42" t="s">
        <v>2927</v>
      </c>
      <c r="U405" s="42">
        <v>1.0</v>
      </c>
      <c r="V405" s="42">
        <v>8.0</v>
      </c>
      <c r="W405" s="42">
        <v>0.0</v>
      </c>
      <c r="X405" s="42">
        <v>100.0</v>
      </c>
      <c r="Y405" s="42">
        <v>0.0</v>
      </c>
    </row>
    <row r="406" ht="22.5" customHeight="1">
      <c r="A406" s="41"/>
      <c r="B406" s="41">
        <v>5505.0</v>
      </c>
      <c r="C406" s="41" t="s">
        <v>271</v>
      </c>
      <c r="D406" s="41" t="s">
        <v>2928</v>
      </c>
      <c r="E406" s="41" t="s">
        <v>2928</v>
      </c>
      <c r="F406" s="41" t="s">
        <v>271</v>
      </c>
      <c r="G406" s="41">
        <v>442.0</v>
      </c>
      <c r="H406" s="41" t="s">
        <v>2928</v>
      </c>
      <c r="I406" s="41"/>
      <c r="J406" s="41" t="s">
        <v>2928</v>
      </c>
      <c r="K406" s="42" t="s">
        <v>2929</v>
      </c>
      <c r="L406" s="42" t="s">
        <v>2930</v>
      </c>
      <c r="N406" s="42">
        <v>0.0</v>
      </c>
      <c r="O406" s="42">
        <v>0.0</v>
      </c>
      <c r="P406" s="42">
        <v>2.0</v>
      </c>
      <c r="Q406" s="42">
        <v>0.0</v>
      </c>
      <c r="R406" s="42">
        <v>0.0</v>
      </c>
      <c r="S406" s="42">
        <v>1.0</v>
      </c>
      <c r="T406" s="42" t="s">
        <v>2931</v>
      </c>
      <c r="U406" s="42">
        <v>1.0</v>
      </c>
      <c r="V406" s="42">
        <v>8.0</v>
      </c>
      <c r="W406" s="42">
        <v>0.0</v>
      </c>
      <c r="X406" s="42">
        <v>100.0</v>
      </c>
      <c r="Y406" s="42">
        <v>0.0</v>
      </c>
    </row>
    <row r="407" ht="22.5" customHeight="1">
      <c r="A407" s="41"/>
      <c r="B407" s="41">
        <v>5506.0</v>
      </c>
      <c r="C407" s="41" t="s">
        <v>271</v>
      </c>
      <c r="D407" s="41" t="s">
        <v>2932</v>
      </c>
      <c r="E407" s="41" t="s">
        <v>2932</v>
      </c>
      <c r="F407" s="41" t="s">
        <v>271</v>
      </c>
      <c r="G407" s="41">
        <v>443.0</v>
      </c>
      <c r="H407" s="41" t="s">
        <v>2933</v>
      </c>
      <c r="I407" s="41"/>
      <c r="J407" s="41" t="s">
        <v>2933</v>
      </c>
      <c r="K407" s="42" t="s">
        <v>2934</v>
      </c>
      <c r="L407" s="42" t="s">
        <v>2935</v>
      </c>
      <c r="M407" s="42" t="s">
        <v>1043</v>
      </c>
      <c r="N407" s="42">
        <v>0.0</v>
      </c>
      <c r="O407" s="42">
        <v>1.0</v>
      </c>
      <c r="P407" s="42">
        <v>2.0</v>
      </c>
      <c r="Q407" s="42">
        <v>0.0</v>
      </c>
      <c r="R407" s="42">
        <v>1.0</v>
      </c>
      <c r="S407" s="42">
        <v>0.0</v>
      </c>
      <c r="T407" s="42" t="s">
        <v>2936</v>
      </c>
      <c r="U407" s="42">
        <v>1.0</v>
      </c>
      <c r="V407" s="42">
        <v>6.0</v>
      </c>
      <c r="W407" s="42">
        <v>0.0</v>
      </c>
      <c r="X407" s="42">
        <v>100.0</v>
      </c>
      <c r="Y407" s="42">
        <v>0.0</v>
      </c>
    </row>
    <row r="408" ht="22.5" customHeight="1">
      <c r="A408" s="41"/>
      <c r="B408" s="41">
        <v>5507.0</v>
      </c>
      <c r="C408" s="41" t="s">
        <v>271</v>
      </c>
      <c r="D408" s="41" t="s">
        <v>2937</v>
      </c>
      <c r="E408" s="41" t="s">
        <v>2937</v>
      </c>
      <c r="F408" s="41" t="s">
        <v>271</v>
      </c>
      <c r="G408" s="41">
        <v>444.0</v>
      </c>
      <c r="H408" s="41" t="s">
        <v>2938</v>
      </c>
      <c r="I408" s="41"/>
      <c r="J408" s="41" t="s">
        <v>2938</v>
      </c>
      <c r="K408" s="42" t="s">
        <v>2939</v>
      </c>
      <c r="L408" s="42" t="s">
        <v>2940</v>
      </c>
      <c r="M408" s="42" t="s">
        <v>1130</v>
      </c>
      <c r="N408" s="42">
        <v>0.0</v>
      </c>
      <c r="O408" s="42">
        <v>1.0</v>
      </c>
      <c r="P408" s="42">
        <v>2.0</v>
      </c>
      <c r="Q408" s="42">
        <v>0.0</v>
      </c>
      <c r="R408" s="42">
        <v>1.0</v>
      </c>
      <c r="S408" s="42">
        <v>0.0</v>
      </c>
      <c r="T408" s="42" t="s">
        <v>2941</v>
      </c>
      <c r="U408" s="42">
        <v>1.0</v>
      </c>
      <c r="V408" s="42">
        <v>6.0</v>
      </c>
      <c r="W408" s="42">
        <v>0.0</v>
      </c>
      <c r="X408" s="42">
        <v>100.0</v>
      </c>
      <c r="Y408" s="42">
        <v>0.0</v>
      </c>
    </row>
    <row r="409" ht="22.5" customHeight="1">
      <c r="A409" s="41"/>
      <c r="B409" s="41">
        <v>5508.0</v>
      </c>
      <c r="C409" s="41" t="s">
        <v>271</v>
      </c>
      <c r="D409" s="41" t="s">
        <v>2942</v>
      </c>
      <c r="E409" s="41" t="s">
        <v>2942</v>
      </c>
      <c r="F409" s="41" t="s">
        <v>271</v>
      </c>
      <c r="G409" s="41">
        <v>445.0</v>
      </c>
      <c r="H409" s="41" t="s">
        <v>2942</v>
      </c>
      <c r="I409" s="41"/>
      <c r="J409" s="41" t="s">
        <v>2942</v>
      </c>
      <c r="K409" s="42" t="s">
        <v>2943</v>
      </c>
      <c r="L409" s="42" t="s">
        <v>2944</v>
      </c>
      <c r="N409" s="42">
        <v>0.0</v>
      </c>
      <c r="O409" s="42">
        <v>0.0</v>
      </c>
      <c r="P409" s="42">
        <v>2.0</v>
      </c>
      <c r="Q409" s="42">
        <v>0.0</v>
      </c>
      <c r="R409" s="42">
        <v>0.0</v>
      </c>
      <c r="S409" s="42">
        <v>1.0</v>
      </c>
      <c r="T409" s="42" t="s">
        <v>2945</v>
      </c>
      <c r="U409" s="42">
        <v>1.0</v>
      </c>
      <c r="V409" s="42">
        <v>8.0</v>
      </c>
      <c r="W409" s="42">
        <v>0.0</v>
      </c>
      <c r="X409" s="42">
        <v>100.0</v>
      </c>
      <c r="Y409" s="42">
        <v>0.0</v>
      </c>
    </row>
    <row r="410" ht="22.5" customHeight="1">
      <c r="A410" s="41"/>
      <c r="B410" s="41">
        <v>5509.0</v>
      </c>
      <c r="C410" s="41" t="s">
        <v>271</v>
      </c>
      <c r="D410" s="41" t="s">
        <v>2946</v>
      </c>
      <c r="E410" s="41" t="s">
        <v>2946</v>
      </c>
      <c r="F410" s="41" t="s">
        <v>271</v>
      </c>
      <c r="G410" s="41">
        <v>446.0</v>
      </c>
      <c r="H410" s="41" t="s">
        <v>2947</v>
      </c>
      <c r="I410" s="41"/>
      <c r="J410" s="41" t="s">
        <v>2947</v>
      </c>
      <c r="K410" s="42" t="s">
        <v>2948</v>
      </c>
      <c r="L410" s="42" t="s">
        <v>2949</v>
      </c>
      <c r="M410" s="42" t="s">
        <v>1028</v>
      </c>
      <c r="N410" s="42">
        <v>0.0</v>
      </c>
      <c r="O410" s="42">
        <v>1.0</v>
      </c>
      <c r="P410" s="42">
        <v>2.0</v>
      </c>
      <c r="Q410" s="42">
        <v>0.0</v>
      </c>
      <c r="R410" s="42">
        <v>7.0</v>
      </c>
      <c r="S410" s="42">
        <v>0.0</v>
      </c>
      <c r="T410" s="42" t="s">
        <v>2950</v>
      </c>
      <c r="U410" s="42">
        <v>1.0</v>
      </c>
      <c r="V410" s="42">
        <v>8.0</v>
      </c>
      <c r="W410" s="42">
        <v>0.0</v>
      </c>
      <c r="X410" s="42">
        <v>100.0</v>
      </c>
      <c r="Y410" s="42">
        <v>0.0</v>
      </c>
    </row>
    <row r="411" ht="22.5" customHeight="1">
      <c r="A411" s="41"/>
      <c r="B411" s="41">
        <v>5510.0</v>
      </c>
      <c r="C411" s="41" t="s">
        <v>271</v>
      </c>
      <c r="D411" s="41" t="s">
        <v>2951</v>
      </c>
      <c r="E411" s="41" t="s">
        <v>2951</v>
      </c>
      <c r="F411" s="41" t="s">
        <v>271</v>
      </c>
      <c r="G411" s="41">
        <v>447.0</v>
      </c>
      <c r="H411" s="41" t="s">
        <v>2952</v>
      </c>
      <c r="I411" s="41"/>
      <c r="J411" s="41" t="s">
        <v>2952</v>
      </c>
      <c r="K411" s="42" t="s">
        <v>2953</v>
      </c>
      <c r="L411" s="42" t="s">
        <v>2954</v>
      </c>
      <c r="M411" s="42" t="s">
        <v>1028</v>
      </c>
      <c r="N411" s="42">
        <v>0.0</v>
      </c>
      <c r="O411" s="42">
        <v>1.0</v>
      </c>
      <c r="P411" s="42">
        <v>2.0</v>
      </c>
      <c r="Q411" s="42">
        <v>0.0</v>
      </c>
      <c r="R411" s="42">
        <v>1.0</v>
      </c>
      <c r="S411" s="42">
        <v>0.0</v>
      </c>
      <c r="T411" s="42" t="s">
        <v>2955</v>
      </c>
      <c r="U411" s="42">
        <v>1.0</v>
      </c>
      <c r="V411" s="42">
        <v>8.0</v>
      </c>
      <c r="W411" s="42">
        <v>0.0</v>
      </c>
      <c r="X411" s="42">
        <v>100.0</v>
      </c>
      <c r="Y411" s="42">
        <v>0.0</v>
      </c>
    </row>
    <row r="412" ht="22.5" customHeight="1">
      <c r="A412" s="41"/>
      <c r="B412" s="41">
        <v>5511.0</v>
      </c>
      <c r="C412" s="41" t="s">
        <v>271</v>
      </c>
      <c r="D412" s="41" t="s">
        <v>2070</v>
      </c>
      <c r="E412" s="41" t="s">
        <v>2070</v>
      </c>
      <c r="F412" s="41" t="s">
        <v>271</v>
      </c>
      <c r="G412" s="41">
        <v>448.0</v>
      </c>
      <c r="H412" s="41" t="s">
        <v>2070</v>
      </c>
      <c r="I412" s="41"/>
      <c r="J412" s="41" t="s">
        <v>2070</v>
      </c>
      <c r="K412" s="42" t="s">
        <v>2071</v>
      </c>
      <c r="L412" s="42" t="s">
        <v>2956</v>
      </c>
      <c r="N412" s="42">
        <v>0.0</v>
      </c>
      <c r="O412" s="42">
        <v>0.0</v>
      </c>
      <c r="P412" s="42">
        <v>2.0</v>
      </c>
      <c r="Q412" s="42">
        <v>0.0</v>
      </c>
      <c r="R412" s="42">
        <v>0.0</v>
      </c>
      <c r="S412" s="42">
        <v>1.0</v>
      </c>
      <c r="T412" s="42" t="s">
        <v>2957</v>
      </c>
      <c r="U412" s="42">
        <v>1.0</v>
      </c>
      <c r="V412" s="42">
        <v>8.0</v>
      </c>
      <c r="W412" s="42">
        <v>0.0</v>
      </c>
      <c r="X412" s="42">
        <v>100.0</v>
      </c>
      <c r="Y412" s="42">
        <v>0.0</v>
      </c>
    </row>
    <row r="413" ht="22.5" customHeight="1">
      <c r="A413" s="41"/>
      <c r="B413" s="41">
        <v>5512.0</v>
      </c>
      <c r="C413" s="41" t="s">
        <v>271</v>
      </c>
      <c r="D413" s="41" t="s">
        <v>2958</v>
      </c>
      <c r="E413" s="41" t="s">
        <v>2958</v>
      </c>
      <c r="F413" s="41" t="s">
        <v>271</v>
      </c>
      <c r="G413" s="41">
        <v>449.0</v>
      </c>
      <c r="H413" s="41" t="s">
        <v>2959</v>
      </c>
      <c r="I413" s="41"/>
      <c r="J413" s="41" t="s">
        <v>2959</v>
      </c>
      <c r="K413" s="42" t="s">
        <v>2960</v>
      </c>
      <c r="L413" s="42" t="s">
        <v>2961</v>
      </c>
      <c r="M413" s="42" t="s">
        <v>1082</v>
      </c>
      <c r="N413" s="42">
        <v>0.0</v>
      </c>
      <c r="O413" s="42">
        <v>1.0</v>
      </c>
      <c r="P413" s="42">
        <v>2.0</v>
      </c>
      <c r="Q413" s="42">
        <v>0.0</v>
      </c>
      <c r="R413" s="42">
        <v>1.0</v>
      </c>
      <c r="S413" s="42">
        <v>0.0</v>
      </c>
      <c r="T413" s="42" t="s">
        <v>2962</v>
      </c>
      <c r="U413" s="42">
        <v>1.0</v>
      </c>
      <c r="V413" s="42">
        <v>5.0</v>
      </c>
      <c r="W413" s="42">
        <v>0.0</v>
      </c>
      <c r="X413" s="42">
        <v>100.0</v>
      </c>
      <c r="Y413" s="42">
        <v>0.0</v>
      </c>
    </row>
    <row r="414" ht="22.5" customHeight="1">
      <c r="A414" s="41"/>
      <c r="B414" s="41">
        <v>5513.0</v>
      </c>
      <c r="C414" s="41" t="s">
        <v>271</v>
      </c>
      <c r="D414" s="41" t="s">
        <v>2963</v>
      </c>
      <c r="E414" s="41" t="s">
        <v>2963</v>
      </c>
      <c r="F414" s="41" t="s">
        <v>271</v>
      </c>
      <c r="G414" s="41">
        <v>450.0</v>
      </c>
      <c r="H414" s="41" t="s">
        <v>2964</v>
      </c>
      <c r="I414" s="41"/>
      <c r="J414" s="41" t="s">
        <v>2964</v>
      </c>
      <c r="K414" s="42" t="s">
        <v>2965</v>
      </c>
      <c r="L414" s="42" t="s">
        <v>2966</v>
      </c>
      <c r="M414" s="42" t="s">
        <v>970</v>
      </c>
      <c r="N414" s="42">
        <v>0.0</v>
      </c>
      <c r="O414" s="42">
        <v>1.0</v>
      </c>
      <c r="P414" s="42">
        <v>2.0</v>
      </c>
      <c r="Q414" s="42">
        <v>0.0</v>
      </c>
      <c r="R414" s="42">
        <v>1.0</v>
      </c>
      <c r="S414" s="42">
        <v>1.0</v>
      </c>
      <c r="T414" s="42" t="s">
        <v>2967</v>
      </c>
      <c r="U414" s="42">
        <v>1.0</v>
      </c>
      <c r="V414" s="42">
        <v>0.0</v>
      </c>
      <c r="W414" s="42">
        <v>0.0</v>
      </c>
      <c r="X414" s="42">
        <v>100.0</v>
      </c>
      <c r="Y414" s="42">
        <v>0.0</v>
      </c>
    </row>
    <row r="415" ht="22.5" customHeight="1">
      <c r="A415" s="41"/>
      <c r="B415" s="41">
        <v>5514.0</v>
      </c>
      <c r="C415" s="41" t="s">
        <v>271</v>
      </c>
      <c r="D415" s="41" t="s">
        <v>2968</v>
      </c>
      <c r="E415" s="41" t="s">
        <v>2968</v>
      </c>
      <c r="F415" s="41" t="s">
        <v>271</v>
      </c>
      <c r="G415" s="41">
        <v>451.0</v>
      </c>
      <c r="H415" s="41" t="s">
        <v>2969</v>
      </c>
      <c r="I415" s="41"/>
      <c r="J415" s="41" t="s">
        <v>2969</v>
      </c>
      <c r="K415" s="42" t="s">
        <v>2970</v>
      </c>
      <c r="L415" s="42" t="s">
        <v>2971</v>
      </c>
      <c r="M415" s="42" t="s">
        <v>1130</v>
      </c>
      <c r="N415" s="42">
        <v>0.0</v>
      </c>
      <c r="O415" s="42">
        <v>1.0</v>
      </c>
      <c r="P415" s="42">
        <v>2.0</v>
      </c>
      <c r="Q415" s="42">
        <v>0.0</v>
      </c>
      <c r="R415" s="42">
        <v>1.0</v>
      </c>
      <c r="S415" s="42">
        <v>0.0</v>
      </c>
      <c r="T415" s="42" t="s">
        <v>2972</v>
      </c>
      <c r="U415" s="42">
        <v>1.0</v>
      </c>
      <c r="V415" s="42">
        <v>5.0</v>
      </c>
      <c r="W415" s="42">
        <v>0.0</v>
      </c>
      <c r="X415" s="42">
        <v>100.0</v>
      </c>
      <c r="Y415" s="42">
        <v>0.0</v>
      </c>
    </row>
    <row r="416" ht="22.5" customHeight="1">
      <c r="A416" s="41"/>
      <c r="B416" s="41">
        <v>5515.0</v>
      </c>
      <c r="C416" s="41" t="s">
        <v>271</v>
      </c>
      <c r="D416" s="41" t="s">
        <v>2973</v>
      </c>
      <c r="E416" s="41" t="s">
        <v>2973</v>
      </c>
      <c r="F416" s="41" t="s">
        <v>271</v>
      </c>
      <c r="G416" s="41">
        <v>452.0</v>
      </c>
      <c r="H416" s="41" t="s">
        <v>2974</v>
      </c>
      <c r="I416" s="41"/>
      <c r="J416" s="41" t="s">
        <v>2974</v>
      </c>
      <c r="K416" s="42" t="s">
        <v>2975</v>
      </c>
      <c r="L416" s="42" t="s">
        <v>2976</v>
      </c>
      <c r="M416" s="42" t="s">
        <v>1130</v>
      </c>
      <c r="N416" s="42">
        <v>0.0</v>
      </c>
      <c r="O416" s="42">
        <v>1.0</v>
      </c>
      <c r="P416" s="42">
        <v>2.0</v>
      </c>
      <c r="Q416" s="42">
        <v>0.0</v>
      </c>
      <c r="R416" s="42">
        <v>1.0</v>
      </c>
      <c r="S416" s="42">
        <v>0.0</v>
      </c>
      <c r="T416" s="42" t="s">
        <v>2977</v>
      </c>
      <c r="U416" s="42">
        <v>1.0</v>
      </c>
      <c r="V416" s="42">
        <v>6.0</v>
      </c>
      <c r="W416" s="42">
        <v>0.0</v>
      </c>
      <c r="X416" s="42">
        <v>100.0</v>
      </c>
      <c r="Y416" s="42">
        <v>0.0</v>
      </c>
    </row>
    <row r="417" ht="22.5" customHeight="1">
      <c r="A417" s="41"/>
      <c r="B417" s="41">
        <v>5516.0</v>
      </c>
      <c r="C417" s="41" t="s">
        <v>271</v>
      </c>
      <c r="D417" s="41" t="s">
        <v>2978</v>
      </c>
      <c r="E417" s="41" t="s">
        <v>2978</v>
      </c>
      <c r="F417" s="41" t="s">
        <v>271</v>
      </c>
      <c r="G417" s="41">
        <v>453.0</v>
      </c>
      <c r="H417" s="41" t="s">
        <v>2978</v>
      </c>
      <c r="I417" s="41"/>
      <c r="J417" s="41" t="s">
        <v>2978</v>
      </c>
      <c r="K417" s="42" t="s">
        <v>2979</v>
      </c>
      <c r="L417" s="42" t="s">
        <v>2980</v>
      </c>
      <c r="N417" s="42">
        <v>0.0</v>
      </c>
      <c r="O417" s="42">
        <v>0.0</v>
      </c>
      <c r="P417" s="42">
        <v>2.0</v>
      </c>
      <c r="Q417" s="42">
        <v>0.0</v>
      </c>
      <c r="R417" s="42">
        <v>0.0</v>
      </c>
      <c r="S417" s="42">
        <v>1.0</v>
      </c>
      <c r="T417" s="42" t="s">
        <v>2981</v>
      </c>
      <c r="U417" s="42">
        <v>1.0</v>
      </c>
      <c r="V417" s="42">
        <v>8.0</v>
      </c>
      <c r="W417" s="42">
        <v>0.0</v>
      </c>
      <c r="X417" s="42">
        <v>100.0</v>
      </c>
      <c r="Y417" s="42">
        <v>0.0</v>
      </c>
    </row>
    <row r="418" ht="22.5" customHeight="1">
      <c r="A418" s="41"/>
      <c r="B418" s="41">
        <v>5517.0</v>
      </c>
      <c r="C418" s="41" t="s">
        <v>271</v>
      </c>
      <c r="D418" s="41" t="s">
        <v>2982</v>
      </c>
      <c r="E418" s="41" t="s">
        <v>2982</v>
      </c>
      <c r="F418" s="41" t="s">
        <v>271</v>
      </c>
      <c r="G418" s="41">
        <v>454.0</v>
      </c>
      <c r="H418" s="41" t="s">
        <v>2983</v>
      </c>
      <c r="I418" s="41"/>
      <c r="J418" s="41" t="s">
        <v>2983</v>
      </c>
      <c r="K418" s="42" t="s">
        <v>2984</v>
      </c>
      <c r="L418" s="42" t="s">
        <v>2985</v>
      </c>
      <c r="M418" s="42" t="s">
        <v>1130</v>
      </c>
      <c r="N418" s="42">
        <v>0.0</v>
      </c>
      <c r="O418" s="42">
        <v>1.0</v>
      </c>
      <c r="P418" s="42">
        <v>2.0</v>
      </c>
      <c r="Q418" s="42">
        <v>0.0</v>
      </c>
      <c r="R418" s="42">
        <v>1.0</v>
      </c>
      <c r="S418" s="42">
        <v>0.0</v>
      </c>
      <c r="T418" s="42" t="s">
        <v>2986</v>
      </c>
      <c r="U418" s="42">
        <v>1.0</v>
      </c>
      <c r="V418" s="42">
        <v>8.0</v>
      </c>
      <c r="W418" s="42">
        <v>0.0</v>
      </c>
      <c r="X418" s="42">
        <v>100.0</v>
      </c>
      <c r="Y418" s="42">
        <v>0.0</v>
      </c>
    </row>
    <row r="419" ht="22.5" customHeight="1">
      <c r="A419" s="41"/>
      <c r="B419" s="41">
        <v>5518.0</v>
      </c>
      <c r="C419" s="41" t="s">
        <v>271</v>
      </c>
      <c r="D419" s="41" t="s">
        <v>2987</v>
      </c>
      <c r="E419" s="41" t="s">
        <v>2987</v>
      </c>
      <c r="F419" s="41" t="s">
        <v>271</v>
      </c>
      <c r="G419" s="41">
        <v>455.0</v>
      </c>
      <c r="H419" s="41" t="s">
        <v>2988</v>
      </c>
      <c r="I419" s="41"/>
      <c r="J419" s="41" t="s">
        <v>2988</v>
      </c>
      <c r="K419" s="42" t="s">
        <v>2989</v>
      </c>
      <c r="L419" s="42" t="s">
        <v>2990</v>
      </c>
      <c r="M419" s="42" t="s">
        <v>1028</v>
      </c>
      <c r="N419" s="42">
        <v>0.0</v>
      </c>
      <c r="O419" s="42">
        <v>1.0</v>
      </c>
      <c r="P419" s="42">
        <v>2.0</v>
      </c>
      <c r="Q419" s="42">
        <v>0.0</v>
      </c>
      <c r="R419" s="42">
        <v>1.0</v>
      </c>
      <c r="S419" s="42">
        <v>0.0</v>
      </c>
      <c r="T419" s="42" t="s">
        <v>2991</v>
      </c>
      <c r="U419" s="42">
        <v>1.0</v>
      </c>
      <c r="V419" s="42">
        <v>8.0</v>
      </c>
      <c r="W419" s="42">
        <v>0.0</v>
      </c>
      <c r="X419" s="42">
        <v>100.0</v>
      </c>
      <c r="Y419" s="42">
        <v>0.0</v>
      </c>
    </row>
    <row r="420" ht="22.5" customHeight="1">
      <c r="A420" s="41"/>
      <c r="B420" s="41">
        <v>5519.0</v>
      </c>
      <c r="C420" s="41" t="s">
        <v>271</v>
      </c>
      <c r="D420" s="41" t="s">
        <v>2992</v>
      </c>
      <c r="E420" s="41" t="s">
        <v>2992</v>
      </c>
      <c r="F420" s="41" t="s">
        <v>271</v>
      </c>
      <c r="G420" s="41">
        <v>456.0</v>
      </c>
      <c r="H420" s="41" t="s">
        <v>2199</v>
      </c>
      <c r="I420" s="41"/>
      <c r="J420" s="41" t="s">
        <v>2199</v>
      </c>
      <c r="K420" s="42" t="s">
        <v>2200</v>
      </c>
      <c r="L420" s="42" t="s">
        <v>2993</v>
      </c>
      <c r="M420" s="42" t="s">
        <v>1043</v>
      </c>
      <c r="N420" s="42">
        <v>0.0</v>
      </c>
      <c r="O420" s="42">
        <v>1.0</v>
      </c>
      <c r="P420" s="42">
        <v>2.0</v>
      </c>
      <c r="Q420" s="42">
        <v>0.0</v>
      </c>
      <c r="R420" s="42">
        <v>8.0</v>
      </c>
      <c r="S420" s="42">
        <v>0.0</v>
      </c>
      <c r="T420" s="42" t="s">
        <v>2994</v>
      </c>
      <c r="U420" s="42">
        <v>1.0</v>
      </c>
      <c r="V420" s="42">
        <v>2.0</v>
      </c>
      <c r="W420" s="42">
        <v>0.0</v>
      </c>
      <c r="X420" s="42">
        <v>100.0</v>
      </c>
      <c r="Y420" s="42">
        <v>0.0</v>
      </c>
    </row>
    <row r="421" ht="22.5" customHeight="1">
      <c r="A421" s="41"/>
      <c r="B421" s="41">
        <v>5520.0</v>
      </c>
      <c r="C421" s="41" t="s">
        <v>271</v>
      </c>
      <c r="D421" s="41" t="s">
        <v>2995</v>
      </c>
      <c r="E421" s="41" t="s">
        <v>2995</v>
      </c>
      <c r="F421" s="41" t="s">
        <v>271</v>
      </c>
      <c r="G421" s="41">
        <v>457.0</v>
      </c>
      <c r="H421" s="41" t="s">
        <v>2996</v>
      </c>
      <c r="I421" s="41"/>
      <c r="J421" s="41" t="s">
        <v>2996</v>
      </c>
      <c r="K421" s="42" t="s">
        <v>2997</v>
      </c>
      <c r="L421" s="42" t="s">
        <v>2998</v>
      </c>
      <c r="M421" s="42" t="s">
        <v>1043</v>
      </c>
      <c r="N421" s="42">
        <v>0.0</v>
      </c>
      <c r="O421" s="42">
        <v>1.0</v>
      </c>
      <c r="P421" s="42">
        <v>2.0</v>
      </c>
      <c r="Q421" s="42">
        <v>0.0</v>
      </c>
      <c r="R421" s="42">
        <v>1.0</v>
      </c>
      <c r="S421" s="42">
        <v>0.0</v>
      </c>
      <c r="T421" s="42" t="s">
        <v>2999</v>
      </c>
      <c r="U421" s="42">
        <v>1.0</v>
      </c>
      <c r="V421" s="42">
        <v>8.0</v>
      </c>
      <c r="W421" s="42">
        <v>0.0</v>
      </c>
      <c r="X421" s="42">
        <v>100.0</v>
      </c>
      <c r="Y421" s="42">
        <v>0.0</v>
      </c>
    </row>
    <row r="422" ht="22.5" customHeight="1">
      <c r="A422" s="41"/>
      <c r="B422" s="41">
        <v>5524.0</v>
      </c>
      <c r="C422" s="41" t="s">
        <v>271</v>
      </c>
      <c r="D422" s="41" t="s">
        <v>3000</v>
      </c>
      <c r="E422" s="41" t="s">
        <v>3000</v>
      </c>
      <c r="F422" s="41" t="s">
        <v>271</v>
      </c>
      <c r="G422" s="41">
        <v>458.0</v>
      </c>
      <c r="H422" s="41" t="s">
        <v>3000</v>
      </c>
      <c r="I422" s="41"/>
      <c r="J422" s="41" t="s">
        <v>3000</v>
      </c>
      <c r="K422" s="42" t="s">
        <v>3001</v>
      </c>
      <c r="L422" s="42" t="s">
        <v>3002</v>
      </c>
      <c r="M422" s="42" t="s">
        <v>962</v>
      </c>
      <c r="N422" s="42">
        <v>0.0</v>
      </c>
      <c r="O422" s="42">
        <v>1.0</v>
      </c>
      <c r="P422" s="42">
        <v>2.0</v>
      </c>
      <c r="Q422" s="42">
        <v>0.0</v>
      </c>
      <c r="R422" s="42">
        <v>0.0</v>
      </c>
      <c r="S422" s="42">
        <v>1.0</v>
      </c>
      <c r="T422" s="42" t="s">
        <v>3003</v>
      </c>
      <c r="U422" s="42">
        <v>1.0</v>
      </c>
      <c r="V422" s="42">
        <v>8.0</v>
      </c>
      <c r="W422" s="42">
        <v>0.0</v>
      </c>
      <c r="X422" s="42">
        <v>100.0</v>
      </c>
      <c r="Y422" s="42">
        <v>0.0</v>
      </c>
    </row>
    <row r="423" ht="22.5" customHeight="1">
      <c r="A423" s="41"/>
      <c r="B423" s="41">
        <v>5525.0</v>
      </c>
      <c r="C423" s="41" t="s">
        <v>271</v>
      </c>
      <c r="D423" s="41" t="s">
        <v>3004</v>
      </c>
      <c r="E423" s="41" t="s">
        <v>3004</v>
      </c>
      <c r="F423" s="41" t="s">
        <v>271</v>
      </c>
      <c r="G423" s="41">
        <v>459.0</v>
      </c>
      <c r="H423" s="41" t="s">
        <v>3005</v>
      </c>
      <c r="I423" s="41"/>
      <c r="J423" s="41" t="s">
        <v>3005</v>
      </c>
      <c r="K423" s="42" t="s">
        <v>3006</v>
      </c>
      <c r="L423" s="42" t="s">
        <v>3007</v>
      </c>
      <c r="M423" s="42" t="s">
        <v>1130</v>
      </c>
      <c r="N423" s="42">
        <v>0.0</v>
      </c>
      <c r="O423" s="42">
        <v>1.0</v>
      </c>
      <c r="P423" s="42">
        <v>2.0</v>
      </c>
      <c r="Q423" s="42">
        <v>0.0</v>
      </c>
      <c r="R423" s="42">
        <v>1.0</v>
      </c>
      <c r="S423" s="42">
        <v>0.0</v>
      </c>
      <c r="T423" s="42" t="s">
        <v>3008</v>
      </c>
      <c r="U423" s="42">
        <v>1.0</v>
      </c>
      <c r="V423" s="42">
        <v>8.0</v>
      </c>
      <c r="W423" s="42">
        <v>0.0</v>
      </c>
      <c r="X423" s="42">
        <v>100.0</v>
      </c>
      <c r="Y423" s="42">
        <v>0.0</v>
      </c>
    </row>
    <row r="424" ht="22.5" customHeight="1">
      <c r="A424" s="41"/>
      <c r="B424" s="41">
        <v>5526.0</v>
      </c>
      <c r="C424" s="41" t="s">
        <v>271</v>
      </c>
      <c r="D424" s="41" t="s">
        <v>3009</v>
      </c>
      <c r="E424" s="41" t="s">
        <v>3009</v>
      </c>
      <c r="F424" s="41" t="s">
        <v>271</v>
      </c>
      <c r="G424" s="41">
        <v>460.0</v>
      </c>
      <c r="H424" s="41" t="s">
        <v>3010</v>
      </c>
      <c r="I424" s="41"/>
      <c r="J424" s="41" t="s">
        <v>3010</v>
      </c>
      <c r="K424" s="42" t="s">
        <v>3011</v>
      </c>
      <c r="L424" s="42" t="s">
        <v>3012</v>
      </c>
      <c r="M424" s="42" t="s">
        <v>1043</v>
      </c>
      <c r="N424" s="42">
        <v>0.0</v>
      </c>
      <c r="O424" s="42">
        <v>1.0</v>
      </c>
      <c r="P424" s="42">
        <v>2.0</v>
      </c>
      <c r="Q424" s="42">
        <v>0.0</v>
      </c>
      <c r="R424" s="42">
        <v>1.0</v>
      </c>
      <c r="S424" s="42">
        <v>0.0</v>
      </c>
      <c r="T424" s="42" t="s">
        <v>3013</v>
      </c>
      <c r="U424" s="42">
        <v>1.0</v>
      </c>
      <c r="V424" s="42">
        <v>5.0</v>
      </c>
      <c r="W424" s="42">
        <v>0.0</v>
      </c>
      <c r="X424" s="42">
        <v>100.0</v>
      </c>
      <c r="Y424" s="42">
        <v>0.0</v>
      </c>
    </row>
    <row r="425" ht="22.5" customHeight="1">
      <c r="A425" s="41"/>
      <c r="B425" s="41">
        <v>5527.0</v>
      </c>
      <c r="C425" s="41" t="s">
        <v>271</v>
      </c>
      <c r="D425" s="41" t="s">
        <v>3014</v>
      </c>
      <c r="E425" s="41" t="s">
        <v>3014</v>
      </c>
      <c r="F425" s="41" t="s">
        <v>271</v>
      </c>
      <c r="G425" s="41">
        <v>461.0</v>
      </c>
      <c r="H425" s="41" t="s">
        <v>3015</v>
      </c>
      <c r="I425" s="41"/>
      <c r="J425" s="41" t="s">
        <v>3015</v>
      </c>
      <c r="K425" s="42" t="s">
        <v>3016</v>
      </c>
      <c r="L425" s="42" t="s">
        <v>3017</v>
      </c>
      <c r="M425" s="42" t="s">
        <v>1082</v>
      </c>
      <c r="N425" s="42">
        <v>0.0</v>
      </c>
      <c r="O425" s="42">
        <v>1.0</v>
      </c>
      <c r="P425" s="42">
        <v>2.0</v>
      </c>
      <c r="Q425" s="42">
        <v>0.0</v>
      </c>
      <c r="R425" s="42">
        <v>10.0</v>
      </c>
      <c r="S425" s="42">
        <v>0.0</v>
      </c>
      <c r="T425" s="42" t="s">
        <v>3018</v>
      </c>
      <c r="U425" s="42">
        <v>1.0</v>
      </c>
      <c r="V425" s="42">
        <v>8.0</v>
      </c>
      <c r="W425" s="42">
        <v>0.0</v>
      </c>
      <c r="X425" s="42">
        <v>100.0</v>
      </c>
      <c r="Y425" s="42">
        <v>0.0</v>
      </c>
    </row>
    <row r="426" ht="22.5" customHeight="1">
      <c r="A426" s="41"/>
      <c r="B426" s="41">
        <v>5529.0</v>
      </c>
      <c r="C426" s="41" t="s">
        <v>271</v>
      </c>
      <c r="D426" s="41" t="s">
        <v>3019</v>
      </c>
      <c r="E426" s="41" t="s">
        <v>3019</v>
      </c>
      <c r="F426" s="41" t="s">
        <v>271</v>
      </c>
      <c r="G426" s="41">
        <v>463.0</v>
      </c>
      <c r="H426" s="41" t="s">
        <v>3020</v>
      </c>
      <c r="I426" s="41"/>
      <c r="J426" s="41" t="s">
        <v>3020</v>
      </c>
      <c r="K426" s="42" t="s">
        <v>3021</v>
      </c>
      <c r="L426" s="42" t="s">
        <v>3022</v>
      </c>
      <c r="M426" s="42" t="s">
        <v>1043</v>
      </c>
      <c r="N426" s="42">
        <v>0.0</v>
      </c>
      <c r="O426" s="42">
        <v>0.0</v>
      </c>
      <c r="P426" s="42">
        <v>2.0</v>
      </c>
      <c r="Q426" s="42">
        <v>0.0</v>
      </c>
      <c r="R426" s="42">
        <v>1.0</v>
      </c>
      <c r="S426" s="42">
        <v>0.0</v>
      </c>
      <c r="T426" s="42" t="s">
        <v>3023</v>
      </c>
      <c r="U426" s="42">
        <v>1.0</v>
      </c>
      <c r="V426" s="42">
        <v>0.0</v>
      </c>
      <c r="W426" s="42">
        <v>0.0</v>
      </c>
      <c r="X426" s="42">
        <v>100.0</v>
      </c>
      <c r="Y426" s="42">
        <v>0.0</v>
      </c>
    </row>
    <row r="427" ht="22.5" customHeight="1">
      <c r="A427" s="41"/>
      <c r="B427" s="41">
        <v>5530.0</v>
      </c>
      <c r="C427" s="41" t="s">
        <v>271</v>
      </c>
      <c r="D427" s="41" t="s">
        <v>3024</v>
      </c>
      <c r="E427" s="41" t="s">
        <v>3024</v>
      </c>
      <c r="F427" s="41" t="s">
        <v>271</v>
      </c>
      <c r="G427" s="41">
        <v>464.0</v>
      </c>
      <c r="H427" s="41" t="s">
        <v>3025</v>
      </c>
      <c r="I427" s="41"/>
      <c r="J427" s="41" t="s">
        <v>3025</v>
      </c>
      <c r="K427" s="42" t="s">
        <v>3026</v>
      </c>
      <c r="L427" s="42" t="s">
        <v>3027</v>
      </c>
      <c r="M427" s="42" t="s">
        <v>1082</v>
      </c>
      <c r="N427" s="42">
        <v>0.0</v>
      </c>
      <c r="O427" s="42">
        <v>1.0</v>
      </c>
      <c r="P427" s="42">
        <v>2.0</v>
      </c>
      <c r="Q427" s="42">
        <v>0.0</v>
      </c>
      <c r="R427" s="42">
        <v>1.0</v>
      </c>
      <c r="S427" s="42">
        <v>0.0</v>
      </c>
      <c r="T427" s="42" t="s">
        <v>3028</v>
      </c>
      <c r="U427" s="42">
        <v>1.0</v>
      </c>
      <c r="V427" s="42">
        <v>5.0</v>
      </c>
      <c r="W427" s="42">
        <v>0.0</v>
      </c>
      <c r="X427" s="42">
        <v>100.0</v>
      </c>
      <c r="Y427" s="42">
        <v>0.0</v>
      </c>
    </row>
    <row r="428" ht="22.5" customHeight="1">
      <c r="A428" s="41"/>
      <c r="B428" s="41">
        <v>5531.0</v>
      </c>
      <c r="C428" s="41" t="s">
        <v>271</v>
      </c>
      <c r="D428" s="41" t="s">
        <v>3029</v>
      </c>
      <c r="E428" s="41" t="s">
        <v>3029</v>
      </c>
      <c r="F428" s="41" t="s">
        <v>271</v>
      </c>
      <c r="G428" s="41">
        <v>465.0</v>
      </c>
      <c r="H428" s="41" t="s">
        <v>3030</v>
      </c>
      <c r="I428" s="41"/>
      <c r="J428" s="41" t="s">
        <v>3030</v>
      </c>
      <c r="K428" s="42" t="s">
        <v>3031</v>
      </c>
      <c r="L428" s="42" t="s">
        <v>3032</v>
      </c>
      <c r="M428" s="42" t="s">
        <v>1130</v>
      </c>
      <c r="N428" s="42">
        <v>0.0</v>
      </c>
      <c r="O428" s="42">
        <v>1.0</v>
      </c>
      <c r="P428" s="42">
        <v>2.0</v>
      </c>
      <c r="Q428" s="42">
        <v>0.0</v>
      </c>
      <c r="R428" s="42">
        <v>1.0</v>
      </c>
      <c r="S428" s="42">
        <v>0.0</v>
      </c>
      <c r="T428" s="42" t="s">
        <v>3033</v>
      </c>
      <c r="U428" s="42">
        <v>1.0</v>
      </c>
      <c r="V428" s="42">
        <v>8.0</v>
      </c>
      <c r="W428" s="42">
        <v>0.0</v>
      </c>
      <c r="X428" s="42">
        <v>100.0</v>
      </c>
      <c r="Y428" s="42">
        <v>0.0</v>
      </c>
    </row>
    <row r="429" ht="22.5" customHeight="1">
      <c r="A429" s="41"/>
      <c r="B429" s="41">
        <v>5532.0</v>
      </c>
      <c r="C429" s="41" t="s">
        <v>271</v>
      </c>
      <c r="D429" s="41" t="s">
        <v>3034</v>
      </c>
      <c r="E429" s="41" t="s">
        <v>3034</v>
      </c>
      <c r="F429" s="41" t="s">
        <v>271</v>
      </c>
      <c r="G429" s="41">
        <v>466.0</v>
      </c>
      <c r="H429" s="41" t="s">
        <v>3034</v>
      </c>
      <c r="I429" s="41"/>
      <c r="J429" s="41" t="s">
        <v>3034</v>
      </c>
      <c r="K429" s="42" t="s">
        <v>3035</v>
      </c>
      <c r="L429" s="42" t="s">
        <v>3036</v>
      </c>
      <c r="N429" s="42">
        <v>0.0</v>
      </c>
      <c r="O429" s="42">
        <v>0.0</v>
      </c>
      <c r="P429" s="42">
        <v>2.0</v>
      </c>
      <c r="Q429" s="42">
        <v>0.0</v>
      </c>
      <c r="R429" s="42">
        <v>0.0</v>
      </c>
      <c r="S429" s="42">
        <v>1.0</v>
      </c>
      <c r="T429" s="42" t="s">
        <v>3037</v>
      </c>
      <c r="U429" s="42">
        <v>1.0</v>
      </c>
      <c r="V429" s="42">
        <v>8.0</v>
      </c>
      <c r="W429" s="42">
        <v>0.0</v>
      </c>
      <c r="X429" s="42">
        <v>100.0</v>
      </c>
      <c r="Y429" s="42">
        <v>0.0</v>
      </c>
    </row>
    <row r="430" ht="22.5" customHeight="1">
      <c r="A430" s="41"/>
      <c r="B430" s="41">
        <v>5533.0</v>
      </c>
      <c r="C430" s="41" t="s">
        <v>271</v>
      </c>
      <c r="D430" s="41" t="s">
        <v>3038</v>
      </c>
      <c r="E430" s="41" t="s">
        <v>3038</v>
      </c>
      <c r="F430" s="41" t="s">
        <v>271</v>
      </c>
      <c r="G430" s="41">
        <v>467.0</v>
      </c>
      <c r="H430" s="41" t="s">
        <v>3039</v>
      </c>
      <c r="I430" s="41"/>
      <c r="J430" s="41" t="s">
        <v>3039</v>
      </c>
      <c r="K430" s="42" t="s">
        <v>3040</v>
      </c>
      <c r="L430" s="42" t="s">
        <v>3041</v>
      </c>
      <c r="M430" s="42" t="s">
        <v>1028</v>
      </c>
      <c r="N430" s="42">
        <v>0.0</v>
      </c>
      <c r="O430" s="42">
        <v>1.0</v>
      </c>
      <c r="P430" s="42">
        <v>2.0</v>
      </c>
      <c r="Q430" s="42">
        <v>0.0</v>
      </c>
      <c r="R430" s="42">
        <v>1.0</v>
      </c>
      <c r="S430" s="42">
        <v>0.0</v>
      </c>
      <c r="T430" s="42" t="s">
        <v>3042</v>
      </c>
      <c r="U430" s="42">
        <v>1.0</v>
      </c>
      <c r="V430" s="42">
        <v>8.0</v>
      </c>
      <c r="W430" s="42">
        <v>0.0</v>
      </c>
      <c r="X430" s="42">
        <v>100.0</v>
      </c>
      <c r="Y430" s="42">
        <v>0.0</v>
      </c>
    </row>
    <row r="431" ht="22.5" customHeight="1">
      <c r="A431" s="41"/>
      <c r="B431" s="41">
        <v>5534.0</v>
      </c>
      <c r="C431" s="41" t="s">
        <v>271</v>
      </c>
      <c r="D431" s="41" t="s">
        <v>3043</v>
      </c>
      <c r="E431" s="41" t="s">
        <v>3043</v>
      </c>
      <c r="F431" s="41" t="s">
        <v>271</v>
      </c>
      <c r="G431" s="41">
        <v>468.0</v>
      </c>
      <c r="H431" s="41" t="s">
        <v>3044</v>
      </c>
      <c r="I431" s="41"/>
      <c r="J431" s="41" t="s">
        <v>3044</v>
      </c>
      <c r="K431" s="42" t="s">
        <v>3045</v>
      </c>
      <c r="L431" s="42" t="s">
        <v>3046</v>
      </c>
      <c r="M431" s="42" t="s">
        <v>1130</v>
      </c>
      <c r="N431" s="42">
        <v>0.0</v>
      </c>
      <c r="O431" s="42">
        <v>1.0</v>
      </c>
      <c r="P431" s="42">
        <v>2.0</v>
      </c>
      <c r="Q431" s="42">
        <v>0.0</v>
      </c>
      <c r="R431" s="42">
        <v>1.0</v>
      </c>
      <c r="S431" s="42">
        <v>0.0</v>
      </c>
      <c r="T431" s="42" t="s">
        <v>3047</v>
      </c>
      <c r="U431" s="42">
        <v>1.0</v>
      </c>
      <c r="V431" s="42">
        <v>8.0</v>
      </c>
      <c r="W431" s="42">
        <v>0.0</v>
      </c>
      <c r="X431" s="42">
        <v>100.0</v>
      </c>
      <c r="Y431" s="42">
        <v>0.0</v>
      </c>
    </row>
    <row r="432" ht="22.5" customHeight="1">
      <c r="A432" s="41"/>
      <c r="B432" s="41">
        <v>5535.0</v>
      </c>
      <c r="C432" s="41" t="s">
        <v>271</v>
      </c>
      <c r="D432" s="41" t="s">
        <v>3048</v>
      </c>
      <c r="E432" s="41" t="s">
        <v>3048</v>
      </c>
      <c r="F432" s="41" t="s">
        <v>271</v>
      </c>
      <c r="G432" s="41">
        <v>469.0</v>
      </c>
      <c r="H432" s="41" t="s">
        <v>3049</v>
      </c>
      <c r="I432" s="41"/>
      <c r="J432" s="41" t="s">
        <v>3049</v>
      </c>
      <c r="K432" s="42" t="s">
        <v>3050</v>
      </c>
      <c r="L432" s="42" t="s">
        <v>3051</v>
      </c>
      <c r="N432" s="42">
        <v>0.0</v>
      </c>
      <c r="O432" s="42">
        <v>0.0</v>
      </c>
      <c r="P432" s="42">
        <v>2.0</v>
      </c>
      <c r="Q432" s="42">
        <v>0.0</v>
      </c>
      <c r="R432" s="42">
        <v>0.0</v>
      </c>
      <c r="S432" s="42">
        <v>0.0</v>
      </c>
      <c r="T432" s="42" t="s">
        <v>3052</v>
      </c>
      <c r="U432" s="42">
        <v>1.0</v>
      </c>
      <c r="V432" s="42">
        <v>0.0</v>
      </c>
      <c r="W432" s="42">
        <v>0.0</v>
      </c>
      <c r="X432" s="42">
        <v>100.0</v>
      </c>
      <c r="Y432" s="42">
        <v>0.0</v>
      </c>
    </row>
    <row r="433" ht="22.5" customHeight="1">
      <c r="A433" s="41"/>
      <c r="B433" s="41">
        <v>5536.0</v>
      </c>
      <c r="C433" s="41" t="s">
        <v>271</v>
      </c>
      <c r="D433" s="41" t="s">
        <v>3053</v>
      </c>
      <c r="E433" s="41" t="s">
        <v>3053</v>
      </c>
      <c r="F433" s="41" t="s">
        <v>271</v>
      </c>
      <c r="G433" s="41">
        <v>470.0</v>
      </c>
      <c r="H433" s="41" t="s">
        <v>3054</v>
      </c>
      <c r="I433" s="41"/>
      <c r="J433" s="41" t="s">
        <v>3054</v>
      </c>
      <c r="K433" s="42" t="s">
        <v>3055</v>
      </c>
      <c r="L433" s="42" t="s">
        <v>3056</v>
      </c>
      <c r="M433" s="42" t="s">
        <v>1028</v>
      </c>
      <c r="N433" s="42">
        <v>0.0</v>
      </c>
      <c r="O433" s="42">
        <v>1.0</v>
      </c>
      <c r="P433" s="42">
        <v>2.0</v>
      </c>
      <c r="Q433" s="42">
        <v>0.0</v>
      </c>
      <c r="R433" s="42">
        <v>7.0</v>
      </c>
      <c r="S433" s="42">
        <v>0.0</v>
      </c>
      <c r="T433" s="42" t="s">
        <v>3057</v>
      </c>
      <c r="U433" s="42">
        <v>1.0</v>
      </c>
      <c r="V433" s="42">
        <v>1.0</v>
      </c>
      <c r="W433" s="42">
        <v>0.0</v>
      </c>
      <c r="X433" s="42">
        <v>100.0</v>
      </c>
      <c r="Y433" s="42">
        <v>0.0</v>
      </c>
    </row>
    <row r="434" ht="22.5" customHeight="1">
      <c r="A434" s="41"/>
      <c r="B434" s="41">
        <v>5537.0</v>
      </c>
      <c r="C434" s="41" t="s">
        <v>271</v>
      </c>
      <c r="D434" s="41" t="s">
        <v>3058</v>
      </c>
      <c r="E434" s="41" t="s">
        <v>3058</v>
      </c>
      <c r="F434" s="41" t="s">
        <v>271</v>
      </c>
      <c r="G434" s="41">
        <v>471.0</v>
      </c>
      <c r="H434" s="41" t="s">
        <v>3059</v>
      </c>
      <c r="I434" s="41"/>
      <c r="J434" s="41" t="s">
        <v>3059</v>
      </c>
      <c r="K434" s="42" t="s">
        <v>3060</v>
      </c>
      <c r="L434" s="42" t="s">
        <v>3061</v>
      </c>
      <c r="M434" s="42" t="s">
        <v>1028</v>
      </c>
      <c r="N434" s="42">
        <v>0.0</v>
      </c>
      <c r="O434" s="42">
        <v>1.0</v>
      </c>
      <c r="P434" s="42">
        <v>2.0</v>
      </c>
      <c r="Q434" s="42">
        <v>0.0</v>
      </c>
      <c r="R434" s="42">
        <v>11.0</v>
      </c>
      <c r="S434" s="42">
        <v>0.0</v>
      </c>
      <c r="T434" s="42" t="s">
        <v>3062</v>
      </c>
      <c r="U434" s="42">
        <v>1.0</v>
      </c>
      <c r="V434" s="42">
        <v>8.0</v>
      </c>
      <c r="W434" s="42">
        <v>0.0</v>
      </c>
      <c r="X434" s="42">
        <v>100.0</v>
      </c>
      <c r="Y434" s="42">
        <v>0.0</v>
      </c>
    </row>
    <row r="435" ht="22.5" customHeight="1">
      <c r="A435" s="41"/>
      <c r="B435" s="41">
        <v>5538.0</v>
      </c>
      <c r="C435" s="41" t="s">
        <v>271</v>
      </c>
      <c r="D435" s="41" t="s">
        <v>3063</v>
      </c>
      <c r="E435" s="41" t="s">
        <v>3063</v>
      </c>
      <c r="F435" s="41" t="s">
        <v>271</v>
      </c>
      <c r="G435" s="41">
        <v>472.0</v>
      </c>
      <c r="H435" s="41" t="s">
        <v>3064</v>
      </c>
      <c r="I435" s="41"/>
      <c r="J435" s="41" t="s">
        <v>3064</v>
      </c>
      <c r="K435" s="42" t="s">
        <v>3065</v>
      </c>
      <c r="L435" s="42" t="s">
        <v>3066</v>
      </c>
      <c r="M435" s="42" t="s">
        <v>1028</v>
      </c>
      <c r="N435" s="42">
        <v>0.0</v>
      </c>
      <c r="O435" s="42">
        <v>1.0</v>
      </c>
      <c r="P435" s="42">
        <v>2.0</v>
      </c>
      <c r="Q435" s="42">
        <v>0.0</v>
      </c>
      <c r="R435" s="42">
        <v>11.0</v>
      </c>
      <c r="S435" s="42">
        <v>0.0</v>
      </c>
      <c r="T435" s="42" t="s">
        <v>3067</v>
      </c>
      <c r="U435" s="42">
        <v>1.0</v>
      </c>
      <c r="V435" s="42">
        <v>2.0</v>
      </c>
      <c r="W435" s="42">
        <v>0.0</v>
      </c>
      <c r="X435" s="42">
        <v>100.0</v>
      </c>
      <c r="Y435" s="42">
        <v>0.0</v>
      </c>
    </row>
    <row r="436" ht="22.5" customHeight="1">
      <c r="A436" s="41"/>
      <c r="B436" s="41">
        <v>5539.0</v>
      </c>
      <c r="C436" s="41" t="s">
        <v>271</v>
      </c>
      <c r="D436" s="41" t="s">
        <v>3068</v>
      </c>
      <c r="E436" s="41" t="s">
        <v>3068</v>
      </c>
      <c r="F436" s="41" t="s">
        <v>271</v>
      </c>
      <c r="G436" s="41">
        <v>473.0</v>
      </c>
      <c r="H436" s="41" t="s">
        <v>3068</v>
      </c>
      <c r="I436" s="41"/>
      <c r="J436" s="41" t="s">
        <v>3068</v>
      </c>
      <c r="K436" s="42" t="s">
        <v>3069</v>
      </c>
      <c r="L436" s="42" t="s">
        <v>3070</v>
      </c>
      <c r="M436" s="42" t="s">
        <v>962</v>
      </c>
      <c r="N436" s="42">
        <v>0.0</v>
      </c>
      <c r="O436" s="42">
        <v>1.0</v>
      </c>
      <c r="P436" s="42">
        <v>2.0</v>
      </c>
      <c r="Q436" s="42">
        <v>0.0</v>
      </c>
      <c r="R436" s="42">
        <v>0.0</v>
      </c>
      <c r="S436" s="42">
        <v>1.0</v>
      </c>
      <c r="T436" s="42" t="s">
        <v>3071</v>
      </c>
      <c r="U436" s="42">
        <v>1.0</v>
      </c>
      <c r="V436" s="42">
        <v>8.0</v>
      </c>
      <c r="W436" s="42">
        <v>0.0</v>
      </c>
      <c r="X436" s="42">
        <v>100.0</v>
      </c>
      <c r="Y436" s="42">
        <v>0.0</v>
      </c>
    </row>
    <row r="437" ht="22.5" customHeight="1">
      <c r="A437" s="41"/>
      <c r="B437" s="41">
        <v>5540.0</v>
      </c>
      <c r="C437" s="41" t="s">
        <v>271</v>
      </c>
      <c r="D437" s="41" t="s">
        <v>3072</v>
      </c>
      <c r="E437" s="41" t="s">
        <v>3072</v>
      </c>
      <c r="F437" s="41" t="s">
        <v>271</v>
      </c>
      <c r="G437" s="41">
        <v>474.0</v>
      </c>
      <c r="H437" s="41" t="s">
        <v>3073</v>
      </c>
      <c r="I437" s="41"/>
      <c r="J437" s="41" t="s">
        <v>3073</v>
      </c>
      <c r="K437" s="42" t="s">
        <v>3074</v>
      </c>
      <c r="L437" s="42" t="s">
        <v>3075</v>
      </c>
      <c r="M437" s="42" t="s">
        <v>1130</v>
      </c>
      <c r="N437" s="42">
        <v>0.0</v>
      </c>
      <c r="O437" s="42">
        <v>1.0</v>
      </c>
      <c r="P437" s="42">
        <v>2.0</v>
      </c>
      <c r="Q437" s="42">
        <v>0.0</v>
      </c>
      <c r="R437" s="42">
        <v>1.0</v>
      </c>
      <c r="S437" s="42">
        <v>0.0</v>
      </c>
      <c r="T437" s="42" t="s">
        <v>3076</v>
      </c>
      <c r="U437" s="42">
        <v>1.0</v>
      </c>
      <c r="V437" s="42">
        <v>8.0</v>
      </c>
      <c r="W437" s="42">
        <v>0.0</v>
      </c>
      <c r="X437" s="42">
        <v>100.0</v>
      </c>
      <c r="Y437" s="42">
        <v>0.0</v>
      </c>
    </row>
    <row r="438" ht="22.5" customHeight="1">
      <c r="A438" s="41"/>
      <c r="B438" s="41">
        <v>5541.0</v>
      </c>
      <c r="C438" s="41" t="s">
        <v>271</v>
      </c>
      <c r="D438" s="41" t="s">
        <v>3077</v>
      </c>
      <c r="E438" s="41" t="s">
        <v>3077</v>
      </c>
      <c r="F438" s="41" t="s">
        <v>271</v>
      </c>
      <c r="G438" s="41">
        <v>475.0</v>
      </c>
      <c r="H438" s="41" t="s">
        <v>3078</v>
      </c>
      <c r="I438" s="41"/>
      <c r="J438" s="41" t="s">
        <v>3078</v>
      </c>
      <c r="K438" s="42" t="s">
        <v>3079</v>
      </c>
      <c r="L438" s="42" t="s">
        <v>3080</v>
      </c>
      <c r="M438" s="42" t="s">
        <v>1028</v>
      </c>
      <c r="N438" s="42">
        <v>0.0</v>
      </c>
      <c r="O438" s="42">
        <v>1.0</v>
      </c>
      <c r="P438" s="42">
        <v>2.0</v>
      </c>
      <c r="Q438" s="42">
        <v>0.0</v>
      </c>
      <c r="R438" s="42">
        <v>1.0</v>
      </c>
      <c r="S438" s="42">
        <v>0.0</v>
      </c>
      <c r="T438" s="42" t="s">
        <v>3081</v>
      </c>
      <c r="U438" s="42">
        <v>1.0</v>
      </c>
      <c r="V438" s="42">
        <v>8.0</v>
      </c>
      <c r="W438" s="42">
        <v>0.0</v>
      </c>
      <c r="X438" s="42">
        <v>100.0</v>
      </c>
      <c r="Y438" s="42">
        <v>0.0</v>
      </c>
    </row>
    <row r="439" ht="22.5" customHeight="1">
      <c r="A439" s="41"/>
      <c r="B439" s="41">
        <v>5542.0</v>
      </c>
      <c r="C439" s="41" t="s">
        <v>271</v>
      </c>
      <c r="D439" s="41" t="s">
        <v>3082</v>
      </c>
      <c r="E439" s="41" t="s">
        <v>3082</v>
      </c>
      <c r="F439" s="41" t="s">
        <v>271</v>
      </c>
      <c r="G439" s="41">
        <v>476.0</v>
      </c>
      <c r="H439" s="41" t="s">
        <v>3083</v>
      </c>
      <c r="I439" s="41"/>
      <c r="J439" s="41" t="s">
        <v>3083</v>
      </c>
      <c r="K439" s="42" t="s">
        <v>3084</v>
      </c>
      <c r="L439" s="42" t="s">
        <v>3085</v>
      </c>
      <c r="M439" s="42" t="s">
        <v>1028</v>
      </c>
      <c r="N439" s="42">
        <v>0.0</v>
      </c>
      <c r="O439" s="42">
        <v>1.0</v>
      </c>
      <c r="P439" s="42">
        <v>2.0</v>
      </c>
      <c r="Q439" s="42">
        <v>0.0</v>
      </c>
      <c r="R439" s="42">
        <v>1.0</v>
      </c>
      <c r="S439" s="42">
        <v>0.0</v>
      </c>
      <c r="T439" s="42" t="s">
        <v>3086</v>
      </c>
      <c r="U439" s="42">
        <v>1.0</v>
      </c>
      <c r="V439" s="42">
        <v>5.0</v>
      </c>
      <c r="W439" s="42">
        <v>0.0</v>
      </c>
      <c r="X439" s="42">
        <v>100.0</v>
      </c>
      <c r="Y439" s="42">
        <v>0.0</v>
      </c>
    </row>
    <row r="440" ht="22.5" customHeight="1">
      <c r="A440" s="41"/>
      <c r="B440" s="41">
        <v>5543.0</v>
      </c>
      <c r="C440" s="41" t="s">
        <v>271</v>
      </c>
      <c r="D440" s="41" t="s">
        <v>3087</v>
      </c>
      <c r="E440" s="41" t="s">
        <v>3087</v>
      </c>
      <c r="F440" s="41" t="s">
        <v>271</v>
      </c>
      <c r="G440" s="41">
        <v>477.0</v>
      </c>
      <c r="H440" s="41" t="s">
        <v>3088</v>
      </c>
      <c r="I440" s="41"/>
      <c r="J440" s="41" t="s">
        <v>3088</v>
      </c>
      <c r="K440" s="42" t="s">
        <v>3089</v>
      </c>
      <c r="L440" s="42" t="s">
        <v>3090</v>
      </c>
      <c r="M440" s="42" t="s">
        <v>1130</v>
      </c>
      <c r="N440" s="42">
        <v>0.0</v>
      </c>
      <c r="O440" s="42">
        <v>1.0</v>
      </c>
      <c r="P440" s="42">
        <v>2.0</v>
      </c>
      <c r="Q440" s="42">
        <v>0.0</v>
      </c>
      <c r="R440" s="42">
        <v>1.0</v>
      </c>
      <c r="S440" s="42">
        <v>0.0</v>
      </c>
      <c r="T440" s="42" t="s">
        <v>3091</v>
      </c>
      <c r="U440" s="42">
        <v>1.0</v>
      </c>
      <c r="V440" s="42">
        <v>8.0</v>
      </c>
      <c r="W440" s="42">
        <v>0.0</v>
      </c>
      <c r="X440" s="42">
        <v>100.0</v>
      </c>
      <c r="Y440" s="42">
        <v>0.0</v>
      </c>
    </row>
    <row r="441" ht="22.5" customHeight="1">
      <c r="A441" s="41"/>
      <c r="B441" s="41">
        <v>5544.0</v>
      </c>
      <c r="C441" s="41" t="s">
        <v>271</v>
      </c>
      <c r="D441" s="41" t="s">
        <v>3092</v>
      </c>
      <c r="E441" s="41" t="s">
        <v>3092</v>
      </c>
      <c r="F441" s="41" t="s">
        <v>271</v>
      </c>
      <c r="G441" s="41">
        <v>478.0</v>
      </c>
      <c r="H441" s="41" t="s">
        <v>3093</v>
      </c>
      <c r="I441" s="41"/>
      <c r="J441" s="41" t="s">
        <v>3093</v>
      </c>
      <c r="K441" s="42" t="s">
        <v>3094</v>
      </c>
      <c r="L441" s="42" t="s">
        <v>3095</v>
      </c>
      <c r="M441" s="42" t="s">
        <v>1028</v>
      </c>
      <c r="N441" s="42">
        <v>0.0</v>
      </c>
      <c r="O441" s="42">
        <v>1.0</v>
      </c>
      <c r="P441" s="42">
        <v>2.0</v>
      </c>
      <c r="Q441" s="42">
        <v>0.0</v>
      </c>
      <c r="R441" s="42">
        <v>11.0</v>
      </c>
      <c r="S441" s="42">
        <v>0.0</v>
      </c>
      <c r="T441" s="42" t="s">
        <v>3096</v>
      </c>
      <c r="U441" s="42">
        <v>1.0</v>
      </c>
      <c r="V441" s="42">
        <v>8.0</v>
      </c>
      <c r="W441" s="42">
        <v>0.0</v>
      </c>
      <c r="X441" s="42">
        <v>100.0</v>
      </c>
      <c r="Y441" s="42">
        <v>0.0</v>
      </c>
    </row>
    <row r="442" ht="22.5" customHeight="1">
      <c r="A442" s="41"/>
      <c r="B442" s="41">
        <v>5545.0</v>
      </c>
      <c r="C442" s="41" t="s">
        <v>271</v>
      </c>
      <c r="D442" s="41" t="s">
        <v>3097</v>
      </c>
      <c r="E442" s="41" t="s">
        <v>3097</v>
      </c>
      <c r="F442" s="41" t="s">
        <v>271</v>
      </c>
      <c r="G442" s="41">
        <v>479.0</v>
      </c>
      <c r="H442" s="41" t="s">
        <v>3098</v>
      </c>
      <c r="I442" s="41"/>
      <c r="J442" s="41" t="s">
        <v>3098</v>
      </c>
      <c r="K442" s="42" t="s">
        <v>3099</v>
      </c>
      <c r="L442" s="42" t="s">
        <v>3100</v>
      </c>
      <c r="M442" s="42" t="s">
        <v>1082</v>
      </c>
      <c r="N442" s="42">
        <v>0.0</v>
      </c>
      <c r="O442" s="42">
        <v>1.0</v>
      </c>
      <c r="P442" s="42">
        <v>2.0</v>
      </c>
      <c r="Q442" s="42">
        <v>0.0</v>
      </c>
      <c r="R442" s="42">
        <v>1.0</v>
      </c>
      <c r="S442" s="42">
        <v>0.0</v>
      </c>
      <c r="T442" s="42" t="s">
        <v>3101</v>
      </c>
      <c r="U442" s="42">
        <v>1.0</v>
      </c>
      <c r="V442" s="42">
        <v>6.0</v>
      </c>
      <c r="W442" s="42">
        <v>0.0</v>
      </c>
      <c r="X442" s="42">
        <v>100.0</v>
      </c>
      <c r="Y442" s="42">
        <v>0.0</v>
      </c>
    </row>
    <row r="443" ht="22.5" customHeight="1">
      <c r="A443" s="41"/>
      <c r="B443" s="41">
        <v>5546.0</v>
      </c>
      <c r="C443" s="41" t="s">
        <v>271</v>
      </c>
      <c r="D443" s="41" t="s">
        <v>3102</v>
      </c>
      <c r="E443" s="41" t="s">
        <v>3102</v>
      </c>
      <c r="F443" s="41" t="s">
        <v>271</v>
      </c>
      <c r="G443" s="41">
        <v>480.0</v>
      </c>
      <c r="H443" s="41" t="s">
        <v>3102</v>
      </c>
      <c r="I443" s="41"/>
      <c r="J443" s="41" t="s">
        <v>3102</v>
      </c>
      <c r="K443" s="42" t="s">
        <v>3103</v>
      </c>
      <c r="L443" s="42" t="s">
        <v>3104</v>
      </c>
      <c r="N443" s="42">
        <v>0.0</v>
      </c>
      <c r="O443" s="42">
        <v>0.0</v>
      </c>
      <c r="P443" s="42">
        <v>2.0</v>
      </c>
      <c r="Q443" s="42">
        <v>0.0</v>
      </c>
      <c r="R443" s="42">
        <v>0.0</v>
      </c>
      <c r="S443" s="42">
        <v>1.0</v>
      </c>
      <c r="T443" s="42" t="s">
        <v>3105</v>
      </c>
      <c r="U443" s="42">
        <v>1.0</v>
      </c>
      <c r="V443" s="42">
        <v>8.0</v>
      </c>
      <c r="W443" s="42">
        <v>0.0</v>
      </c>
      <c r="X443" s="42">
        <v>100.0</v>
      </c>
      <c r="Y443" s="42">
        <v>0.0</v>
      </c>
    </row>
    <row r="444" ht="22.5" customHeight="1">
      <c r="A444" s="41"/>
      <c r="B444" s="41">
        <v>5547.0</v>
      </c>
      <c r="C444" s="41" t="s">
        <v>271</v>
      </c>
      <c r="D444" s="41" t="s">
        <v>3102</v>
      </c>
      <c r="E444" s="41" t="s">
        <v>3102</v>
      </c>
      <c r="F444" s="41" t="s">
        <v>271</v>
      </c>
      <c r="G444" s="41">
        <v>480.0</v>
      </c>
      <c r="H444" s="41" t="s">
        <v>3102</v>
      </c>
      <c r="I444" s="41"/>
      <c r="J444" s="41" t="s">
        <v>3102</v>
      </c>
      <c r="K444" s="42" t="s">
        <v>3103</v>
      </c>
      <c r="L444" s="42" t="s">
        <v>3106</v>
      </c>
      <c r="N444" s="42">
        <v>0.0</v>
      </c>
      <c r="O444" s="42">
        <v>0.0</v>
      </c>
      <c r="P444" s="42">
        <v>2.0</v>
      </c>
      <c r="Q444" s="42">
        <v>0.0</v>
      </c>
      <c r="R444" s="42">
        <v>0.0</v>
      </c>
      <c r="S444" s="42">
        <v>1.0</v>
      </c>
      <c r="T444" s="42" t="s">
        <v>3107</v>
      </c>
      <c r="U444" s="42">
        <v>1.0</v>
      </c>
      <c r="V444" s="42">
        <v>8.0</v>
      </c>
      <c r="W444" s="42">
        <v>0.0</v>
      </c>
      <c r="X444" s="42">
        <v>100.0</v>
      </c>
      <c r="Y444" s="42">
        <v>0.0</v>
      </c>
    </row>
    <row r="445" ht="22.5" customHeight="1">
      <c r="A445" s="41"/>
      <c r="B445" s="41">
        <v>5548.0</v>
      </c>
      <c r="C445" s="41" t="s">
        <v>271</v>
      </c>
      <c r="D445" s="41" t="s">
        <v>3108</v>
      </c>
      <c r="E445" s="41" t="s">
        <v>3108</v>
      </c>
      <c r="F445" s="41" t="s">
        <v>271</v>
      </c>
      <c r="G445" s="41">
        <v>481.0</v>
      </c>
      <c r="H445" s="41" t="s">
        <v>3109</v>
      </c>
      <c r="I445" s="41"/>
      <c r="J445" s="41" t="s">
        <v>3109</v>
      </c>
      <c r="K445" s="42" t="s">
        <v>3110</v>
      </c>
      <c r="L445" s="42" t="s">
        <v>3111</v>
      </c>
      <c r="M445" s="42" t="s">
        <v>970</v>
      </c>
      <c r="N445" s="42">
        <v>0.0</v>
      </c>
      <c r="O445" s="42">
        <v>1.0</v>
      </c>
      <c r="P445" s="42">
        <v>2.0</v>
      </c>
      <c r="Q445" s="42">
        <v>0.0</v>
      </c>
      <c r="R445" s="42">
        <v>1.0</v>
      </c>
      <c r="S445" s="42">
        <v>1.0</v>
      </c>
      <c r="T445" s="42" t="s">
        <v>3112</v>
      </c>
      <c r="U445" s="42">
        <v>1.0</v>
      </c>
      <c r="V445" s="42">
        <v>0.0</v>
      </c>
      <c r="W445" s="42">
        <v>0.0</v>
      </c>
      <c r="X445" s="42">
        <v>100.0</v>
      </c>
      <c r="Y445" s="42">
        <v>0.0</v>
      </c>
    </row>
    <row r="446" ht="22.5" customHeight="1">
      <c r="A446" s="41"/>
      <c r="B446" s="41">
        <v>5549.0</v>
      </c>
      <c r="C446" s="41" t="s">
        <v>271</v>
      </c>
      <c r="D446" s="41" t="s">
        <v>3113</v>
      </c>
      <c r="E446" s="41" t="s">
        <v>3113</v>
      </c>
      <c r="F446" s="41" t="s">
        <v>271</v>
      </c>
      <c r="G446" s="41">
        <v>482.0</v>
      </c>
      <c r="H446" s="41" t="s">
        <v>3114</v>
      </c>
      <c r="I446" s="41"/>
      <c r="J446" s="41" t="s">
        <v>3114</v>
      </c>
      <c r="K446" s="42" t="s">
        <v>3115</v>
      </c>
      <c r="L446" s="42" t="s">
        <v>3116</v>
      </c>
      <c r="M446" s="42" t="s">
        <v>1130</v>
      </c>
      <c r="N446" s="42">
        <v>0.0</v>
      </c>
      <c r="O446" s="42">
        <v>1.0</v>
      </c>
      <c r="P446" s="42">
        <v>2.0</v>
      </c>
      <c r="Q446" s="42">
        <v>0.0</v>
      </c>
      <c r="R446" s="42">
        <v>1.0</v>
      </c>
      <c r="S446" s="42">
        <v>0.0</v>
      </c>
      <c r="T446" s="42" t="s">
        <v>3117</v>
      </c>
      <c r="U446" s="42">
        <v>1.0</v>
      </c>
      <c r="V446" s="42">
        <v>8.0</v>
      </c>
      <c r="W446" s="42">
        <v>0.0</v>
      </c>
      <c r="X446" s="42">
        <v>100.0</v>
      </c>
      <c r="Y446" s="42">
        <v>0.0</v>
      </c>
    </row>
    <row r="447" ht="22.5" customHeight="1">
      <c r="A447" s="41"/>
      <c r="B447" s="41">
        <v>5550.0</v>
      </c>
      <c r="C447" s="41" t="s">
        <v>271</v>
      </c>
      <c r="D447" s="41" t="s">
        <v>3118</v>
      </c>
      <c r="E447" s="41" t="s">
        <v>3118</v>
      </c>
      <c r="F447" s="41" t="s">
        <v>271</v>
      </c>
      <c r="G447" s="41">
        <v>483.0</v>
      </c>
      <c r="H447" s="41" t="s">
        <v>3119</v>
      </c>
      <c r="I447" s="41"/>
      <c r="J447" s="41" t="s">
        <v>3119</v>
      </c>
      <c r="K447" s="42" t="s">
        <v>3120</v>
      </c>
      <c r="L447" s="42" t="s">
        <v>3121</v>
      </c>
      <c r="M447" s="42" t="s">
        <v>1043</v>
      </c>
      <c r="N447" s="42">
        <v>0.0</v>
      </c>
      <c r="O447" s="42">
        <v>1.0</v>
      </c>
      <c r="P447" s="42">
        <v>2.0</v>
      </c>
      <c r="Q447" s="42">
        <v>0.0</v>
      </c>
      <c r="R447" s="42">
        <v>1.0</v>
      </c>
      <c r="S447" s="42">
        <v>0.0</v>
      </c>
      <c r="T447" s="42" t="s">
        <v>3122</v>
      </c>
      <c r="U447" s="42">
        <v>1.0</v>
      </c>
      <c r="V447" s="42">
        <v>8.0</v>
      </c>
      <c r="W447" s="42">
        <v>0.0</v>
      </c>
      <c r="X447" s="42">
        <v>100.0</v>
      </c>
      <c r="Y447" s="42">
        <v>0.0</v>
      </c>
    </row>
    <row r="448" ht="22.5" customHeight="1">
      <c r="A448" s="41"/>
      <c r="B448" s="41">
        <v>5551.0</v>
      </c>
      <c r="C448" s="41" t="s">
        <v>271</v>
      </c>
      <c r="D448" s="41" t="s">
        <v>3123</v>
      </c>
      <c r="E448" s="41" t="s">
        <v>3123</v>
      </c>
      <c r="F448" s="41" t="s">
        <v>271</v>
      </c>
      <c r="G448" s="41">
        <v>484.0</v>
      </c>
      <c r="H448" s="41" t="s">
        <v>3124</v>
      </c>
      <c r="I448" s="41"/>
      <c r="J448" s="41" t="s">
        <v>3124</v>
      </c>
      <c r="K448" s="42" t="s">
        <v>3125</v>
      </c>
      <c r="L448" s="42" t="s">
        <v>3126</v>
      </c>
      <c r="M448" s="42" t="s">
        <v>1043</v>
      </c>
      <c r="N448" s="42">
        <v>0.0</v>
      </c>
      <c r="O448" s="42">
        <v>1.0</v>
      </c>
      <c r="P448" s="42">
        <v>2.0</v>
      </c>
      <c r="Q448" s="42">
        <v>0.0</v>
      </c>
      <c r="R448" s="42">
        <v>1.0</v>
      </c>
      <c r="S448" s="42">
        <v>0.0</v>
      </c>
      <c r="T448" s="42" t="s">
        <v>3127</v>
      </c>
      <c r="U448" s="42">
        <v>1.0</v>
      </c>
      <c r="V448" s="42">
        <v>8.0</v>
      </c>
      <c r="W448" s="42">
        <v>1.0</v>
      </c>
      <c r="X448" s="42">
        <v>100.0</v>
      </c>
      <c r="Y448" s="42">
        <v>0.0</v>
      </c>
    </row>
    <row r="449" ht="22.5" customHeight="1">
      <c r="A449" s="41"/>
      <c r="B449" s="41">
        <v>5552.0</v>
      </c>
      <c r="C449" s="41" t="s">
        <v>271</v>
      </c>
      <c r="D449" s="41" t="s">
        <v>3128</v>
      </c>
      <c r="E449" s="41" t="s">
        <v>3128</v>
      </c>
      <c r="F449" s="41" t="s">
        <v>271</v>
      </c>
      <c r="G449" s="41">
        <v>485.0</v>
      </c>
      <c r="H449" s="41" t="s">
        <v>3129</v>
      </c>
      <c r="I449" s="41"/>
      <c r="J449" s="41" t="s">
        <v>3129</v>
      </c>
      <c r="K449" s="42" t="s">
        <v>3130</v>
      </c>
      <c r="L449" s="42" t="s">
        <v>3131</v>
      </c>
      <c r="M449" s="42" t="s">
        <v>1130</v>
      </c>
      <c r="N449" s="42">
        <v>0.0</v>
      </c>
      <c r="O449" s="42">
        <v>1.0</v>
      </c>
      <c r="P449" s="42">
        <v>2.0</v>
      </c>
      <c r="Q449" s="42">
        <v>0.0</v>
      </c>
      <c r="R449" s="42">
        <v>1.0</v>
      </c>
      <c r="S449" s="42">
        <v>0.0</v>
      </c>
      <c r="T449" s="42" t="s">
        <v>3132</v>
      </c>
      <c r="U449" s="42">
        <v>1.0</v>
      </c>
      <c r="V449" s="42">
        <v>8.0</v>
      </c>
      <c r="W449" s="42">
        <v>0.0</v>
      </c>
      <c r="X449" s="42">
        <v>100.0</v>
      </c>
      <c r="Y449" s="42">
        <v>0.0</v>
      </c>
    </row>
    <row r="450" ht="22.5" customHeight="1">
      <c r="A450" s="41"/>
      <c r="B450" s="41">
        <v>5553.0</v>
      </c>
      <c r="C450" s="41" t="s">
        <v>271</v>
      </c>
      <c r="D450" s="41" t="s">
        <v>3133</v>
      </c>
      <c r="E450" s="41" t="s">
        <v>3133</v>
      </c>
      <c r="F450" s="41" t="s">
        <v>271</v>
      </c>
      <c r="G450" s="41">
        <v>486.0</v>
      </c>
      <c r="H450" s="41" t="s">
        <v>3134</v>
      </c>
      <c r="I450" s="41"/>
      <c r="J450" s="41" t="s">
        <v>3134</v>
      </c>
      <c r="K450" s="42" t="s">
        <v>3135</v>
      </c>
      <c r="L450" s="42" t="s">
        <v>3136</v>
      </c>
      <c r="M450" s="42" t="s">
        <v>1043</v>
      </c>
      <c r="N450" s="42">
        <v>0.0</v>
      </c>
      <c r="O450" s="42">
        <v>1.0</v>
      </c>
      <c r="P450" s="42">
        <v>2.0</v>
      </c>
      <c r="Q450" s="42">
        <v>0.0</v>
      </c>
      <c r="R450" s="42">
        <v>9.0</v>
      </c>
      <c r="S450" s="42">
        <v>0.0</v>
      </c>
      <c r="T450" s="42" t="s">
        <v>3137</v>
      </c>
      <c r="U450" s="42">
        <v>1.0</v>
      </c>
      <c r="V450" s="42">
        <v>6.0</v>
      </c>
      <c r="W450" s="42">
        <v>0.0</v>
      </c>
      <c r="X450" s="42">
        <v>100.0</v>
      </c>
      <c r="Y450" s="42">
        <v>0.0</v>
      </c>
    </row>
    <row r="451" ht="22.5" customHeight="1">
      <c r="A451" s="41"/>
      <c r="B451" s="41">
        <v>5554.0</v>
      </c>
      <c r="C451" s="41" t="s">
        <v>271</v>
      </c>
      <c r="D451" s="41" t="s">
        <v>3138</v>
      </c>
      <c r="E451" s="41" t="s">
        <v>3138</v>
      </c>
      <c r="F451" s="41" t="s">
        <v>271</v>
      </c>
      <c r="G451" s="41">
        <v>487.0</v>
      </c>
      <c r="H451" s="41" t="s">
        <v>3139</v>
      </c>
      <c r="I451" s="41"/>
      <c r="J451" s="41" t="s">
        <v>3139</v>
      </c>
      <c r="K451" s="42" t="s">
        <v>3140</v>
      </c>
      <c r="L451" s="42" t="s">
        <v>3141</v>
      </c>
      <c r="M451" s="42" t="s">
        <v>1082</v>
      </c>
      <c r="N451" s="42">
        <v>0.0</v>
      </c>
      <c r="O451" s="42">
        <v>1.0</v>
      </c>
      <c r="P451" s="42">
        <v>2.0</v>
      </c>
      <c r="Q451" s="42">
        <v>0.0</v>
      </c>
      <c r="R451" s="42">
        <v>1.0</v>
      </c>
      <c r="S451" s="42">
        <v>0.0</v>
      </c>
      <c r="T451" s="42" t="s">
        <v>3142</v>
      </c>
      <c r="U451" s="42">
        <v>1.0</v>
      </c>
      <c r="V451" s="42">
        <v>6.0</v>
      </c>
      <c r="W451" s="42">
        <v>0.0</v>
      </c>
      <c r="X451" s="42">
        <v>100.0</v>
      </c>
      <c r="Y451" s="42">
        <v>0.0</v>
      </c>
    </row>
    <row r="452" ht="22.5" customHeight="1">
      <c r="A452" s="41"/>
      <c r="B452" s="41">
        <v>5555.0</v>
      </c>
      <c r="C452" s="41" t="s">
        <v>271</v>
      </c>
      <c r="D452" s="41" t="s">
        <v>3143</v>
      </c>
      <c r="E452" s="41" t="s">
        <v>3143</v>
      </c>
      <c r="F452" s="41" t="s">
        <v>271</v>
      </c>
      <c r="G452" s="41">
        <v>488.0</v>
      </c>
      <c r="H452" s="41" t="s">
        <v>3144</v>
      </c>
      <c r="I452" s="41"/>
      <c r="J452" s="41" t="s">
        <v>3144</v>
      </c>
      <c r="K452" s="42" t="s">
        <v>3145</v>
      </c>
      <c r="L452" s="42" t="s">
        <v>3146</v>
      </c>
      <c r="M452" s="42" t="s">
        <v>1043</v>
      </c>
      <c r="N452" s="42">
        <v>0.0</v>
      </c>
      <c r="O452" s="42">
        <v>1.0</v>
      </c>
      <c r="P452" s="42">
        <v>2.0</v>
      </c>
      <c r="Q452" s="42">
        <v>0.0</v>
      </c>
      <c r="R452" s="42">
        <v>1.0</v>
      </c>
      <c r="S452" s="42">
        <v>0.0</v>
      </c>
      <c r="T452" s="42" t="s">
        <v>3147</v>
      </c>
      <c r="U452" s="42">
        <v>1.0</v>
      </c>
      <c r="V452" s="42">
        <v>8.0</v>
      </c>
      <c r="W452" s="42">
        <v>0.0</v>
      </c>
      <c r="X452" s="42">
        <v>100.0</v>
      </c>
      <c r="Y452" s="42">
        <v>0.0</v>
      </c>
    </row>
    <row r="453" ht="22.5" customHeight="1">
      <c r="A453" s="41"/>
      <c r="B453" s="41">
        <v>5556.0</v>
      </c>
      <c r="C453" s="41" t="s">
        <v>271</v>
      </c>
      <c r="D453" s="41" t="s">
        <v>3148</v>
      </c>
      <c r="E453" s="41" t="s">
        <v>3148</v>
      </c>
      <c r="F453" s="41" t="s">
        <v>271</v>
      </c>
      <c r="G453" s="41">
        <v>489.0</v>
      </c>
      <c r="H453" s="41" t="s">
        <v>3148</v>
      </c>
      <c r="I453" s="41"/>
      <c r="J453" s="41" t="s">
        <v>3148</v>
      </c>
      <c r="K453" s="42" t="s">
        <v>3149</v>
      </c>
      <c r="L453" s="42" t="s">
        <v>3150</v>
      </c>
      <c r="M453" s="42" t="s">
        <v>962</v>
      </c>
      <c r="N453" s="42">
        <v>0.0</v>
      </c>
      <c r="O453" s="42">
        <v>1.0</v>
      </c>
      <c r="P453" s="42">
        <v>2.0</v>
      </c>
      <c r="Q453" s="42">
        <v>0.0</v>
      </c>
      <c r="R453" s="42">
        <v>0.0</v>
      </c>
      <c r="S453" s="42">
        <v>1.0</v>
      </c>
      <c r="T453" s="42" t="s">
        <v>3151</v>
      </c>
      <c r="U453" s="42">
        <v>1.0</v>
      </c>
      <c r="V453" s="42">
        <v>8.0</v>
      </c>
      <c r="W453" s="42">
        <v>0.0</v>
      </c>
      <c r="X453" s="42">
        <v>100.0</v>
      </c>
      <c r="Y453" s="42">
        <v>0.0</v>
      </c>
    </row>
    <row r="454" ht="22.5" customHeight="1">
      <c r="A454" s="41"/>
      <c r="B454" s="41">
        <v>5557.0</v>
      </c>
      <c r="C454" s="41" t="s">
        <v>271</v>
      </c>
      <c r="D454" s="41" t="s">
        <v>3152</v>
      </c>
      <c r="E454" s="41" t="s">
        <v>3152</v>
      </c>
      <c r="F454" s="41" t="s">
        <v>271</v>
      </c>
      <c r="G454" s="41">
        <v>490.0</v>
      </c>
      <c r="H454" s="41" t="s">
        <v>3153</v>
      </c>
      <c r="I454" s="41"/>
      <c r="J454" s="41" t="s">
        <v>3153</v>
      </c>
      <c r="K454" s="42" t="s">
        <v>3154</v>
      </c>
      <c r="L454" s="42" t="s">
        <v>3155</v>
      </c>
      <c r="M454" s="42" t="s">
        <v>1082</v>
      </c>
      <c r="N454" s="42">
        <v>0.0</v>
      </c>
      <c r="O454" s="42">
        <v>1.0</v>
      </c>
      <c r="P454" s="42">
        <v>2.0</v>
      </c>
      <c r="Q454" s="42">
        <v>0.0</v>
      </c>
      <c r="R454" s="42">
        <v>1.0</v>
      </c>
      <c r="S454" s="42">
        <v>0.0</v>
      </c>
      <c r="T454" s="42" t="s">
        <v>3156</v>
      </c>
      <c r="U454" s="42">
        <v>1.0</v>
      </c>
      <c r="V454" s="42">
        <v>8.0</v>
      </c>
      <c r="W454" s="42">
        <v>0.0</v>
      </c>
      <c r="X454" s="42">
        <v>100.0</v>
      </c>
      <c r="Y454" s="42">
        <v>0.0</v>
      </c>
    </row>
    <row r="455" ht="22.5" customHeight="1">
      <c r="A455" s="41"/>
      <c r="B455" s="41">
        <v>5558.0</v>
      </c>
      <c r="C455" s="41" t="s">
        <v>271</v>
      </c>
      <c r="D455" s="41" t="s">
        <v>3157</v>
      </c>
      <c r="E455" s="41" t="s">
        <v>3157</v>
      </c>
      <c r="F455" s="41" t="s">
        <v>271</v>
      </c>
      <c r="G455" s="41">
        <v>491.0</v>
      </c>
      <c r="H455" s="41" t="s">
        <v>3157</v>
      </c>
      <c r="I455" s="41"/>
      <c r="J455" s="41" t="s">
        <v>3157</v>
      </c>
      <c r="K455" s="42" t="s">
        <v>3158</v>
      </c>
      <c r="L455" s="42" t="s">
        <v>3159</v>
      </c>
      <c r="M455" s="42" t="s">
        <v>962</v>
      </c>
      <c r="N455" s="42">
        <v>0.0</v>
      </c>
      <c r="O455" s="42">
        <v>1.0</v>
      </c>
      <c r="P455" s="42">
        <v>2.0</v>
      </c>
      <c r="Q455" s="42">
        <v>0.0</v>
      </c>
      <c r="R455" s="42">
        <v>0.0</v>
      </c>
      <c r="S455" s="42">
        <v>1.0</v>
      </c>
      <c r="T455" s="42" t="s">
        <v>3160</v>
      </c>
      <c r="U455" s="42">
        <v>1.0</v>
      </c>
      <c r="V455" s="42">
        <v>8.0</v>
      </c>
      <c r="W455" s="42">
        <v>0.0</v>
      </c>
      <c r="X455" s="42">
        <v>100.0</v>
      </c>
      <c r="Y455" s="42">
        <v>0.0</v>
      </c>
    </row>
    <row r="456" ht="22.5" customHeight="1">
      <c r="A456" s="41"/>
      <c r="B456" s="41">
        <v>5559.0</v>
      </c>
      <c r="C456" s="41" t="s">
        <v>271</v>
      </c>
      <c r="D456" s="41" t="s">
        <v>3161</v>
      </c>
      <c r="E456" s="41" t="s">
        <v>3161</v>
      </c>
      <c r="F456" s="41" t="s">
        <v>271</v>
      </c>
      <c r="G456" s="41">
        <v>492.0</v>
      </c>
      <c r="H456" s="41" t="s">
        <v>3162</v>
      </c>
      <c r="I456" s="41"/>
      <c r="J456" s="41" t="s">
        <v>3162</v>
      </c>
      <c r="K456" s="42" t="s">
        <v>3163</v>
      </c>
      <c r="L456" s="42" t="s">
        <v>3164</v>
      </c>
      <c r="M456" s="42" t="s">
        <v>1043</v>
      </c>
      <c r="N456" s="42">
        <v>0.0</v>
      </c>
      <c r="O456" s="42">
        <v>1.0</v>
      </c>
      <c r="P456" s="42">
        <v>2.0</v>
      </c>
      <c r="Q456" s="42">
        <v>0.0</v>
      </c>
      <c r="R456" s="42">
        <v>1.0</v>
      </c>
      <c r="S456" s="42">
        <v>0.0</v>
      </c>
      <c r="T456" s="42" t="s">
        <v>3165</v>
      </c>
      <c r="U456" s="42">
        <v>1.0</v>
      </c>
      <c r="V456" s="42">
        <v>8.0</v>
      </c>
      <c r="W456" s="42">
        <v>0.0</v>
      </c>
      <c r="X456" s="42">
        <v>100.0</v>
      </c>
      <c r="Y456" s="42">
        <v>0.0</v>
      </c>
    </row>
    <row r="457" ht="22.5" customHeight="1">
      <c r="A457" s="41"/>
      <c r="B457" s="41">
        <v>5560.0</v>
      </c>
      <c r="C457" s="41" t="s">
        <v>271</v>
      </c>
      <c r="D457" s="41" t="s">
        <v>3166</v>
      </c>
      <c r="E457" s="41" t="s">
        <v>3166</v>
      </c>
      <c r="F457" s="41" t="s">
        <v>271</v>
      </c>
      <c r="G457" s="41">
        <v>493.0</v>
      </c>
      <c r="H457" s="41" t="s">
        <v>3166</v>
      </c>
      <c r="I457" s="41"/>
      <c r="J457" s="41" t="s">
        <v>3166</v>
      </c>
      <c r="K457" s="42" t="s">
        <v>3167</v>
      </c>
      <c r="L457" s="42" t="s">
        <v>3168</v>
      </c>
      <c r="M457" s="42" t="s">
        <v>962</v>
      </c>
      <c r="N457" s="42">
        <v>0.0</v>
      </c>
      <c r="O457" s="42">
        <v>1.0</v>
      </c>
      <c r="P457" s="42">
        <v>2.0</v>
      </c>
      <c r="Q457" s="42">
        <v>0.0</v>
      </c>
      <c r="R457" s="42">
        <v>0.0</v>
      </c>
      <c r="S457" s="42">
        <v>1.0</v>
      </c>
      <c r="T457" s="42" t="s">
        <v>3169</v>
      </c>
      <c r="U457" s="42">
        <v>1.0</v>
      </c>
      <c r="V457" s="42">
        <v>8.0</v>
      </c>
      <c r="W457" s="42">
        <v>0.0</v>
      </c>
      <c r="X457" s="42">
        <v>100.0</v>
      </c>
      <c r="Y457" s="42">
        <v>0.0</v>
      </c>
    </row>
    <row r="458" ht="22.5" customHeight="1">
      <c r="A458" s="41"/>
      <c r="B458" s="41">
        <v>5561.0</v>
      </c>
      <c r="C458" s="41" t="s">
        <v>271</v>
      </c>
      <c r="D458" s="41" t="s">
        <v>3170</v>
      </c>
      <c r="E458" s="41" t="s">
        <v>3170</v>
      </c>
      <c r="F458" s="41" t="s">
        <v>271</v>
      </c>
      <c r="G458" s="41">
        <v>494.0</v>
      </c>
      <c r="H458" s="41" t="s">
        <v>3170</v>
      </c>
      <c r="I458" s="41"/>
      <c r="J458" s="41" t="s">
        <v>3170</v>
      </c>
      <c r="K458" s="42" t="s">
        <v>3171</v>
      </c>
      <c r="L458" s="42" t="s">
        <v>3172</v>
      </c>
      <c r="M458" s="42" t="s">
        <v>962</v>
      </c>
      <c r="N458" s="42">
        <v>0.0</v>
      </c>
      <c r="O458" s="42">
        <v>1.0</v>
      </c>
      <c r="P458" s="42">
        <v>2.0</v>
      </c>
      <c r="Q458" s="42">
        <v>0.0</v>
      </c>
      <c r="R458" s="42">
        <v>0.0</v>
      </c>
      <c r="S458" s="42">
        <v>1.0</v>
      </c>
      <c r="T458" s="42" t="s">
        <v>3173</v>
      </c>
      <c r="U458" s="42">
        <v>1.0</v>
      </c>
      <c r="V458" s="42">
        <v>8.0</v>
      </c>
      <c r="W458" s="42">
        <v>0.0</v>
      </c>
      <c r="X458" s="42">
        <v>100.0</v>
      </c>
      <c r="Y458" s="42">
        <v>0.0</v>
      </c>
    </row>
    <row r="459" ht="22.5" customHeight="1">
      <c r="A459" s="41"/>
      <c r="B459" s="41">
        <v>5562.0</v>
      </c>
      <c r="C459" s="41" t="s">
        <v>271</v>
      </c>
      <c r="D459" s="41" t="s">
        <v>3174</v>
      </c>
      <c r="E459" s="41" t="s">
        <v>3174</v>
      </c>
      <c r="F459" s="41" t="s">
        <v>271</v>
      </c>
      <c r="G459" s="41">
        <v>495.0</v>
      </c>
      <c r="H459" s="41" t="s">
        <v>3175</v>
      </c>
      <c r="I459" s="41"/>
      <c r="J459" s="41" t="s">
        <v>3175</v>
      </c>
      <c r="K459" s="42" t="s">
        <v>3176</v>
      </c>
      <c r="L459" s="42" t="s">
        <v>3177</v>
      </c>
      <c r="M459" s="42" t="s">
        <v>1130</v>
      </c>
      <c r="N459" s="42">
        <v>0.0</v>
      </c>
      <c r="O459" s="42">
        <v>1.0</v>
      </c>
      <c r="P459" s="42">
        <v>2.0</v>
      </c>
      <c r="Q459" s="42">
        <v>0.0</v>
      </c>
      <c r="R459" s="42">
        <v>1.0</v>
      </c>
      <c r="S459" s="42">
        <v>0.0</v>
      </c>
      <c r="T459" s="42" t="s">
        <v>3178</v>
      </c>
      <c r="U459" s="42">
        <v>1.0</v>
      </c>
      <c r="V459" s="42">
        <v>8.0</v>
      </c>
      <c r="W459" s="42">
        <v>0.0</v>
      </c>
      <c r="X459" s="42">
        <v>100.0</v>
      </c>
      <c r="Y459" s="42">
        <v>0.0</v>
      </c>
    </row>
    <row r="460" ht="22.5" customHeight="1">
      <c r="A460" s="41"/>
      <c r="B460" s="41">
        <v>5563.0</v>
      </c>
      <c r="C460" s="41" t="s">
        <v>271</v>
      </c>
      <c r="D460" s="41" t="s">
        <v>3179</v>
      </c>
      <c r="E460" s="41" t="s">
        <v>3179</v>
      </c>
      <c r="F460" s="41" t="s">
        <v>271</v>
      </c>
      <c r="G460" s="41">
        <v>496.0</v>
      </c>
      <c r="H460" s="41" t="s">
        <v>3180</v>
      </c>
      <c r="I460" s="41"/>
      <c r="J460" s="41" t="s">
        <v>3180</v>
      </c>
      <c r="K460" s="42" t="s">
        <v>3181</v>
      </c>
      <c r="L460" s="42" t="s">
        <v>3182</v>
      </c>
      <c r="M460" s="42" t="s">
        <v>1028</v>
      </c>
      <c r="N460" s="42">
        <v>0.0</v>
      </c>
      <c r="O460" s="42">
        <v>0.0</v>
      </c>
      <c r="P460" s="42">
        <v>2.0</v>
      </c>
      <c r="Q460" s="42">
        <v>0.0</v>
      </c>
      <c r="R460" s="42">
        <v>1.0</v>
      </c>
      <c r="S460" s="42">
        <v>0.0</v>
      </c>
      <c r="T460" s="42" t="s">
        <v>3183</v>
      </c>
      <c r="U460" s="42">
        <v>1.0</v>
      </c>
      <c r="V460" s="42">
        <v>0.0</v>
      </c>
      <c r="W460" s="42">
        <v>0.0</v>
      </c>
      <c r="X460" s="42">
        <v>100.0</v>
      </c>
      <c r="Y460" s="42">
        <v>0.0</v>
      </c>
    </row>
    <row r="461" ht="22.5" customHeight="1">
      <c r="A461" s="41"/>
      <c r="B461" s="41">
        <v>5564.0</v>
      </c>
      <c r="C461" s="41" t="s">
        <v>271</v>
      </c>
      <c r="D461" s="41" t="s">
        <v>3184</v>
      </c>
      <c r="E461" s="41" t="s">
        <v>3184</v>
      </c>
      <c r="F461" s="41" t="s">
        <v>271</v>
      </c>
      <c r="G461" s="41">
        <v>497.0</v>
      </c>
      <c r="H461" s="41" t="s">
        <v>1908</v>
      </c>
      <c r="I461" s="41"/>
      <c r="J461" s="41" t="s">
        <v>1908</v>
      </c>
      <c r="K461" s="42" t="s">
        <v>1909</v>
      </c>
      <c r="L461" s="42" t="s">
        <v>3185</v>
      </c>
      <c r="M461" s="42" t="s">
        <v>1130</v>
      </c>
      <c r="N461" s="42">
        <v>0.0</v>
      </c>
      <c r="O461" s="42">
        <v>1.0</v>
      </c>
      <c r="P461" s="42">
        <v>2.0</v>
      </c>
      <c r="Q461" s="42">
        <v>0.0</v>
      </c>
      <c r="R461" s="42">
        <v>11.0</v>
      </c>
      <c r="S461" s="42">
        <v>0.0</v>
      </c>
      <c r="T461" s="42" t="s">
        <v>3186</v>
      </c>
      <c r="U461" s="42">
        <v>1.0</v>
      </c>
      <c r="V461" s="42">
        <v>8.0</v>
      </c>
      <c r="W461" s="42">
        <v>0.0</v>
      </c>
      <c r="X461" s="42">
        <v>100.0</v>
      </c>
      <c r="Y461" s="42">
        <v>0.0</v>
      </c>
    </row>
    <row r="462" ht="22.5" customHeight="1">
      <c r="A462" s="41"/>
      <c r="B462" s="41">
        <v>5565.0</v>
      </c>
      <c r="C462" s="41" t="s">
        <v>271</v>
      </c>
      <c r="D462" s="41" t="s">
        <v>3187</v>
      </c>
      <c r="E462" s="41" t="s">
        <v>3187</v>
      </c>
      <c r="F462" s="41" t="s">
        <v>271</v>
      </c>
      <c r="G462" s="41">
        <v>498.0</v>
      </c>
      <c r="H462" s="41" t="s">
        <v>3188</v>
      </c>
      <c r="I462" s="41"/>
      <c r="J462" s="41" t="s">
        <v>3188</v>
      </c>
      <c r="K462" s="42" t="s">
        <v>3189</v>
      </c>
      <c r="L462" s="42" t="s">
        <v>3190</v>
      </c>
      <c r="M462" s="42" t="s">
        <v>1028</v>
      </c>
      <c r="N462" s="42">
        <v>0.0</v>
      </c>
      <c r="O462" s="42">
        <v>1.0</v>
      </c>
      <c r="P462" s="42">
        <v>2.0</v>
      </c>
      <c r="Q462" s="42">
        <v>0.0</v>
      </c>
      <c r="R462" s="42">
        <v>2.0</v>
      </c>
      <c r="S462" s="42">
        <v>0.0</v>
      </c>
      <c r="T462" s="42" t="s">
        <v>3191</v>
      </c>
      <c r="U462" s="42">
        <v>1.0</v>
      </c>
      <c r="V462" s="42">
        <v>8.0</v>
      </c>
      <c r="W462" s="42">
        <v>0.0</v>
      </c>
      <c r="X462" s="42">
        <v>100.0</v>
      </c>
      <c r="Y462" s="42">
        <v>0.0</v>
      </c>
    </row>
    <row r="463" ht="22.5" customHeight="1">
      <c r="A463" s="41"/>
      <c r="B463" s="41">
        <v>5566.0</v>
      </c>
      <c r="C463" s="41" t="s">
        <v>271</v>
      </c>
      <c r="D463" s="41" t="s">
        <v>3192</v>
      </c>
      <c r="E463" s="41" t="s">
        <v>3192</v>
      </c>
      <c r="F463" s="41" t="s">
        <v>271</v>
      </c>
      <c r="G463" s="41">
        <v>499.0</v>
      </c>
      <c r="H463" s="41" t="s">
        <v>3193</v>
      </c>
      <c r="I463" s="41"/>
      <c r="J463" s="41" t="s">
        <v>3193</v>
      </c>
      <c r="K463" s="42" t="s">
        <v>3194</v>
      </c>
      <c r="L463" s="42" t="s">
        <v>3195</v>
      </c>
      <c r="M463" s="42" t="s">
        <v>1082</v>
      </c>
      <c r="N463" s="42">
        <v>0.0</v>
      </c>
      <c r="O463" s="42">
        <v>1.0</v>
      </c>
      <c r="P463" s="42">
        <v>2.0</v>
      </c>
      <c r="Q463" s="42">
        <v>0.0</v>
      </c>
      <c r="R463" s="42">
        <v>2.0</v>
      </c>
      <c r="S463" s="42">
        <v>0.0</v>
      </c>
      <c r="T463" s="42" t="s">
        <v>3196</v>
      </c>
      <c r="U463" s="42">
        <v>1.0</v>
      </c>
      <c r="V463" s="42">
        <v>8.0</v>
      </c>
      <c r="W463" s="42">
        <v>0.0</v>
      </c>
      <c r="X463" s="42">
        <v>100.0</v>
      </c>
      <c r="Y463" s="42">
        <v>0.0</v>
      </c>
    </row>
    <row r="464" ht="22.5" customHeight="1">
      <c r="A464" s="41"/>
      <c r="B464" s="41">
        <v>5567.0</v>
      </c>
      <c r="C464" s="41" t="s">
        <v>271</v>
      </c>
      <c r="D464" s="41" t="s">
        <v>2510</v>
      </c>
      <c r="E464" s="41" t="s">
        <v>2510</v>
      </c>
      <c r="F464" s="41" t="s">
        <v>271</v>
      </c>
      <c r="G464" s="41">
        <v>500.0</v>
      </c>
      <c r="H464" s="41" t="s">
        <v>2510</v>
      </c>
      <c r="I464" s="41"/>
      <c r="J464" s="41" t="s">
        <v>2510</v>
      </c>
      <c r="K464" s="42" t="s">
        <v>2511</v>
      </c>
      <c r="L464" s="42" t="s">
        <v>3197</v>
      </c>
      <c r="M464" s="42" t="s">
        <v>962</v>
      </c>
      <c r="N464" s="42">
        <v>0.0</v>
      </c>
      <c r="O464" s="42">
        <v>1.0</v>
      </c>
      <c r="P464" s="42">
        <v>2.0</v>
      </c>
      <c r="Q464" s="42">
        <v>0.0</v>
      </c>
      <c r="R464" s="42">
        <v>0.0</v>
      </c>
      <c r="S464" s="42">
        <v>1.0</v>
      </c>
      <c r="T464" s="42" t="s">
        <v>3198</v>
      </c>
      <c r="U464" s="42">
        <v>1.0</v>
      </c>
      <c r="V464" s="42">
        <v>8.0</v>
      </c>
      <c r="W464" s="42">
        <v>0.0</v>
      </c>
      <c r="X464" s="42">
        <v>100.0</v>
      </c>
      <c r="Y464" s="42">
        <v>0.0</v>
      </c>
    </row>
    <row r="465" ht="22.5" customHeight="1">
      <c r="A465" s="41"/>
      <c r="B465" s="41">
        <v>5568.0</v>
      </c>
      <c r="C465" s="41" t="s">
        <v>271</v>
      </c>
      <c r="D465" s="41" t="s">
        <v>3199</v>
      </c>
      <c r="E465" s="41" t="s">
        <v>3199</v>
      </c>
      <c r="F465" s="41" t="s">
        <v>271</v>
      </c>
      <c r="G465" s="41">
        <v>501.0</v>
      </c>
      <c r="H465" s="41" t="s">
        <v>3199</v>
      </c>
      <c r="I465" s="41"/>
      <c r="J465" s="41" t="s">
        <v>3199</v>
      </c>
      <c r="K465" s="42" t="s">
        <v>3200</v>
      </c>
      <c r="L465" s="42" t="s">
        <v>3201</v>
      </c>
      <c r="M465" s="42" t="s">
        <v>962</v>
      </c>
      <c r="N465" s="42">
        <v>0.0</v>
      </c>
      <c r="O465" s="42">
        <v>1.0</v>
      </c>
      <c r="P465" s="42">
        <v>2.0</v>
      </c>
      <c r="Q465" s="42">
        <v>0.0</v>
      </c>
      <c r="R465" s="42">
        <v>0.0</v>
      </c>
      <c r="S465" s="42">
        <v>1.0</v>
      </c>
      <c r="T465" s="42" t="s">
        <v>3202</v>
      </c>
      <c r="U465" s="42">
        <v>1.0</v>
      </c>
      <c r="V465" s="42">
        <v>8.0</v>
      </c>
      <c r="W465" s="42">
        <v>0.0</v>
      </c>
      <c r="X465" s="42">
        <v>100.0</v>
      </c>
      <c r="Y465" s="42">
        <v>0.0</v>
      </c>
    </row>
    <row r="466" ht="22.5" customHeight="1">
      <c r="A466" s="41"/>
      <c r="B466" s="41">
        <v>5569.0</v>
      </c>
      <c r="C466" s="41" t="s">
        <v>271</v>
      </c>
      <c r="D466" s="41" t="s">
        <v>3203</v>
      </c>
      <c r="E466" s="41" t="s">
        <v>3203</v>
      </c>
      <c r="F466" s="41" t="s">
        <v>271</v>
      </c>
      <c r="G466" s="41">
        <v>502.0</v>
      </c>
      <c r="H466" s="41" t="s">
        <v>3204</v>
      </c>
      <c r="I466" s="41"/>
      <c r="J466" s="41" t="s">
        <v>3204</v>
      </c>
      <c r="K466" s="42" t="s">
        <v>3205</v>
      </c>
      <c r="L466" s="42" t="s">
        <v>3206</v>
      </c>
      <c r="M466" s="42" t="s">
        <v>1082</v>
      </c>
      <c r="N466" s="42">
        <v>0.0</v>
      </c>
      <c r="O466" s="42">
        <v>1.0</v>
      </c>
      <c r="P466" s="42">
        <v>2.0</v>
      </c>
      <c r="Q466" s="42">
        <v>0.0</v>
      </c>
      <c r="R466" s="42">
        <v>2.0</v>
      </c>
      <c r="S466" s="42">
        <v>0.0</v>
      </c>
      <c r="T466" s="42" t="s">
        <v>3207</v>
      </c>
      <c r="U466" s="42">
        <v>1.0</v>
      </c>
      <c r="V466" s="42">
        <v>5.0</v>
      </c>
      <c r="W466" s="42">
        <v>1.0</v>
      </c>
      <c r="X466" s="42">
        <v>100.0</v>
      </c>
      <c r="Y466" s="42">
        <v>0.0</v>
      </c>
    </row>
    <row r="467" ht="22.5" customHeight="1">
      <c r="A467" s="41"/>
      <c r="B467" s="41">
        <v>5570.0</v>
      </c>
      <c r="C467" s="41" t="s">
        <v>271</v>
      </c>
      <c r="D467" s="41" t="s">
        <v>3208</v>
      </c>
      <c r="E467" s="41" t="s">
        <v>3208</v>
      </c>
      <c r="F467" s="41" t="s">
        <v>271</v>
      </c>
      <c r="G467" s="41">
        <v>503.0</v>
      </c>
      <c r="H467" s="41" t="s">
        <v>3209</v>
      </c>
      <c r="I467" s="41"/>
      <c r="J467" s="41" t="s">
        <v>3209</v>
      </c>
      <c r="K467" s="42" t="s">
        <v>3210</v>
      </c>
      <c r="L467" s="42" t="s">
        <v>3211</v>
      </c>
      <c r="M467" s="42" t="s">
        <v>1082</v>
      </c>
      <c r="N467" s="42">
        <v>0.0</v>
      </c>
      <c r="O467" s="42">
        <v>1.0</v>
      </c>
      <c r="P467" s="42">
        <v>2.0</v>
      </c>
      <c r="Q467" s="42">
        <v>0.0</v>
      </c>
      <c r="R467" s="42">
        <v>2.0</v>
      </c>
      <c r="S467" s="42">
        <v>0.0</v>
      </c>
      <c r="T467" s="42" t="s">
        <v>3212</v>
      </c>
      <c r="U467" s="42">
        <v>1.0</v>
      </c>
      <c r="V467" s="42">
        <v>8.0</v>
      </c>
      <c r="W467" s="42">
        <v>0.0</v>
      </c>
      <c r="X467" s="42">
        <v>100.0</v>
      </c>
      <c r="Y467" s="42">
        <v>0.0</v>
      </c>
    </row>
    <row r="468" ht="22.5" customHeight="1">
      <c r="A468" s="41"/>
      <c r="B468" s="41">
        <v>5571.0</v>
      </c>
      <c r="C468" s="41" t="s">
        <v>271</v>
      </c>
      <c r="D468" s="41" t="s">
        <v>3213</v>
      </c>
      <c r="E468" s="41" t="s">
        <v>3213</v>
      </c>
      <c r="F468" s="41" t="s">
        <v>271</v>
      </c>
      <c r="G468" s="41">
        <v>504.0</v>
      </c>
      <c r="H468" s="41" t="s">
        <v>3214</v>
      </c>
      <c r="I468" s="41"/>
      <c r="J468" s="41" t="s">
        <v>3214</v>
      </c>
      <c r="K468" s="42" t="s">
        <v>3215</v>
      </c>
      <c r="L468" s="42" t="s">
        <v>3216</v>
      </c>
      <c r="M468" s="42" t="s">
        <v>1043</v>
      </c>
      <c r="N468" s="42">
        <v>0.0</v>
      </c>
      <c r="O468" s="42">
        <v>1.0</v>
      </c>
      <c r="P468" s="42">
        <v>2.0</v>
      </c>
      <c r="Q468" s="42">
        <v>0.0</v>
      </c>
      <c r="R468" s="42">
        <v>2.0</v>
      </c>
      <c r="S468" s="42">
        <v>0.0</v>
      </c>
      <c r="T468" s="42" t="s">
        <v>3217</v>
      </c>
      <c r="U468" s="42">
        <v>1.0</v>
      </c>
      <c r="V468" s="42">
        <v>8.0</v>
      </c>
      <c r="W468" s="42">
        <v>0.0</v>
      </c>
      <c r="X468" s="42">
        <v>100.0</v>
      </c>
      <c r="Y468" s="42">
        <v>0.0</v>
      </c>
    </row>
    <row r="469" ht="22.5" customHeight="1">
      <c r="A469" s="41"/>
      <c r="B469" s="41">
        <v>5572.0</v>
      </c>
      <c r="C469" s="41" t="s">
        <v>271</v>
      </c>
      <c r="D469" s="41" t="s">
        <v>3218</v>
      </c>
      <c r="E469" s="41" t="s">
        <v>3218</v>
      </c>
      <c r="F469" s="41" t="s">
        <v>271</v>
      </c>
      <c r="G469" s="41">
        <v>505.0</v>
      </c>
      <c r="H469" s="41" t="s">
        <v>3219</v>
      </c>
      <c r="I469" s="41"/>
      <c r="J469" s="41" t="s">
        <v>3219</v>
      </c>
      <c r="K469" s="42" t="s">
        <v>3220</v>
      </c>
      <c r="L469" s="42" t="s">
        <v>3221</v>
      </c>
      <c r="M469" s="42" t="s">
        <v>1130</v>
      </c>
      <c r="N469" s="42">
        <v>0.0</v>
      </c>
      <c r="O469" s="42">
        <v>1.0</v>
      </c>
      <c r="P469" s="42">
        <v>2.0</v>
      </c>
      <c r="Q469" s="42">
        <v>0.0</v>
      </c>
      <c r="R469" s="42">
        <v>10.0</v>
      </c>
      <c r="S469" s="42">
        <v>0.0</v>
      </c>
      <c r="T469" s="42" t="s">
        <v>3222</v>
      </c>
      <c r="U469" s="42">
        <v>1.0</v>
      </c>
      <c r="V469" s="42">
        <v>8.0</v>
      </c>
      <c r="W469" s="42">
        <v>0.0</v>
      </c>
      <c r="X469" s="42">
        <v>100.0</v>
      </c>
      <c r="Y469" s="42">
        <v>0.0</v>
      </c>
    </row>
    <row r="470" ht="22.5" customHeight="1">
      <c r="A470" s="41"/>
      <c r="B470" s="41">
        <v>5573.0</v>
      </c>
      <c r="C470" s="41" t="s">
        <v>271</v>
      </c>
      <c r="D470" s="41" t="s">
        <v>3223</v>
      </c>
      <c r="E470" s="41" t="s">
        <v>3223</v>
      </c>
      <c r="F470" s="41" t="s">
        <v>271</v>
      </c>
      <c r="G470" s="41">
        <v>506.0</v>
      </c>
      <c r="H470" s="41" t="s">
        <v>3224</v>
      </c>
      <c r="I470" s="41"/>
      <c r="J470" s="41" t="s">
        <v>3224</v>
      </c>
      <c r="K470" s="42" t="s">
        <v>3225</v>
      </c>
      <c r="L470" s="42" t="s">
        <v>3226</v>
      </c>
      <c r="M470" s="42" t="s">
        <v>1082</v>
      </c>
      <c r="N470" s="42">
        <v>0.0</v>
      </c>
      <c r="O470" s="42">
        <v>1.0</v>
      </c>
      <c r="P470" s="42">
        <v>2.0</v>
      </c>
      <c r="Q470" s="42">
        <v>0.0</v>
      </c>
      <c r="R470" s="42">
        <v>2.0</v>
      </c>
      <c r="S470" s="42">
        <v>0.0</v>
      </c>
      <c r="T470" s="42" t="s">
        <v>3227</v>
      </c>
      <c r="U470" s="42">
        <v>1.0</v>
      </c>
      <c r="V470" s="42">
        <v>8.0</v>
      </c>
      <c r="W470" s="42">
        <v>0.0</v>
      </c>
      <c r="X470" s="42">
        <v>100.0</v>
      </c>
      <c r="Y470" s="42">
        <v>0.0</v>
      </c>
    </row>
    <row r="471" ht="22.5" customHeight="1">
      <c r="A471" s="41"/>
      <c r="B471" s="41">
        <v>5574.0</v>
      </c>
      <c r="C471" s="41" t="s">
        <v>271</v>
      </c>
      <c r="D471" s="41" t="s">
        <v>3228</v>
      </c>
      <c r="E471" s="41" t="s">
        <v>3228</v>
      </c>
      <c r="F471" s="41" t="s">
        <v>271</v>
      </c>
      <c r="G471" s="41">
        <v>507.0</v>
      </c>
      <c r="H471" s="41" t="s">
        <v>3229</v>
      </c>
      <c r="I471" s="41"/>
      <c r="J471" s="41" t="s">
        <v>3229</v>
      </c>
      <c r="K471" s="42" t="s">
        <v>3230</v>
      </c>
      <c r="L471" s="42" t="s">
        <v>3231</v>
      </c>
      <c r="M471" s="42" t="s">
        <v>1028</v>
      </c>
      <c r="N471" s="42">
        <v>0.0</v>
      </c>
      <c r="O471" s="42">
        <v>1.0</v>
      </c>
      <c r="P471" s="42">
        <v>2.0</v>
      </c>
      <c r="Q471" s="42">
        <v>0.0</v>
      </c>
      <c r="R471" s="42">
        <v>2.0</v>
      </c>
      <c r="S471" s="42">
        <v>0.0</v>
      </c>
      <c r="T471" s="42" t="s">
        <v>3232</v>
      </c>
      <c r="U471" s="42">
        <v>1.0</v>
      </c>
      <c r="V471" s="42">
        <v>8.0</v>
      </c>
      <c r="W471" s="42">
        <v>0.0</v>
      </c>
      <c r="X471" s="42">
        <v>100.0</v>
      </c>
      <c r="Y471" s="42">
        <v>0.0</v>
      </c>
    </row>
    <row r="472" ht="22.5" customHeight="1">
      <c r="A472" s="41"/>
      <c r="B472" s="41">
        <v>5575.0</v>
      </c>
      <c r="C472" s="41" t="s">
        <v>271</v>
      </c>
      <c r="D472" s="41" t="s">
        <v>3233</v>
      </c>
      <c r="E472" s="41" t="s">
        <v>3233</v>
      </c>
      <c r="F472" s="41" t="s">
        <v>271</v>
      </c>
      <c r="G472" s="41">
        <v>508.0</v>
      </c>
      <c r="H472" s="41" t="s">
        <v>3234</v>
      </c>
      <c r="I472" s="41"/>
      <c r="J472" s="41" t="s">
        <v>3234</v>
      </c>
      <c r="K472" s="42" t="s">
        <v>3235</v>
      </c>
      <c r="L472" s="42" t="s">
        <v>3236</v>
      </c>
      <c r="M472" s="42" t="s">
        <v>962</v>
      </c>
      <c r="N472" s="42">
        <v>0.0</v>
      </c>
      <c r="O472" s="42">
        <v>1.0</v>
      </c>
      <c r="P472" s="42">
        <v>2.0</v>
      </c>
      <c r="Q472" s="42">
        <v>0.0</v>
      </c>
      <c r="R472" s="42">
        <v>2.0</v>
      </c>
      <c r="S472" s="42">
        <v>0.0</v>
      </c>
      <c r="T472" s="42" t="s">
        <v>3237</v>
      </c>
      <c r="U472" s="42">
        <v>1.0</v>
      </c>
      <c r="V472" s="42">
        <v>8.0</v>
      </c>
      <c r="W472" s="42">
        <v>0.0</v>
      </c>
      <c r="X472" s="42">
        <v>100.0</v>
      </c>
      <c r="Y472" s="42">
        <v>0.0</v>
      </c>
    </row>
    <row r="473" ht="22.5" customHeight="1">
      <c r="A473" s="41"/>
      <c r="B473" s="41">
        <v>5576.0</v>
      </c>
      <c r="C473" s="41" t="s">
        <v>271</v>
      </c>
      <c r="D473" s="41" t="s">
        <v>3238</v>
      </c>
      <c r="E473" s="41" t="s">
        <v>3238</v>
      </c>
      <c r="F473" s="41" t="s">
        <v>271</v>
      </c>
      <c r="G473" s="41">
        <v>509.0</v>
      </c>
      <c r="H473" s="41" t="s">
        <v>3238</v>
      </c>
      <c r="I473" s="41"/>
      <c r="J473" s="41" t="s">
        <v>3238</v>
      </c>
      <c r="K473" s="42" t="s">
        <v>3239</v>
      </c>
      <c r="L473" s="42" t="s">
        <v>3240</v>
      </c>
      <c r="M473" s="42" t="s">
        <v>962</v>
      </c>
      <c r="N473" s="42">
        <v>0.0</v>
      </c>
      <c r="O473" s="42">
        <v>1.0</v>
      </c>
      <c r="P473" s="42">
        <v>2.0</v>
      </c>
      <c r="Q473" s="42">
        <v>0.0</v>
      </c>
      <c r="R473" s="42">
        <v>0.0</v>
      </c>
      <c r="S473" s="42">
        <v>1.0</v>
      </c>
      <c r="T473" s="42" t="s">
        <v>3241</v>
      </c>
      <c r="U473" s="42">
        <v>1.0</v>
      </c>
      <c r="V473" s="42">
        <v>8.0</v>
      </c>
      <c r="W473" s="42">
        <v>0.0</v>
      </c>
      <c r="X473" s="42">
        <v>100.0</v>
      </c>
      <c r="Y473" s="42">
        <v>0.0</v>
      </c>
    </row>
    <row r="474" ht="22.5" customHeight="1">
      <c r="A474" s="41"/>
      <c r="B474" s="41">
        <v>5577.0</v>
      </c>
      <c r="C474" s="41" t="s">
        <v>271</v>
      </c>
      <c r="D474" s="41" t="s">
        <v>3242</v>
      </c>
      <c r="E474" s="41" t="s">
        <v>3242</v>
      </c>
      <c r="F474" s="41" t="s">
        <v>271</v>
      </c>
      <c r="G474" s="41">
        <v>510.0</v>
      </c>
      <c r="H474" s="41" t="s">
        <v>3243</v>
      </c>
      <c r="I474" s="41"/>
      <c r="J474" s="41" t="s">
        <v>3243</v>
      </c>
      <c r="K474" s="42" t="s">
        <v>3244</v>
      </c>
      <c r="L474" s="42" t="s">
        <v>3245</v>
      </c>
      <c r="M474" s="42" t="s">
        <v>1043</v>
      </c>
      <c r="N474" s="42">
        <v>0.0</v>
      </c>
      <c r="O474" s="42">
        <v>1.0</v>
      </c>
      <c r="P474" s="42">
        <v>2.0</v>
      </c>
      <c r="Q474" s="42">
        <v>0.0</v>
      </c>
      <c r="R474" s="42">
        <v>2.0</v>
      </c>
      <c r="S474" s="42">
        <v>0.0</v>
      </c>
      <c r="T474" s="42" t="s">
        <v>3246</v>
      </c>
      <c r="U474" s="42">
        <v>1.0</v>
      </c>
      <c r="V474" s="42">
        <v>8.0</v>
      </c>
      <c r="W474" s="42">
        <v>0.0</v>
      </c>
      <c r="X474" s="42">
        <v>100.0</v>
      </c>
      <c r="Y474" s="42">
        <v>0.0</v>
      </c>
    </row>
    <row r="475" ht="22.5" customHeight="1">
      <c r="A475" s="41"/>
      <c r="B475" s="41">
        <v>5578.0</v>
      </c>
      <c r="C475" s="41" t="s">
        <v>271</v>
      </c>
      <c r="D475" s="41" t="s">
        <v>3247</v>
      </c>
      <c r="E475" s="41" t="s">
        <v>3247</v>
      </c>
      <c r="F475" s="41" t="s">
        <v>271</v>
      </c>
      <c r="G475" s="41">
        <v>511.0</v>
      </c>
      <c r="H475" s="41" t="s">
        <v>3248</v>
      </c>
      <c r="I475" s="41"/>
      <c r="J475" s="41" t="s">
        <v>3248</v>
      </c>
      <c r="K475" s="42" t="s">
        <v>3249</v>
      </c>
      <c r="L475" s="42" t="s">
        <v>3250</v>
      </c>
      <c r="M475" s="42" t="s">
        <v>1043</v>
      </c>
      <c r="N475" s="42">
        <v>0.0</v>
      </c>
      <c r="O475" s="42">
        <v>1.0</v>
      </c>
      <c r="P475" s="42">
        <v>2.0</v>
      </c>
      <c r="Q475" s="42">
        <v>0.0</v>
      </c>
      <c r="R475" s="42">
        <v>2.0</v>
      </c>
      <c r="S475" s="42">
        <v>0.0</v>
      </c>
      <c r="T475" s="42" t="s">
        <v>3251</v>
      </c>
      <c r="U475" s="42">
        <v>1.0</v>
      </c>
      <c r="V475" s="42">
        <v>8.0</v>
      </c>
      <c r="W475" s="42">
        <v>0.0</v>
      </c>
      <c r="X475" s="42">
        <v>100.0</v>
      </c>
      <c r="Y475" s="42">
        <v>0.0</v>
      </c>
    </row>
    <row r="476" ht="22.5" customHeight="1">
      <c r="A476" s="41"/>
      <c r="B476" s="41">
        <v>5579.0</v>
      </c>
      <c r="C476" s="41" t="s">
        <v>271</v>
      </c>
      <c r="D476" s="41" t="s">
        <v>3252</v>
      </c>
      <c r="E476" s="41" t="s">
        <v>3252</v>
      </c>
      <c r="F476" s="41" t="s">
        <v>271</v>
      </c>
      <c r="G476" s="41">
        <v>512.0</v>
      </c>
      <c r="H476" s="41" t="s">
        <v>3253</v>
      </c>
      <c r="I476" s="41"/>
      <c r="J476" s="41" t="s">
        <v>3253</v>
      </c>
      <c r="K476" s="42" t="s">
        <v>3254</v>
      </c>
      <c r="L476" s="42" t="s">
        <v>3255</v>
      </c>
      <c r="M476" s="42" t="s">
        <v>1130</v>
      </c>
      <c r="N476" s="42">
        <v>0.0</v>
      </c>
      <c r="O476" s="42">
        <v>1.0</v>
      </c>
      <c r="P476" s="42">
        <v>2.0</v>
      </c>
      <c r="Q476" s="42">
        <v>0.0</v>
      </c>
      <c r="R476" s="42">
        <v>2.0</v>
      </c>
      <c r="S476" s="42">
        <v>0.0</v>
      </c>
      <c r="T476" s="42" t="s">
        <v>3256</v>
      </c>
      <c r="U476" s="42">
        <v>1.0</v>
      </c>
      <c r="V476" s="42">
        <v>6.0</v>
      </c>
      <c r="W476" s="42">
        <v>0.0</v>
      </c>
      <c r="X476" s="42">
        <v>100.0</v>
      </c>
      <c r="Y476" s="42">
        <v>0.0</v>
      </c>
    </row>
    <row r="477" ht="22.5" customHeight="1">
      <c r="A477" s="41"/>
      <c r="B477" s="41">
        <v>5580.0</v>
      </c>
      <c r="C477" s="41" t="s">
        <v>271</v>
      </c>
      <c r="D477" s="41" t="s">
        <v>3257</v>
      </c>
      <c r="E477" s="41" t="s">
        <v>3257</v>
      </c>
      <c r="F477" s="41" t="s">
        <v>271</v>
      </c>
      <c r="G477" s="41">
        <v>513.0</v>
      </c>
      <c r="H477" s="41" t="s">
        <v>3258</v>
      </c>
      <c r="I477" s="41"/>
      <c r="J477" s="41" t="s">
        <v>3258</v>
      </c>
      <c r="K477" s="42" t="s">
        <v>3259</v>
      </c>
      <c r="L477" s="42" t="s">
        <v>3260</v>
      </c>
      <c r="M477" s="42" t="s">
        <v>1028</v>
      </c>
      <c r="N477" s="42">
        <v>0.0</v>
      </c>
      <c r="O477" s="42">
        <v>1.0</v>
      </c>
      <c r="P477" s="42">
        <v>2.0</v>
      </c>
      <c r="Q477" s="42">
        <v>0.0</v>
      </c>
      <c r="R477" s="42">
        <v>2.0</v>
      </c>
      <c r="S477" s="42">
        <v>0.0</v>
      </c>
      <c r="T477" s="42" t="s">
        <v>3261</v>
      </c>
      <c r="U477" s="42">
        <v>1.0</v>
      </c>
      <c r="V477" s="42">
        <v>8.0</v>
      </c>
      <c r="W477" s="42">
        <v>0.0</v>
      </c>
      <c r="X477" s="42">
        <v>100.0</v>
      </c>
      <c r="Y477" s="42">
        <v>0.0</v>
      </c>
    </row>
    <row r="478" ht="22.5" customHeight="1">
      <c r="A478" s="41"/>
      <c r="B478" s="41">
        <v>5581.0</v>
      </c>
      <c r="C478" s="41" t="s">
        <v>271</v>
      </c>
      <c r="D478" s="41" t="s">
        <v>3262</v>
      </c>
      <c r="E478" s="41" t="s">
        <v>3262</v>
      </c>
      <c r="F478" s="41" t="s">
        <v>271</v>
      </c>
      <c r="G478" s="41">
        <v>514.0</v>
      </c>
      <c r="H478" s="41" t="s">
        <v>3263</v>
      </c>
      <c r="I478" s="41"/>
      <c r="J478" s="41" t="s">
        <v>3263</v>
      </c>
      <c r="K478" s="42" t="s">
        <v>3264</v>
      </c>
      <c r="L478" s="42" t="s">
        <v>3265</v>
      </c>
      <c r="M478" s="42" t="s">
        <v>1028</v>
      </c>
      <c r="N478" s="42">
        <v>0.0</v>
      </c>
      <c r="O478" s="42">
        <v>1.0</v>
      </c>
      <c r="P478" s="42">
        <v>2.0</v>
      </c>
      <c r="Q478" s="42">
        <v>0.0</v>
      </c>
      <c r="R478" s="42">
        <v>10.0</v>
      </c>
      <c r="S478" s="42">
        <v>0.0</v>
      </c>
      <c r="T478" s="42" t="s">
        <v>3266</v>
      </c>
      <c r="U478" s="42">
        <v>1.0</v>
      </c>
      <c r="V478" s="42">
        <v>8.0</v>
      </c>
      <c r="W478" s="42">
        <v>0.0</v>
      </c>
      <c r="X478" s="42">
        <v>100.0</v>
      </c>
      <c r="Y478" s="42">
        <v>0.0</v>
      </c>
    </row>
    <row r="479" ht="22.5" customHeight="1">
      <c r="A479" s="41"/>
      <c r="B479" s="41">
        <v>5582.0</v>
      </c>
      <c r="C479" s="41" t="s">
        <v>271</v>
      </c>
      <c r="D479" s="41" t="s">
        <v>3267</v>
      </c>
      <c r="E479" s="41" t="s">
        <v>3267</v>
      </c>
      <c r="F479" s="41" t="s">
        <v>271</v>
      </c>
      <c r="G479" s="41">
        <v>515.0</v>
      </c>
      <c r="H479" s="41" t="s">
        <v>3268</v>
      </c>
      <c r="I479" s="41"/>
      <c r="J479" s="41" t="s">
        <v>3268</v>
      </c>
      <c r="K479" s="42" t="s">
        <v>3269</v>
      </c>
      <c r="L479" s="42" t="s">
        <v>3270</v>
      </c>
      <c r="M479" s="42" t="s">
        <v>1028</v>
      </c>
      <c r="N479" s="42">
        <v>0.0</v>
      </c>
      <c r="O479" s="42">
        <v>1.0</v>
      </c>
      <c r="P479" s="42">
        <v>2.0</v>
      </c>
      <c r="Q479" s="42">
        <v>0.0</v>
      </c>
      <c r="R479" s="42">
        <v>2.0</v>
      </c>
      <c r="S479" s="42">
        <v>0.0</v>
      </c>
      <c r="T479" s="42" t="s">
        <v>3271</v>
      </c>
      <c r="U479" s="42">
        <v>1.0</v>
      </c>
      <c r="V479" s="42">
        <v>8.0</v>
      </c>
      <c r="W479" s="42">
        <v>0.0</v>
      </c>
      <c r="X479" s="42">
        <v>100.0</v>
      </c>
      <c r="Y479" s="42">
        <v>0.0</v>
      </c>
    </row>
    <row r="480" ht="22.5" customHeight="1">
      <c r="A480" s="41"/>
      <c r="B480" s="41">
        <v>5583.0</v>
      </c>
      <c r="C480" s="41" t="s">
        <v>271</v>
      </c>
      <c r="D480" s="41" t="s">
        <v>2268</v>
      </c>
      <c r="E480" s="41" t="s">
        <v>2268</v>
      </c>
      <c r="F480" s="41" t="s">
        <v>271</v>
      </c>
      <c r="G480" s="41">
        <v>516.0</v>
      </c>
      <c r="H480" s="41" t="s">
        <v>2268</v>
      </c>
      <c r="I480" s="41"/>
      <c r="J480" s="41" t="s">
        <v>2268</v>
      </c>
      <c r="K480" s="42" t="s">
        <v>2269</v>
      </c>
      <c r="L480" s="42" t="s">
        <v>3272</v>
      </c>
      <c r="M480" s="42" t="s">
        <v>962</v>
      </c>
      <c r="N480" s="42">
        <v>0.0</v>
      </c>
      <c r="O480" s="42">
        <v>1.0</v>
      </c>
      <c r="P480" s="42">
        <v>2.0</v>
      </c>
      <c r="Q480" s="42">
        <v>0.0</v>
      </c>
      <c r="R480" s="42">
        <v>0.0</v>
      </c>
      <c r="S480" s="42">
        <v>1.0</v>
      </c>
      <c r="T480" s="42" t="s">
        <v>3273</v>
      </c>
      <c r="U480" s="42">
        <v>1.0</v>
      </c>
      <c r="V480" s="42">
        <v>8.0</v>
      </c>
      <c r="W480" s="42">
        <v>0.0</v>
      </c>
      <c r="X480" s="42">
        <v>100.0</v>
      </c>
      <c r="Y480" s="42">
        <v>0.0</v>
      </c>
    </row>
    <row r="481" ht="22.5" customHeight="1">
      <c r="A481" s="41"/>
      <c r="B481" s="41">
        <v>5584.0</v>
      </c>
      <c r="C481" s="41" t="s">
        <v>271</v>
      </c>
      <c r="D481" s="41" t="s">
        <v>3274</v>
      </c>
      <c r="E481" s="41" t="s">
        <v>3274</v>
      </c>
      <c r="F481" s="41" t="s">
        <v>271</v>
      </c>
      <c r="G481" s="41">
        <v>517.0</v>
      </c>
      <c r="H481" s="41" t="s">
        <v>3275</v>
      </c>
      <c r="I481" s="41"/>
      <c r="J481" s="41" t="s">
        <v>3275</v>
      </c>
      <c r="K481" s="42" t="s">
        <v>3276</v>
      </c>
      <c r="L481" s="42" t="s">
        <v>3277</v>
      </c>
      <c r="M481" s="42" t="s">
        <v>1043</v>
      </c>
      <c r="N481" s="42">
        <v>0.0</v>
      </c>
      <c r="O481" s="42">
        <v>1.0</v>
      </c>
      <c r="P481" s="42">
        <v>2.0</v>
      </c>
      <c r="Q481" s="42">
        <v>0.0</v>
      </c>
      <c r="R481" s="42">
        <v>2.0</v>
      </c>
      <c r="S481" s="42">
        <v>0.0</v>
      </c>
      <c r="T481" s="42" t="s">
        <v>3278</v>
      </c>
      <c r="U481" s="42">
        <v>1.0</v>
      </c>
      <c r="V481" s="42">
        <v>6.0</v>
      </c>
      <c r="W481" s="42">
        <v>0.0</v>
      </c>
      <c r="X481" s="42">
        <v>100.0</v>
      </c>
      <c r="Y481" s="42">
        <v>0.0</v>
      </c>
    </row>
    <row r="482" ht="22.5" customHeight="1">
      <c r="A482" s="41"/>
      <c r="B482" s="41">
        <v>5585.0</v>
      </c>
      <c r="C482" s="41" t="s">
        <v>271</v>
      </c>
      <c r="D482" s="41" t="s">
        <v>3279</v>
      </c>
      <c r="E482" s="41" t="s">
        <v>3279</v>
      </c>
      <c r="F482" s="41" t="s">
        <v>271</v>
      </c>
      <c r="G482" s="41">
        <v>518.0</v>
      </c>
      <c r="H482" s="41" t="s">
        <v>3280</v>
      </c>
      <c r="I482" s="41"/>
      <c r="J482" s="41" t="s">
        <v>3280</v>
      </c>
      <c r="K482" s="42" t="s">
        <v>3281</v>
      </c>
      <c r="L482" s="42" t="s">
        <v>3282</v>
      </c>
      <c r="M482" s="42" t="s">
        <v>1028</v>
      </c>
      <c r="N482" s="42">
        <v>0.0</v>
      </c>
      <c r="O482" s="42">
        <v>1.0</v>
      </c>
      <c r="P482" s="42">
        <v>2.0</v>
      </c>
      <c r="Q482" s="42">
        <v>0.0</v>
      </c>
      <c r="R482" s="42">
        <v>2.0</v>
      </c>
      <c r="S482" s="42">
        <v>0.0</v>
      </c>
      <c r="T482" s="42" t="s">
        <v>3283</v>
      </c>
      <c r="U482" s="42">
        <v>1.0</v>
      </c>
      <c r="V482" s="42">
        <v>6.0</v>
      </c>
      <c r="W482" s="42">
        <v>0.0</v>
      </c>
      <c r="X482" s="42">
        <v>100.0</v>
      </c>
      <c r="Y482" s="42">
        <v>0.0</v>
      </c>
    </row>
    <row r="483" ht="22.5" customHeight="1">
      <c r="A483" s="41"/>
      <c r="B483" s="41">
        <v>5586.0</v>
      </c>
      <c r="C483" s="41" t="s">
        <v>271</v>
      </c>
      <c r="D483" s="41" t="s">
        <v>3284</v>
      </c>
      <c r="E483" s="41" t="s">
        <v>3284</v>
      </c>
      <c r="F483" s="41" t="s">
        <v>271</v>
      </c>
      <c r="G483" s="41">
        <v>519.0</v>
      </c>
      <c r="H483" s="41" t="s">
        <v>3285</v>
      </c>
      <c r="I483" s="41"/>
      <c r="J483" s="41" t="s">
        <v>3285</v>
      </c>
      <c r="K483" s="42" t="s">
        <v>3286</v>
      </c>
      <c r="L483" s="42" t="s">
        <v>3287</v>
      </c>
      <c r="M483" s="42" t="s">
        <v>1082</v>
      </c>
      <c r="N483" s="42">
        <v>0.0</v>
      </c>
      <c r="O483" s="42">
        <v>1.0</v>
      </c>
      <c r="P483" s="42">
        <v>2.0</v>
      </c>
      <c r="Q483" s="42">
        <v>0.0</v>
      </c>
      <c r="R483" s="42">
        <v>2.0</v>
      </c>
      <c r="S483" s="42">
        <v>0.0</v>
      </c>
      <c r="T483" s="42" t="s">
        <v>3288</v>
      </c>
      <c r="U483" s="42">
        <v>1.0</v>
      </c>
      <c r="V483" s="42">
        <v>8.0</v>
      </c>
      <c r="W483" s="42">
        <v>0.0</v>
      </c>
      <c r="X483" s="42">
        <v>100.0</v>
      </c>
      <c r="Y483" s="42">
        <v>0.0</v>
      </c>
    </row>
    <row r="484" ht="22.5" customHeight="1">
      <c r="A484" s="41"/>
      <c r="B484" s="41">
        <v>5587.0</v>
      </c>
      <c r="C484" s="41" t="s">
        <v>271</v>
      </c>
      <c r="D484" s="41" t="s">
        <v>3289</v>
      </c>
      <c r="E484" s="41" t="s">
        <v>3289</v>
      </c>
      <c r="F484" s="41" t="s">
        <v>271</v>
      </c>
      <c r="G484" s="41">
        <v>520.0</v>
      </c>
      <c r="H484" s="41" t="s">
        <v>3290</v>
      </c>
      <c r="I484" s="41"/>
      <c r="J484" s="41" t="s">
        <v>3290</v>
      </c>
      <c r="K484" s="42" t="s">
        <v>3291</v>
      </c>
      <c r="L484" s="42" t="s">
        <v>3292</v>
      </c>
      <c r="M484" s="42" t="s">
        <v>1043</v>
      </c>
      <c r="N484" s="42">
        <v>0.0</v>
      </c>
      <c r="O484" s="42">
        <v>1.0</v>
      </c>
      <c r="P484" s="42">
        <v>2.0</v>
      </c>
      <c r="Q484" s="42">
        <v>0.0</v>
      </c>
      <c r="R484" s="42">
        <v>2.0</v>
      </c>
      <c r="S484" s="42">
        <v>0.0</v>
      </c>
      <c r="T484" s="42" t="s">
        <v>3293</v>
      </c>
      <c r="U484" s="42">
        <v>1.0</v>
      </c>
      <c r="V484" s="42">
        <v>1.0</v>
      </c>
      <c r="W484" s="42">
        <v>0.0</v>
      </c>
      <c r="X484" s="42">
        <v>100.0</v>
      </c>
      <c r="Y484" s="42">
        <v>0.0</v>
      </c>
    </row>
    <row r="485" ht="22.5" customHeight="1">
      <c r="A485" s="41"/>
      <c r="B485" s="41">
        <v>5588.0</v>
      </c>
      <c r="C485" s="41" t="s">
        <v>271</v>
      </c>
      <c r="D485" s="41" t="s">
        <v>3294</v>
      </c>
      <c r="E485" s="41" t="s">
        <v>3294</v>
      </c>
      <c r="F485" s="41" t="s">
        <v>271</v>
      </c>
      <c r="G485" s="41">
        <v>521.0</v>
      </c>
      <c r="H485" s="41" t="s">
        <v>3295</v>
      </c>
      <c r="I485" s="41"/>
      <c r="J485" s="41" t="s">
        <v>3295</v>
      </c>
      <c r="K485" s="42" t="s">
        <v>3296</v>
      </c>
      <c r="L485" s="42" t="s">
        <v>3297</v>
      </c>
      <c r="M485" s="42" t="s">
        <v>1082</v>
      </c>
      <c r="N485" s="42">
        <v>0.0</v>
      </c>
      <c r="O485" s="42">
        <v>1.0</v>
      </c>
      <c r="P485" s="42">
        <v>2.0</v>
      </c>
      <c r="Q485" s="42">
        <v>0.0</v>
      </c>
      <c r="R485" s="42">
        <v>2.0</v>
      </c>
      <c r="S485" s="42">
        <v>0.0</v>
      </c>
      <c r="T485" s="42" t="s">
        <v>3298</v>
      </c>
      <c r="U485" s="42">
        <v>1.0</v>
      </c>
      <c r="V485" s="42">
        <v>8.0</v>
      </c>
      <c r="W485" s="42">
        <v>0.0</v>
      </c>
      <c r="X485" s="42">
        <v>100.0</v>
      </c>
      <c r="Y485" s="42">
        <v>0.0</v>
      </c>
    </row>
    <row r="486" ht="22.5" customHeight="1">
      <c r="A486" s="41"/>
      <c r="B486" s="41">
        <v>5589.0</v>
      </c>
      <c r="C486" s="41" t="s">
        <v>271</v>
      </c>
      <c r="D486" s="41" t="s">
        <v>3299</v>
      </c>
      <c r="E486" s="41" t="s">
        <v>3299</v>
      </c>
      <c r="F486" s="41" t="s">
        <v>271</v>
      </c>
      <c r="G486" s="41">
        <v>522.0</v>
      </c>
      <c r="H486" s="41" t="s">
        <v>3300</v>
      </c>
      <c r="I486" s="41"/>
      <c r="J486" s="41" t="s">
        <v>3300</v>
      </c>
      <c r="K486" s="42" t="s">
        <v>3301</v>
      </c>
      <c r="L486" s="42" t="s">
        <v>3302</v>
      </c>
      <c r="M486" s="42" t="s">
        <v>1028</v>
      </c>
      <c r="N486" s="42">
        <v>0.0</v>
      </c>
      <c r="O486" s="42">
        <v>1.0</v>
      </c>
      <c r="P486" s="42">
        <v>2.0</v>
      </c>
      <c r="Q486" s="42">
        <v>0.0</v>
      </c>
      <c r="R486" s="42">
        <v>2.0</v>
      </c>
      <c r="S486" s="42">
        <v>0.0</v>
      </c>
      <c r="T486" s="42" t="s">
        <v>3303</v>
      </c>
      <c r="U486" s="42">
        <v>1.0</v>
      </c>
      <c r="V486" s="42">
        <v>5.0</v>
      </c>
      <c r="W486" s="42">
        <v>0.0</v>
      </c>
      <c r="X486" s="42">
        <v>100.0</v>
      </c>
      <c r="Y486" s="42">
        <v>0.0</v>
      </c>
    </row>
    <row r="487" ht="22.5" customHeight="1">
      <c r="A487" s="41"/>
      <c r="B487" s="41">
        <v>5590.0</v>
      </c>
      <c r="C487" s="41" t="s">
        <v>271</v>
      </c>
      <c r="D487" s="41" t="s">
        <v>3304</v>
      </c>
      <c r="E487" s="41" t="s">
        <v>3304</v>
      </c>
      <c r="F487" s="41" t="s">
        <v>271</v>
      </c>
      <c r="G487" s="41">
        <v>523.0</v>
      </c>
      <c r="H487" s="41" t="s">
        <v>3305</v>
      </c>
      <c r="I487" s="41"/>
      <c r="J487" s="41" t="s">
        <v>3305</v>
      </c>
      <c r="K487" s="42" t="s">
        <v>3306</v>
      </c>
      <c r="L487" s="42" t="s">
        <v>3307</v>
      </c>
      <c r="M487" s="42" t="s">
        <v>1028</v>
      </c>
      <c r="N487" s="42">
        <v>0.0</v>
      </c>
      <c r="O487" s="42">
        <v>1.0</v>
      </c>
      <c r="P487" s="42">
        <v>2.0</v>
      </c>
      <c r="Q487" s="42">
        <v>0.0</v>
      </c>
      <c r="R487" s="42">
        <v>2.0</v>
      </c>
      <c r="S487" s="42">
        <v>0.0</v>
      </c>
      <c r="T487" s="42" t="s">
        <v>3308</v>
      </c>
      <c r="U487" s="42">
        <v>1.0</v>
      </c>
      <c r="V487" s="42">
        <v>3.0</v>
      </c>
      <c r="W487" s="42">
        <v>0.0</v>
      </c>
      <c r="X487" s="42">
        <v>100.0</v>
      </c>
      <c r="Y487" s="42">
        <v>0.0</v>
      </c>
    </row>
    <row r="488" ht="22.5" customHeight="1">
      <c r="A488" s="41"/>
      <c r="B488" s="41">
        <v>5591.0</v>
      </c>
      <c r="C488" s="41" t="s">
        <v>271</v>
      </c>
      <c r="D488" s="41" t="s">
        <v>3309</v>
      </c>
      <c r="E488" s="41" t="s">
        <v>3309</v>
      </c>
      <c r="F488" s="41" t="s">
        <v>271</v>
      </c>
      <c r="G488" s="41">
        <v>524.0</v>
      </c>
      <c r="H488" s="41" t="s">
        <v>3309</v>
      </c>
      <c r="I488" s="41"/>
      <c r="J488" s="41" t="s">
        <v>3309</v>
      </c>
      <c r="K488" s="42" t="s">
        <v>3310</v>
      </c>
      <c r="L488" s="42" t="s">
        <v>3311</v>
      </c>
      <c r="M488" s="42" t="s">
        <v>962</v>
      </c>
      <c r="N488" s="42">
        <v>0.0</v>
      </c>
      <c r="O488" s="42">
        <v>1.0</v>
      </c>
      <c r="P488" s="42">
        <v>2.0</v>
      </c>
      <c r="Q488" s="42">
        <v>0.0</v>
      </c>
      <c r="R488" s="42">
        <v>0.0</v>
      </c>
      <c r="S488" s="42">
        <v>1.0</v>
      </c>
      <c r="T488" s="42" t="s">
        <v>3312</v>
      </c>
      <c r="U488" s="42">
        <v>1.0</v>
      </c>
      <c r="V488" s="42">
        <v>8.0</v>
      </c>
      <c r="W488" s="42">
        <v>0.0</v>
      </c>
      <c r="X488" s="42">
        <v>100.0</v>
      </c>
      <c r="Y488" s="42">
        <v>0.0</v>
      </c>
    </row>
    <row r="489" ht="22.5" customHeight="1">
      <c r="A489" s="41"/>
      <c r="B489" s="41">
        <v>5592.0</v>
      </c>
      <c r="C489" s="41" t="s">
        <v>271</v>
      </c>
      <c r="D489" s="41" t="s">
        <v>3313</v>
      </c>
      <c r="E489" s="41" t="s">
        <v>3313</v>
      </c>
      <c r="F489" s="41" t="s">
        <v>271</v>
      </c>
      <c r="G489" s="41">
        <v>525.0</v>
      </c>
      <c r="H489" s="41" t="s">
        <v>3314</v>
      </c>
      <c r="I489" s="41"/>
      <c r="J489" s="41" t="s">
        <v>3314</v>
      </c>
      <c r="K489" s="42" t="s">
        <v>3315</v>
      </c>
      <c r="L489" s="42" t="s">
        <v>3316</v>
      </c>
      <c r="M489" s="42" t="s">
        <v>1028</v>
      </c>
      <c r="N489" s="42">
        <v>0.0</v>
      </c>
      <c r="O489" s="42">
        <v>1.0</v>
      </c>
      <c r="P489" s="42">
        <v>2.0</v>
      </c>
      <c r="Q489" s="42">
        <v>0.0</v>
      </c>
      <c r="R489" s="42">
        <v>2.0</v>
      </c>
      <c r="S489" s="42">
        <v>0.0</v>
      </c>
      <c r="T489" s="42" t="s">
        <v>3317</v>
      </c>
      <c r="U489" s="42">
        <v>1.0</v>
      </c>
      <c r="V489" s="42">
        <v>2.0</v>
      </c>
      <c r="W489" s="42">
        <v>0.0</v>
      </c>
      <c r="X489" s="42">
        <v>100.0</v>
      </c>
      <c r="Y489" s="42">
        <v>0.0</v>
      </c>
    </row>
    <row r="490" ht="22.5" customHeight="1">
      <c r="A490" s="41"/>
      <c r="B490" s="41">
        <v>5593.0</v>
      </c>
      <c r="C490" s="41" t="s">
        <v>271</v>
      </c>
      <c r="D490" s="41" t="s">
        <v>3318</v>
      </c>
      <c r="E490" s="41" t="s">
        <v>3318</v>
      </c>
      <c r="F490" s="41" t="s">
        <v>271</v>
      </c>
      <c r="G490" s="41">
        <v>526.0</v>
      </c>
      <c r="H490" s="41" t="s">
        <v>3319</v>
      </c>
      <c r="I490" s="41"/>
      <c r="J490" s="41" t="s">
        <v>3319</v>
      </c>
      <c r="K490" s="42" t="s">
        <v>3320</v>
      </c>
      <c r="L490" s="42" t="s">
        <v>3321</v>
      </c>
      <c r="M490" s="42" t="s">
        <v>1028</v>
      </c>
      <c r="N490" s="42">
        <v>0.0</v>
      </c>
      <c r="O490" s="42">
        <v>1.0</v>
      </c>
      <c r="P490" s="42">
        <v>2.0</v>
      </c>
      <c r="Q490" s="42">
        <v>0.0</v>
      </c>
      <c r="R490" s="42">
        <v>2.0</v>
      </c>
      <c r="S490" s="42">
        <v>0.0</v>
      </c>
      <c r="T490" s="42" t="s">
        <v>3322</v>
      </c>
      <c r="U490" s="42">
        <v>1.0</v>
      </c>
      <c r="V490" s="42">
        <v>8.0</v>
      </c>
      <c r="W490" s="42">
        <v>0.0</v>
      </c>
      <c r="X490" s="42">
        <v>100.0</v>
      </c>
      <c r="Y490" s="42">
        <v>0.0</v>
      </c>
    </row>
    <row r="491" ht="22.5" customHeight="1">
      <c r="A491" s="41"/>
      <c r="B491" s="41">
        <v>5595.0</v>
      </c>
      <c r="C491" s="41" t="s">
        <v>271</v>
      </c>
      <c r="D491" s="41" t="s">
        <v>2608</v>
      </c>
      <c r="E491" s="41" t="s">
        <v>2608</v>
      </c>
      <c r="F491" s="41" t="s">
        <v>271</v>
      </c>
      <c r="G491" s="41">
        <v>527.0</v>
      </c>
      <c r="H491" s="41" t="s">
        <v>2608</v>
      </c>
      <c r="I491" s="41"/>
      <c r="J491" s="41" t="s">
        <v>2608</v>
      </c>
      <c r="K491" s="42" t="s">
        <v>2609</v>
      </c>
      <c r="L491" s="42" t="s">
        <v>3323</v>
      </c>
      <c r="M491" s="42" t="s">
        <v>962</v>
      </c>
      <c r="N491" s="42">
        <v>0.0</v>
      </c>
      <c r="O491" s="42">
        <v>1.0</v>
      </c>
      <c r="P491" s="42">
        <v>2.0</v>
      </c>
      <c r="Q491" s="42">
        <v>0.0</v>
      </c>
      <c r="R491" s="42">
        <v>0.0</v>
      </c>
      <c r="S491" s="42">
        <v>1.0</v>
      </c>
      <c r="T491" s="42" t="s">
        <v>3324</v>
      </c>
      <c r="U491" s="42">
        <v>1.0</v>
      </c>
      <c r="V491" s="42">
        <v>8.0</v>
      </c>
      <c r="W491" s="42">
        <v>0.0</v>
      </c>
      <c r="X491" s="42">
        <v>100.0</v>
      </c>
      <c r="Y491" s="42">
        <v>0.0</v>
      </c>
    </row>
    <row r="492" ht="22.5" customHeight="1">
      <c r="A492" s="41"/>
      <c r="B492" s="41">
        <v>5596.0</v>
      </c>
      <c r="C492" s="41" t="s">
        <v>271</v>
      </c>
      <c r="D492" s="41" t="s">
        <v>3325</v>
      </c>
      <c r="E492" s="41" t="s">
        <v>3325</v>
      </c>
      <c r="F492" s="41" t="s">
        <v>271</v>
      </c>
      <c r="G492" s="41">
        <v>528.0</v>
      </c>
      <c r="H492" s="41" t="s">
        <v>3326</v>
      </c>
      <c r="I492" s="41"/>
      <c r="J492" s="41" t="s">
        <v>3326</v>
      </c>
      <c r="K492" s="42" t="s">
        <v>3327</v>
      </c>
      <c r="L492" s="42" t="s">
        <v>3328</v>
      </c>
      <c r="M492" s="42" t="s">
        <v>1043</v>
      </c>
      <c r="N492" s="42">
        <v>0.0</v>
      </c>
      <c r="O492" s="42">
        <v>1.0</v>
      </c>
      <c r="P492" s="42">
        <v>2.0</v>
      </c>
      <c r="Q492" s="42">
        <v>0.0</v>
      </c>
      <c r="R492" s="42">
        <v>2.0</v>
      </c>
      <c r="S492" s="42">
        <v>0.0</v>
      </c>
      <c r="T492" s="42" t="s">
        <v>3329</v>
      </c>
      <c r="U492" s="42">
        <v>1.0</v>
      </c>
      <c r="V492" s="42">
        <v>2.0</v>
      </c>
      <c r="W492" s="42">
        <v>0.0</v>
      </c>
      <c r="X492" s="42">
        <v>100.0</v>
      </c>
      <c r="Y492" s="42">
        <v>0.0</v>
      </c>
    </row>
    <row r="493" ht="22.5" customHeight="1">
      <c r="A493" s="41"/>
      <c r="B493" s="41">
        <v>5597.0</v>
      </c>
      <c r="C493" s="41" t="s">
        <v>271</v>
      </c>
      <c r="D493" s="41" t="s">
        <v>3330</v>
      </c>
      <c r="E493" s="41" t="s">
        <v>3330</v>
      </c>
      <c r="F493" s="41" t="s">
        <v>271</v>
      </c>
      <c r="G493" s="41">
        <v>529.0</v>
      </c>
      <c r="H493" s="41" t="s">
        <v>3331</v>
      </c>
      <c r="I493" s="41"/>
      <c r="J493" s="41" t="s">
        <v>3331</v>
      </c>
      <c r="K493" s="42" t="s">
        <v>3332</v>
      </c>
      <c r="L493" s="42" t="s">
        <v>3333</v>
      </c>
      <c r="M493" s="42" t="s">
        <v>1043</v>
      </c>
      <c r="N493" s="42">
        <v>0.0</v>
      </c>
      <c r="O493" s="42">
        <v>1.0</v>
      </c>
      <c r="P493" s="42">
        <v>2.0</v>
      </c>
      <c r="Q493" s="42">
        <v>0.0</v>
      </c>
      <c r="R493" s="42">
        <v>2.0</v>
      </c>
      <c r="S493" s="42">
        <v>0.0</v>
      </c>
      <c r="T493" s="42" t="s">
        <v>3334</v>
      </c>
      <c r="U493" s="42">
        <v>1.0</v>
      </c>
      <c r="V493" s="42">
        <v>8.0</v>
      </c>
      <c r="W493" s="42">
        <v>0.0</v>
      </c>
      <c r="X493" s="42">
        <v>100.0</v>
      </c>
      <c r="Y493" s="42">
        <v>0.0</v>
      </c>
    </row>
    <row r="494" ht="22.5" customHeight="1">
      <c r="A494" s="41"/>
      <c r="B494" s="41">
        <v>5598.0</v>
      </c>
      <c r="C494" s="41" t="s">
        <v>271</v>
      </c>
      <c r="D494" s="41" t="s">
        <v>3335</v>
      </c>
      <c r="E494" s="41" t="s">
        <v>3335</v>
      </c>
      <c r="F494" s="41" t="s">
        <v>271</v>
      </c>
      <c r="G494" s="41">
        <v>530.0</v>
      </c>
      <c r="H494" s="41" t="s">
        <v>3336</v>
      </c>
      <c r="I494" s="41"/>
      <c r="J494" s="41" t="s">
        <v>3336</v>
      </c>
      <c r="K494" s="42" t="s">
        <v>3337</v>
      </c>
      <c r="L494" s="42" t="s">
        <v>3338</v>
      </c>
      <c r="M494" s="42" t="s">
        <v>1043</v>
      </c>
      <c r="N494" s="42">
        <v>0.0</v>
      </c>
      <c r="O494" s="42">
        <v>1.0</v>
      </c>
      <c r="P494" s="42">
        <v>2.0</v>
      </c>
      <c r="Q494" s="42">
        <v>0.0</v>
      </c>
      <c r="R494" s="42">
        <v>2.0</v>
      </c>
      <c r="S494" s="42">
        <v>0.0</v>
      </c>
      <c r="T494" s="42" t="s">
        <v>3339</v>
      </c>
      <c r="U494" s="42">
        <v>1.0</v>
      </c>
      <c r="V494" s="42">
        <v>8.0</v>
      </c>
      <c r="W494" s="42">
        <v>0.0</v>
      </c>
      <c r="X494" s="42">
        <v>100.0</v>
      </c>
      <c r="Y494" s="42">
        <v>0.0</v>
      </c>
    </row>
    <row r="495" ht="22.5" customHeight="1">
      <c r="A495" s="41"/>
      <c r="B495" s="41">
        <v>5599.0</v>
      </c>
      <c r="C495" s="41" t="s">
        <v>271</v>
      </c>
      <c r="D495" s="41" t="s">
        <v>3340</v>
      </c>
      <c r="E495" s="41" t="s">
        <v>3340</v>
      </c>
      <c r="F495" s="41" t="s">
        <v>271</v>
      </c>
      <c r="G495" s="41">
        <v>531.0</v>
      </c>
      <c r="H495" s="41" t="s">
        <v>3341</v>
      </c>
      <c r="I495" s="41"/>
      <c r="J495" s="41" t="s">
        <v>3341</v>
      </c>
      <c r="K495" s="42" t="s">
        <v>3342</v>
      </c>
      <c r="L495" s="42" t="s">
        <v>3343</v>
      </c>
      <c r="M495" s="42" t="s">
        <v>1043</v>
      </c>
      <c r="N495" s="42">
        <v>0.0</v>
      </c>
      <c r="O495" s="42">
        <v>1.0</v>
      </c>
      <c r="P495" s="42">
        <v>2.0</v>
      </c>
      <c r="Q495" s="42">
        <v>0.0</v>
      </c>
      <c r="R495" s="42">
        <v>2.0</v>
      </c>
      <c r="S495" s="42">
        <v>0.0</v>
      </c>
      <c r="T495" s="42" t="s">
        <v>3344</v>
      </c>
      <c r="U495" s="42">
        <v>1.0</v>
      </c>
      <c r="V495" s="42">
        <v>8.0</v>
      </c>
      <c r="W495" s="42">
        <v>0.0</v>
      </c>
      <c r="X495" s="42">
        <v>100.0</v>
      </c>
      <c r="Y495" s="42">
        <v>0.0</v>
      </c>
    </row>
    <row r="496" ht="22.5" customHeight="1">
      <c r="A496" s="41"/>
      <c r="B496" s="41">
        <v>5600.0</v>
      </c>
      <c r="C496" s="41" t="s">
        <v>271</v>
      </c>
      <c r="D496" s="41" t="s">
        <v>3345</v>
      </c>
      <c r="E496" s="41" t="s">
        <v>3345</v>
      </c>
      <c r="F496" s="41" t="s">
        <v>271</v>
      </c>
      <c r="G496" s="41">
        <v>532.0</v>
      </c>
      <c r="H496" s="41" t="s">
        <v>3346</v>
      </c>
      <c r="I496" s="41"/>
      <c r="J496" s="41" t="s">
        <v>3346</v>
      </c>
      <c r="K496" s="42" t="s">
        <v>3347</v>
      </c>
      <c r="L496" s="42" t="s">
        <v>3348</v>
      </c>
      <c r="M496" s="42" t="s">
        <v>1043</v>
      </c>
      <c r="N496" s="42">
        <v>0.0</v>
      </c>
      <c r="O496" s="42">
        <v>1.0</v>
      </c>
      <c r="P496" s="42">
        <v>2.0</v>
      </c>
      <c r="Q496" s="42">
        <v>0.0</v>
      </c>
      <c r="R496" s="42">
        <v>2.0</v>
      </c>
      <c r="S496" s="42">
        <v>0.0</v>
      </c>
      <c r="T496" s="42" t="s">
        <v>3349</v>
      </c>
      <c r="U496" s="42">
        <v>1.0</v>
      </c>
      <c r="V496" s="42">
        <v>8.0</v>
      </c>
      <c r="W496" s="42">
        <v>0.0</v>
      </c>
      <c r="X496" s="42">
        <v>100.0</v>
      </c>
      <c r="Y496" s="42">
        <v>0.0</v>
      </c>
    </row>
    <row r="497" ht="22.5" customHeight="1">
      <c r="A497" s="41"/>
      <c r="B497" s="41">
        <v>5601.0</v>
      </c>
      <c r="C497" s="41" t="s">
        <v>271</v>
      </c>
      <c r="D497" s="41" t="s">
        <v>3350</v>
      </c>
      <c r="E497" s="41" t="s">
        <v>3350</v>
      </c>
      <c r="F497" s="41" t="s">
        <v>271</v>
      </c>
      <c r="G497" s="41">
        <v>533.0</v>
      </c>
      <c r="H497" s="41" t="s">
        <v>3351</v>
      </c>
      <c r="I497" s="41"/>
      <c r="J497" s="41" t="s">
        <v>3351</v>
      </c>
      <c r="K497" s="42" t="s">
        <v>3352</v>
      </c>
      <c r="L497" s="42" t="s">
        <v>3353</v>
      </c>
      <c r="M497" s="42" t="s">
        <v>1028</v>
      </c>
      <c r="N497" s="42">
        <v>0.0</v>
      </c>
      <c r="O497" s="42">
        <v>1.0</v>
      </c>
      <c r="P497" s="42">
        <v>2.0</v>
      </c>
      <c r="Q497" s="42">
        <v>0.0</v>
      </c>
      <c r="R497" s="42">
        <v>2.0</v>
      </c>
      <c r="S497" s="42">
        <v>0.0</v>
      </c>
      <c r="T497" s="42" t="s">
        <v>3354</v>
      </c>
      <c r="U497" s="42">
        <v>1.0</v>
      </c>
      <c r="V497" s="42">
        <v>8.0</v>
      </c>
      <c r="W497" s="42" t="s">
        <v>995</v>
      </c>
      <c r="X497" s="42">
        <v>100.0</v>
      </c>
      <c r="Y497" s="42">
        <v>0.0</v>
      </c>
    </row>
    <row r="498" ht="22.5" customHeight="1">
      <c r="A498" s="41"/>
      <c r="B498" s="41">
        <v>5602.0</v>
      </c>
      <c r="C498" s="41" t="s">
        <v>271</v>
      </c>
      <c r="D498" s="41" t="s">
        <v>3355</v>
      </c>
      <c r="E498" s="41" t="s">
        <v>3355</v>
      </c>
      <c r="F498" s="41" t="s">
        <v>271</v>
      </c>
      <c r="G498" s="41">
        <v>534.0</v>
      </c>
      <c r="H498" s="41" t="s">
        <v>3356</v>
      </c>
      <c r="I498" s="41"/>
      <c r="J498" s="41" t="s">
        <v>3356</v>
      </c>
      <c r="K498" s="42" t="s">
        <v>3357</v>
      </c>
      <c r="L498" s="42" t="s">
        <v>3358</v>
      </c>
      <c r="M498" s="42" t="s">
        <v>1043</v>
      </c>
      <c r="N498" s="42">
        <v>0.0</v>
      </c>
      <c r="O498" s="42">
        <v>0.0</v>
      </c>
      <c r="P498" s="42">
        <v>2.0</v>
      </c>
      <c r="Q498" s="42">
        <v>0.0</v>
      </c>
      <c r="R498" s="42">
        <v>12.0</v>
      </c>
      <c r="S498" s="42">
        <v>0.0</v>
      </c>
      <c r="T498" s="42" t="s">
        <v>3359</v>
      </c>
      <c r="U498" s="42">
        <v>1.0</v>
      </c>
      <c r="V498" s="42">
        <v>8.0</v>
      </c>
      <c r="W498" s="42" t="s">
        <v>995</v>
      </c>
      <c r="X498" s="42">
        <v>100.0</v>
      </c>
      <c r="Y498" s="42">
        <v>0.0</v>
      </c>
    </row>
    <row r="499" ht="22.5" customHeight="1">
      <c r="A499" s="41"/>
      <c r="B499" s="41">
        <v>5603.0</v>
      </c>
      <c r="C499" s="41" t="s">
        <v>271</v>
      </c>
      <c r="D499" s="41" t="s">
        <v>3360</v>
      </c>
      <c r="E499" s="41" t="s">
        <v>3360</v>
      </c>
      <c r="F499" s="41" t="s">
        <v>271</v>
      </c>
      <c r="G499" s="41">
        <v>535.0</v>
      </c>
      <c r="H499" s="41" t="s">
        <v>3360</v>
      </c>
      <c r="I499" s="41"/>
      <c r="J499" s="41" t="s">
        <v>3360</v>
      </c>
      <c r="K499" s="42" t="s">
        <v>3361</v>
      </c>
      <c r="L499" s="42" t="s">
        <v>3362</v>
      </c>
      <c r="M499" s="42" t="s">
        <v>962</v>
      </c>
      <c r="N499" s="42">
        <v>0.0</v>
      </c>
      <c r="O499" s="42">
        <v>1.0</v>
      </c>
      <c r="P499" s="42">
        <v>2.0</v>
      </c>
      <c r="Q499" s="42">
        <v>0.0</v>
      </c>
      <c r="R499" s="42">
        <v>0.0</v>
      </c>
      <c r="S499" s="42">
        <v>1.0</v>
      </c>
      <c r="T499" s="42" t="s">
        <v>3363</v>
      </c>
      <c r="U499" s="42">
        <v>1.0</v>
      </c>
      <c r="V499" s="42">
        <v>8.0</v>
      </c>
      <c r="W499" s="42" t="s">
        <v>995</v>
      </c>
      <c r="X499" s="42">
        <v>100.0</v>
      </c>
      <c r="Y499" s="42">
        <v>0.0</v>
      </c>
    </row>
    <row r="500" ht="22.5" customHeight="1">
      <c r="A500" s="41"/>
      <c r="B500" s="41">
        <v>5604.0</v>
      </c>
      <c r="C500" s="41" t="s">
        <v>271</v>
      </c>
      <c r="D500" s="41" t="s">
        <v>3364</v>
      </c>
      <c r="E500" s="41" t="s">
        <v>3364</v>
      </c>
      <c r="F500" s="41" t="s">
        <v>271</v>
      </c>
      <c r="G500" s="41">
        <v>536.0</v>
      </c>
      <c r="H500" s="41" t="s">
        <v>3365</v>
      </c>
      <c r="I500" s="41"/>
      <c r="J500" s="41" t="s">
        <v>3365</v>
      </c>
      <c r="K500" s="42" t="s">
        <v>3366</v>
      </c>
      <c r="L500" s="42" t="s">
        <v>3367</v>
      </c>
      <c r="M500" s="42" t="s">
        <v>1028</v>
      </c>
      <c r="N500" s="42">
        <v>0.0</v>
      </c>
      <c r="O500" s="42">
        <v>1.0</v>
      </c>
      <c r="P500" s="42">
        <v>2.0</v>
      </c>
      <c r="Q500" s="42">
        <v>0.0</v>
      </c>
      <c r="R500" s="42">
        <v>2.0</v>
      </c>
      <c r="S500" s="42">
        <v>0.0</v>
      </c>
      <c r="T500" s="42" t="s">
        <v>3368</v>
      </c>
      <c r="U500" s="42">
        <v>1.0</v>
      </c>
      <c r="V500" s="42">
        <v>8.0</v>
      </c>
      <c r="W500" s="42" t="s">
        <v>995</v>
      </c>
      <c r="X500" s="42">
        <v>100.0</v>
      </c>
      <c r="Y500" s="42">
        <v>0.0</v>
      </c>
    </row>
    <row r="501" ht="22.5" customHeight="1">
      <c r="A501" s="41"/>
      <c r="B501" s="41">
        <v>5605.0</v>
      </c>
      <c r="C501" s="41" t="s">
        <v>271</v>
      </c>
      <c r="D501" s="41" t="s">
        <v>3369</v>
      </c>
      <c r="E501" s="41" t="s">
        <v>3369</v>
      </c>
      <c r="F501" s="41" t="s">
        <v>271</v>
      </c>
      <c r="G501" s="41">
        <v>537.0</v>
      </c>
      <c r="H501" s="41" t="s">
        <v>3370</v>
      </c>
      <c r="I501" s="41"/>
      <c r="J501" s="41" t="s">
        <v>3370</v>
      </c>
      <c r="K501" s="42" t="s">
        <v>3371</v>
      </c>
      <c r="L501" s="42" t="s">
        <v>3372</v>
      </c>
      <c r="M501" s="42" t="s">
        <v>970</v>
      </c>
      <c r="N501" s="42">
        <v>1.0</v>
      </c>
      <c r="O501" s="42">
        <v>1.0</v>
      </c>
      <c r="P501" s="42">
        <v>2.0</v>
      </c>
      <c r="Q501" s="42">
        <v>0.0</v>
      </c>
      <c r="R501" s="42">
        <v>2.0</v>
      </c>
      <c r="S501" s="42">
        <v>0.0</v>
      </c>
      <c r="T501" s="42" t="s">
        <v>3373</v>
      </c>
      <c r="U501" s="42">
        <v>1.0</v>
      </c>
      <c r="V501" s="42">
        <v>0.0</v>
      </c>
      <c r="W501" s="42" t="s">
        <v>995</v>
      </c>
      <c r="X501" s="42">
        <v>100.0</v>
      </c>
      <c r="Y501" s="42">
        <v>0.0</v>
      </c>
    </row>
    <row r="502" ht="22.5" customHeight="1">
      <c r="A502" s="41"/>
      <c r="B502" s="41">
        <v>5606.0</v>
      </c>
      <c r="C502" s="41" t="s">
        <v>271</v>
      </c>
      <c r="D502" s="41" t="s">
        <v>3374</v>
      </c>
      <c r="E502" s="41" t="s">
        <v>3374</v>
      </c>
      <c r="F502" s="41" t="s">
        <v>271</v>
      </c>
      <c r="G502" s="41">
        <v>538.0</v>
      </c>
      <c r="H502" s="41" t="s">
        <v>3374</v>
      </c>
      <c r="I502" s="41"/>
      <c r="J502" s="41" t="s">
        <v>3374</v>
      </c>
      <c r="K502" s="42" t="s">
        <v>3375</v>
      </c>
      <c r="L502" s="42" t="s">
        <v>3376</v>
      </c>
      <c r="M502" s="42" t="s">
        <v>962</v>
      </c>
      <c r="N502" s="42">
        <v>0.0</v>
      </c>
      <c r="O502" s="42">
        <v>1.0</v>
      </c>
      <c r="P502" s="42">
        <v>2.0</v>
      </c>
      <c r="Q502" s="42">
        <v>0.0</v>
      </c>
      <c r="R502" s="42">
        <v>0.0</v>
      </c>
      <c r="S502" s="42">
        <v>1.0</v>
      </c>
      <c r="T502" s="42" t="s">
        <v>3377</v>
      </c>
      <c r="U502" s="42">
        <v>1.0</v>
      </c>
      <c r="V502" s="42">
        <v>8.0</v>
      </c>
      <c r="W502" s="42" t="s">
        <v>995</v>
      </c>
      <c r="X502" s="42">
        <v>100.0</v>
      </c>
      <c r="Y502" s="42" t="s">
        <v>995</v>
      </c>
    </row>
    <row r="503" ht="22.5" customHeight="1">
      <c r="A503" s="41"/>
      <c r="B503" s="41">
        <v>5607.0</v>
      </c>
      <c r="C503" s="41" t="s">
        <v>271</v>
      </c>
      <c r="D503" s="41" t="s">
        <v>3378</v>
      </c>
      <c r="E503" s="41" t="s">
        <v>3378</v>
      </c>
      <c r="F503" s="41" t="s">
        <v>271</v>
      </c>
      <c r="G503" s="41">
        <v>539.0</v>
      </c>
      <c r="H503" s="41" t="s">
        <v>3379</v>
      </c>
      <c r="I503" s="41"/>
      <c r="J503" s="41" t="s">
        <v>3379</v>
      </c>
      <c r="K503" s="42" t="s">
        <v>3380</v>
      </c>
      <c r="L503" s="42" t="s">
        <v>3381</v>
      </c>
      <c r="M503" s="42" t="s">
        <v>1028</v>
      </c>
      <c r="N503" s="42">
        <v>0.0</v>
      </c>
      <c r="O503" s="42">
        <v>1.0</v>
      </c>
      <c r="P503" s="42">
        <v>2.0</v>
      </c>
      <c r="Q503" s="42">
        <v>0.0</v>
      </c>
      <c r="R503" s="42">
        <v>2.0</v>
      </c>
      <c r="S503" s="42">
        <v>0.0</v>
      </c>
      <c r="T503" s="42" t="s">
        <v>3382</v>
      </c>
      <c r="U503" s="42">
        <v>1.0</v>
      </c>
      <c r="V503" s="42">
        <v>8.0</v>
      </c>
      <c r="W503" s="42" t="s">
        <v>995</v>
      </c>
      <c r="X503" s="42">
        <v>100.0</v>
      </c>
      <c r="Y503" s="42" t="s">
        <v>995</v>
      </c>
    </row>
    <row r="504" ht="22.5" customHeight="1">
      <c r="A504" s="41"/>
      <c r="B504" s="41">
        <v>5608.0</v>
      </c>
      <c r="C504" s="41" t="s">
        <v>271</v>
      </c>
      <c r="D504" s="41" t="s">
        <v>3383</v>
      </c>
      <c r="E504" s="41" t="s">
        <v>3383</v>
      </c>
      <c r="F504" s="41" t="s">
        <v>271</v>
      </c>
      <c r="G504" s="41">
        <v>540.0</v>
      </c>
      <c r="H504" s="41" t="s">
        <v>3383</v>
      </c>
      <c r="I504" s="41"/>
      <c r="J504" s="41" t="s">
        <v>3383</v>
      </c>
      <c r="K504" s="42" t="s">
        <v>3384</v>
      </c>
      <c r="L504" s="42" t="s">
        <v>3385</v>
      </c>
      <c r="M504" s="42" t="s">
        <v>962</v>
      </c>
      <c r="N504" s="42">
        <v>0.0</v>
      </c>
      <c r="O504" s="42">
        <v>1.0</v>
      </c>
      <c r="P504" s="42">
        <v>2.0</v>
      </c>
      <c r="Q504" s="42">
        <v>0.0</v>
      </c>
      <c r="R504" s="42">
        <v>0.0</v>
      </c>
      <c r="S504" s="42">
        <v>1.0</v>
      </c>
      <c r="T504" s="42" t="s">
        <v>3386</v>
      </c>
      <c r="U504" s="42">
        <v>1.0</v>
      </c>
      <c r="V504" s="42">
        <v>8.0</v>
      </c>
      <c r="W504" s="42" t="s">
        <v>995</v>
      </c>
      <c r="X504" s="42">
        <v>100.0</v>
      </c>
      <c r="Y504" s="42" t="s">
        <v>995</v>
      </c>
    </row>
    <row r="505" ht="22.5" customHeight="1">
      <c r="A505" s="41"/>
      <c r="B505" s="41">
        <v>5609.0</v>
      </c>
      <c r="C505" s="41" t="s">
        <v>271</v>
      </c>
      <c r="D505" s="41" t="s">
        <v>3387</v>
      </c>
      <c r="E505" s="41" t="s">
        <v>3387</v>
      </c>
      <c r="F505" s="41" t="s">
        <v>271</v>
      </c>
      <c r="G505" s="41">
        <v>541.0</v>
      </c>
      <c r="H505" s="41" t="s">
        <v>3388</v>
      </c>
      <c r="I505" s="41"/>
      <c r="J505" s="41" t="s">
        <v>3388</v>
      </c>
      <c r="K505" s="42" t="s">
        <v>3389</v>
      </c>
      <c r="L505" s="42" t="s">
        <v>3390</v>
      </c>
      <c r="M505" s="42" t="s">
        <v>1028</v>
      </c>
      <c r="N505" s="42">
        <v>0.0</v>
      </c>
      <c r="O505" s="42">
        <v>1.0</v>
      </c>
      <c r="P505" s="42">
        <v>2.0</v>
      </c>
      <c r="Q505" s="42">
        <v>0.0</v>
      </c>
      <c r="R505" s="42">
        <v>2.0</v>
      </c>
      <c r="S505" s="42">
        <v>0.0</v>
      </c>
      <c r="T505" s="42" t="s">
        <v>3391</v>
      </c>
      <c r="U505" s="42">
        <v>1.0</v>
      </c>
      <c r="V505" s="42">
        <v>8.0</v>
      </c>
      <c r="W505" s="42" t="s">
        <v>995</v>
      </c>
      <c r="X505" s="42">
        <v>100.0</v>
      </c>
      <c r="Y505" s="42" t="s">
        <v>995</v>
      </c>
    </row>
    <row r="506" ht="22.5" customHeight="1">
      <c r="A506" s="41"/>
      <c r="B506" s="41">
        <v>5610.0</v>
      </c>
      <c r="C506" s="41" t="s">
        <v>271</v>
      </c>
      <c r="D506" s="41" t="s">
        <v>3392</v>
      </c>
      <c r="E506" s="41" t="s">
        <v>3392</v>
      </c>
      <c r="F506" s="41" t="s">
        <v>271</v>
      </c>
      <c r="G506" s="41">
        <v>542.0</v>
      </c>
      <c r="H506" s="41" t="s">
        <v>3393</v>
      </c>
      <c r="I506" s="41"/>
      <c r="J506" s="41" t="s">
        <v>3393</v>
      </c>
      <c r="K506" s="42" t="s">
        <v>3394</v>
      </c>
      <c r="L506" s="42" t="s">
        <v>3395</v>
      </c>
      <c r="M506" s="42" t="s">
        <v>1043</v>
      </c>
      <c r="N506" s="42">
        <v>0.0</v>
      </c>
      <c r="O506" s="42">
        <v>1.0</v>
      </c>
      <c r="P506" s="42">
        <v>2.0</v>
      </c>
      <c r="Q506" s="42">
        <v>0.0</v>
      </c>
      <c r="R506" s="42">
        <v>2.0</v>
      </c>
      <c r="S506" s="42">
        <v>0.0</v>
      </c>
      <c r="T506" s="42" t="s">
        <v>3396</v>
      </c>
      <c r="U506" s="42">
        <v>1.0</v>
      </c>
      <c r="V506" s="42">
        <v>8.0</v>
      </c>
      <c r="W506" s="42" t="s">
        <v>995</v>
      </c>
      <c r="X506" s="42">
        <v>100.0</v>
      </c>
      <c r="Y506" s="42" t="s">
        <v>995</v>
      </c>
    </row>
    <row r="507" ht="22.5" customHeight="1">
      <c r="A507" s="41"/>
      <c r="B507" s="41">
        <v>5611.0</v>
      </c>
      <c r="C507" s="41" t="s">
        <v>271</v>
      </c>
      <c r="D507" s="41" t="s">
        <v>3397</v>
      </c>
      <c r="E507" s="41" t="s">
        <v>3397</v>
      </c>
      <c r="F507" s="41" t="s">
        <v>271</v>
      </c>
      <c r="G507" s="41">
        <v>543.0</v>
      </c>
      <c r="H507" s="41" t="s">
        <v>3398</v>
      </c>
      <c r="I507" s="41"/>
      <c r="J507" s="41" t="s">
        <v>3398</v>
      </c>
      <c r="K507" s="42" t="s">
        <v>3399</v>
      </c>
      <c r="L507" s="42" t="s">
        <v>3400</v>
      </c>
      <c r="M507" s="42" t="s">
        <v>1028</v>
      </c>
      <c r="N507" s="42">
        <v>0.0</v>
      </c>
      <c r="O507" s="42">
        <v>1.0</v>
      </c>
      <c r="P507" s="42">
        <v>2.0</v>
      </c>
      <c r="Q507" s="42">
        <v>0.0</v>
      </c>
      <c r="R507" s="42">
        <v>2.0</v>
      </c>
      <c r="S507" s="42">
        <v>0.0</v>
      </c>
      <c r="T507" s="42" t="s">
        <v>3401</v>
      </c>
      <c r="U507" s="42">
        <v>1.0</v>
      </c>
      <c r="V507" s="42">
        <v>8.0</v>
      </c>
      <c r="W507" s="42" t="s">
        <v>995</v>
      </c>
      <c r="X507" s="42">
        <v>100.0</v>
      </c>
      <c r="Y507" s="42" t="s">
        <v>995</v>
      </c>
    </row>
    <row r="508" ht="22.5" customHeight="1">
      <c r="A508" s="41"/>
      <c r="B508" s="41">
        <v>5612.0</v>
      </c>
      <c r="C508" s="41" t="s">
        <v>271</v>
      </c>
      <c r="D508" s="41" t="s">
        <v>3402</v>
      </c>
      <c r="E508" s="41" t="s">
        <v>3402</v>
      </c>
      <c r="F508" s="41" t="s">
        <v>271</v>
      </c>
      <c r="G508" s="41">
        <v>544.0</v>
      </c>
      <c r="H508" s="41" t="s">
        <v>3403</v>
      </c>
      <c r="I508" s="41"/>
      <c r="J508" s="41" t="s">
        <v>3403</v>
      </c>
      <c r="K508" s="42" t="s">
        <v>3404</v>
      </c>
      <c r="L508" s="42" t="s">
        <v>3405</v>
      </c>
      <c r="M508" s="42" t="s">
        <v>1043</v>
      </c>
      <c r="N508" s="42">
        <v>0.0</v>
      </c>
      <c r="O508" s="42">
        <v>1.0</v>
      </c>
      <c r="P508" s="42">
        <v>2.0</v>
      </c>
      <c r="Q508" s="42">
        <v>0.0</v>
      </c>
      <c r="R508" s="42">
        <v>2.0</v>
      </c>
      <c r="S508" s="42">
        <v>0.0</v>
      </c>
      <c r="T508" s="42" t="s">
        <v>3406</v>
      </c>
      <c r="U508" s="42">
        <v>1.0</v>
      </c>
      <c r="V508" s="42">
        <v>8.0</v>
      </c>
      <c r="W508" s="42" t="s">
        <v>995</v>
      </c>
      <c r="X508" s="42">
        <v>100.0</v>
      </c>
      <c r="Y508" s="42" t="s">
        <v>995</v>
      </c>
    </row>
    <row r="509" ht="22.5" customHeight="1">
      <c r="A509" s="41"/>
      <c r="B509" s="41">
        <v>5613.0</v>
      </c>
      <c r="C509" s="41" t="s">
        <v>271</v>
      </c>
      <c r="D509" s="41" t="s">
        <v>3407</v>
      </c>
      <c r="E509" s="41" t="s">
        <v>3407</v>
      </c>
      <c r="F509" s="41" t="s">
        <v>271</v>
      </c>
      <c r="G509" s="41">
        <v>545.0</v>
      </c>
      <c r="H509" s="41" t="s">
        <v>3408</v>
      </c>
      <c r="I509" s="41"/>
      <c r="J509" s="41" t="s">
        <v>3408</v>
      </c>
      <c r="K509" s="42" t="s">
        <v>3409</v>
      </c>
      <c r="L509" s="42" t="s">
        <v>3410</v>
      </c>
      <c r="M509" s="42" t="s">
        <v>1028</v>
      </c>
      <c r="N509" s="42">
        <v>0.0</v>
      </c>
      <c r="O509" s="42">
        <v>1.0</v>
      </c>
      <c r="P509" s="42">
        <v>2.0</v>
      </c>
      <c r="Q509" s="42">
        <v>0.0</v>
      </c>
      <c r="R509" s="42">
        <v>2.0</v>
      </c>
      <c r="S509" s="42">
        <v>0.0</v>
      </c>
      <c r="T509" s="42" t="s">
        <v>3411</v>
      </c>
      <c r="U509" s="42">
        <v>1.0</v>
      </c>
      <c r="V509" s="42">
        <v>8.0</v>
      </c>
      <c r="W509" s="42" t="s">
        <v>995</v>
      </c>
      <c r="X509" s="42" t="s">
        <v>995</v>
      </c>
      <c r="Y509" s="42" t="s">
        <v>995</v>
      </c>
    </row>
    <row r="510" ht="22.5" customHeight="1">
      <c r="A510" s="41"/>
      <c r="B510" s="41">
        <v>5614.0</v>
      </c>
      <c r="C510" s="41" t="s">
        <v>271</v>
      </c>
      <c r="D510" s="41" t="s">
        <v>3412</v>
      </c>
      <c r="E510" s="41" t="s">
        <v>3412</v>
      </c>
      <c r="F510" s="41" t="s">
        <v>271</v>
      </c>
      <c r="G510" s="41">
        <v>546.0</v>
      </c>
      <c r="H510" s="41" t="s">
        <v>3413</v>
      </c>
      <c r="I510" s="41"/>
      <c r="J510" s="41" t="s">
        <v>3413</v>
      </c>
      <c r="K510" s="42" t="s">
        <v>3414</v>
      </c>
      <c r="L510" s="42" t="s">
        <v>3415</v>
      </c>
      <c r="M510" s="42" t="s">
        <v>1043</v>
      </c>
      <c r="N510" s="42">
        <v>0.0</v>
      </c>
      <c r="O510" s="42">
        <v>1.0</v>
      </c>
      <c r="P510" s="42">
        <v>2.0</v>
      </c>
      <c r="Q510" s="42">
        <v>0.0</v>
      </c>
      <c r="R510" s="42">
        <v>2.0</v>
      </c>
      <c r="S510" s="42">
        <v>0.0</v>
      </c>
      <c r="T510" s="42" t="s">
        <v>3416</v>
      </c>
      <c r="U510" s="42">
        <v>1.0</v>
      </c>
      <c r="V510" s="42">
        <v>8.0</v>
      </c>
      <c r="W510" s="42" t="s">
        <v>995</v>
      </c>
      <c r="X510" s="42" t="s">
        <v>995</v>
      </c>
      <c r="Y510" s="42" t="s">
        <v>995</v>
      </c>
    </row>
    <row r="511" ht="22.5" customHeight="1">
      <c r="A511" s="41"/>
      <c r="B511" s="41">
        <v>5615.0</v>
      </c>
      <c r="C511" s="41" t="s">
        <v>271</v>
      </c>
      <c r="D511" s="41" t="s">
        <v>3417</v>
      </c>
      <c r="E511" s="41" t="s">
        <v>3417</v>
      </c>
      <c r="F511" s="41" t="s">
        <v>271</v>
      </c>
      <c r="G511" s="41">
        <v>547.0</v>
      </c>
      <c r="H511" s="41" t="s">
        <v>3418</v>
      </c>
      <c r="I511" s="41"/>
      <c r="J511" s="41" t="s">
        <v>3418</v>
      </c>
      <c r="K511" s="42" t="s">
        <v>3419</v>
      </c>
      <c r="L511" s="42" t="s">
        <v>3420</v>
      </c>
      <c r="M511" s="42" t="s">
        <v>1028</v>
      </c>
      <c r="N511" s="42">
        <v>0.0</v>
      </c>
      <c r="O511" s="42">
        <v>1.0</v>
      </c>
      <c r="P511" s="42">
        <v>2.0</v>
      </c>
      <c r="Q511" s="42">
        <v>0.0</v>
      </c>
      <c r="R511" s="42">
        <v>2.0</v>
      </c>
      <c r="S511" s="42">
        <v>0.0</v>
      </c>
      <c r="T511" s="42" t="s">
        <v>3421</v>
      </c>
      <c r="U511" s="42">
        <v>1.0</v>
      </c>
      <c r="V511" s="42">
        <v>8.0</v>
      </c>
      <c r="W511" s="42" t="s">
        <v>995</v>
      </c>
      <c r="X511" s="42" t="s">
        <v>995</v>
      </c>
      <c r="Y511" s="42" t="s">
        <v>995</v>
      </c>
    </row>
    <row r="512" ht="22.5" customHeight="1">
      <c r="A512" s="41"/>
      <c r="B512" s="41">
        <v>5616.0</v>
      </c>
      <c r="C512" s="41" t="s">
        <v>271</v>
      </c>
      <c r="D512" s="41" t="s">
        <v>3422</v>
      </c>
      <c r="E512" s="41" t="s">
        <v>3422</v>
      </c>
      <c r="F512" s="41" t="s">
        <v>271</v>
      </c>
      <c r="G512" s="41">
        <v>548.0</v>
      </c>
      <c r="H512" s="41" t="s">
        <v>3423</v>
      </c>
      <c r="I512" s="41"/>
      <c r="J512" s="41" t="s">
        <v>3423</v>
      </c>
      <c r="K512" s="42" t="s">
        <v>3424</v>
      </c>
      <c r="L512" s="42" t="s">
        <v>3425</v>
      </c>
      <c r="M512" s="42" t="s">
        <v>1043</v>
      </c>
      <c r="N512" s="42">
        <v>0.0</v>
      </c>
      <c r="O512" s="42">
        <v>1.0</v>
      </c>
      <c r="P512" s="42">
        <v>2.0</v>
      </c>
      <c r="Q512" s="42">
        <v>0.0</v>
      </c>
      <c r="R512" s="42">
        <v>2.0</v>
      </c>
      <c r="S512" s="42">
        <v>0.0</v>
      </c>
      <c r="T512" s="42" t="s">
        <v>3426</v>
      </c>
      <c r="U512" s="42">
        <v>1.0</v>
      </c>
      <c r="V512" s="42">
        <v>8.0</v>
      </c>
      <c r="W512" s="42" t="s">
        <v>995</v>
      </c>
      <c r="X512" s="42" t="s">
        <v>995</v>
      </c>
      <c r="Y512" s="42" t="s">
        <v>995</v>
      </c>
    </row>
    <row r="513" ht="22.5" customHeight="1">
      <c r="A513" s="41"/>
      <c r="B513" s="41">
        <v>5617.0</v>
      </c>
      <c r="C513" s="41" t="s">
        <v>271</v>
      </c>
      <c r="D513" s="41" t="s">
        <v>3427</v>
      </c>
      <c r="E513" s="41" t="s">
        <v>3427</v>
      </c>
      <c r="F513" s="41" t="s">
        <v>271</v>
      </c>
      <c r="G513" s="41">
        <v>549.0</v>
      </c>
      <c r="H513" s="41" t="s">
        <v>3428</v>
      </c>
      <c r="I513" s="41"/>
      <c r="J513" s="41" t="s">
        <v>3428</v>
      </c>
      <c r="K513" s="42" t="s">
        <v>3429</v>
      </c>
      <c r="L513" s="42" t="s">
        <v>3430</v>
      </c>
      <c r="M513" s="42" t="s">
        <v>1028</v>
      </c>
      <c r="N513" s="42">
        <v>0.0</v>
      </c>
      <c r="O513" s="42">
        <v>1.0</v>
      </c>
      <c r="P513" s="42">
        <v>2.0</v>
      </c>
      <c r="Q513" s="42">
        <v>0.0</v>
      </c>
      <c r="R513" s="42">
        <v>8.0</v>
      </c>
      <c r="S513" s="42">
        <v>0.0</v>
      </c>
      <c r="T513" s="42" t="s">
        <v>3431</v>
      </c>
      <c r="U513" s="42">
        <v>1.0</v>
      </c>
      <c r="V513" s="42">
        <v>8.0</v>
      </c>
      <c r="W513" s="42" t="s">
        <v>995</v>
      </c>
      <c r="X513" s="42" t="s">
        <v>995</v>
      </c>
      <c r="Y513" s="42" t="s">
        <v>995</v>
      </c>
    </row>
    <row r="514" ht="22.5" customHeight="1">
      <c r="A514" s="41"/>
      <c r="B514" s="41">
        <v>5620.0</v>
      </c>
      <c r="C514" s="41" t="s">
        <v>271</v>
      </c>
      <c r="D514" s="41" t="s">
        <v>3432</v>
      </c>
      <c r="E514" s="41" t="s">
        <v>3432</v>
      </c>
      <c r="F514" s="41" t="s">
        <v>271</v>
      </c>
      <c r="G514" s="41">
        <v>550.0</v>
      </c>
      <c r="H514" s="41" t="s">
        <v>3433</v>
      </c>
      <c r="I514" s="41"/>
      <c r="J514" s="41" t="s">
        <v>3433</v>
      </c>
      <c r="K514" s="42" t="s">
        <v>3434</v>
      </c>
      <c r="L514" s="42" t="s">
        <v>3435</v>
      </c>
      <c r="M514" s="42" t="s">
        <v>1043</v>
      </c>
      <c r="N514" s="42">
        <v>0.0</v>
      </c>
      <c r="O514" s="42">
        <v>1.0</v>
      </c>
      <c r="P514" s="42">
        <v>2.0</v>
      </c>
      <c r="Q514" s="42">
        <v>0.0</v>
      </c>
      <c r="R514" s="42">
        <v>2.0</v>
      </c>
      <c r="S514" s="42">
        <v>0.0</v>
      </c>
      <c r="T514" s="42" t="s">
        <v>3436</v>
      </c>
      <c r="U514" s="42">
        <v>1.0</v>
      </c>
      <c r="V514" s="42">
        <v>8.0</v>
      </c>
      <c r="W514" s="42" t="s">
        <v>995</v>
      </c>
      <c r="X514" s="42" t="s">
        <v>995</v>
      </c>
      <c r="Y514" s="42" t="s">
        <v>995</v>
      </c>
    </row>
    <row r="515" ht="22.5" customHeight="1">
      <c r="A515" s="41"/>
      <c r="B515" s="41">
        <v>5621.0</v>
      </c>
      <c r="C515" s="41" t="s">
        <v>271</v>
      </c>
      <c r="D515" s="41" t="s">
        <v>3437</v>
      </c>
      <c r="E515" s="41" t="s">
        <v>3437</v>
      </c>
      <c r="F515" s="41" t="s">
        <v>271</v>
      </c>
      <c r="G515" s="41">
        <v>551.0</v>
      </c>
      <c r="H515" s="41" t="s">
        <v>3438</v>
      </c>
      <c r="I515" s="41"/>
      <c r="J515" s="41" t="s">
        <v>3438</v>
      </c>
      <c r="K515" s="42" t="s">
        <v>3439</v>
      </c>
      <c r="L515" s="42" t="s">
        <v>3440</v>
      </c>
      <c r="M515" s="42" t="s">
        <v>1028</v>
      </c>
      <c r="N515" s="42">
        <v>0.0</v>
      </c>
      <c r="O515" s="42">
        <v>1.0</v>
      </c>
      <c r="P515" s="42">
        <v>2.0</v>
      </c>
      <c r="Q515" s="42">
        <v>0.0</v>
      </c>
      <c r="R515" s="42">
        <v>2.0</v>
      </c>
      <c r="S515" s="42">
        <v>0.0</v>
      </c>
      <c r="T515" s="42" t="s">
        <v>3441</v>
      </c>
      <c r="U515" s="42">
        <v>1.0</v>
      </c>
      <c r="V515" s="42">
        <v>3.0</v>
      </c>
      <c r="W515" s="42" t="s">
        <v>995</v>
      </c>
      <c r="X515" s="42" t="s">
        <v>995</v>
      </c>
      <c r="Y515" s="42" t="s">
        <v>995</v>
      </c>
    </row>
    <row r="516" ht="22.5" customHeight="1">
      <c r="A516" s="41"/>
      <c r="B516" s="41">
        <v>5622.0</v>
      </c>
      <c r="C516" s="41" t="s">
        <v>271</v>
      </c>
      <c r="D516" s="41" t="s">
        <v>3442</v>
      </c>
      <c r="E516" s="41" t="s">
        <v>3442</v>
      </c>
      <c r="F516" s="41" t="s">
        <v>271</v>
      </c>
      <c r="G516" s="41">
        <v>552.0</v>
      </c>
      <c r="H516" s="41" t="s">
        <v>3443</v>
      </c>
      <c r="I516" s="41"/>
      <c r="J516" s="41" t="s">
        <v>3443</v>
      </c>
      <c r="K516" s="42" t="s">
        <v>3444</v>
      </c>
      <c r="L516" s="42" t="s">
        <v>3445</v>
      </c>
      <c r="M516" s="42" t="s">
        <v>1043</v>
      </c>
      <c r="N516" s="42">
        <v>0.0</v>
      </c>
      <c r="O516" s="42">
        <v>1.0</v>
      </c>
      <c r="P516" s="42">
        <v>2.0</v>
      </c>
      <c r="Q516" s="42">
        <v>0.0</v>
      </c>
      <c r="R516" s="42">
        <v>2.0</v>
      </c>
      <c r="S516" s="42">
        <v>0.0</v>
      </c>
      <c r="T516" s="42" t="s">
        <v>3446</v>
      </c>
      <c r="U516" s="42">
        <v>1.0</v>
      </c>
      <c r="V516" s="42">
        <v>8.0</v>
      </c>
      <c r="W516" s="42" t="s">
        <v>995</v>
      </c>
      <c r="X516" s="42" t="s">
        <v>995</v>
      </c>
      <c r="Y516" s="42" t="s">
        <v>995</v>
      </c>
    </row>
    <row r="517" ht="22.5" customHeight="1">
      <c r="A517" s="41"/>
      <c r="B517" s="41">
        <v>5623.0</v>
      </c>
      <c r="C517" s="41" t="s">
        <v>271</v>
      </c>
      <c r="D517" s="41" t="s">
        <v>3447</v>
      </c>
      <c r="E517" s="41" t="s">
        <v>3447</v>
      </c>
      <c r="F517" s="41" t="s">
        <v>271</v>
      </c>
      <c r="G517" s="41">
        <v>553.0</v>
      </c>
      <c r="H517" s="41" t="s">
        <v>3448</v>
      </c>
      <c r="I517" s="41"/>
      <c r="J517" s="41" t="s">
        <v>3448</v>
      </c>
      <c r="K517" s="42" t="s">
        <v>3449</v>
      </c>
      <c r="L517" s="42" t="s">
        <v>3450</v>
      </c>
      <c r="M517" s="42" t="s">
        <v>1028</v>
      </c>
      <c r="N517" s="42">
        <v>0.0</v>
      </c>
      <c r="O517" s="42">
        <v>1.0</v>
      </c>
      <c r="P517" s="42">
        <v>2.0</v>
      </c>
      <c r="Q517" s="42">
        <v>0.0</v>
      </c>
      <c r="R517" s="42">
        <v>2.0</v>
      </c>
      <c r="S517" s="42">
        <v>0.0</v>
      </c>
      <c r="T517" s="42" t="s">
        <v>3451</v>
      </c>
      <c r="U517" s="42">
        <v>1.0</v>
      </c>
      <c r="V517" s="42">
        <v>8.0</v>
      </c>
      <c r="W517" s="42" t="s">
        <v>995</v>
      </c>
      <c r="X517" s="42" t="s">
        <v>995</v>
      </c>
      <c r="Y517" s="42" t="s">
        <v>995</v>
      </c>
    </row>
    <row r="518" ht="22.5" customHeight="1">
      <c r="A518" s="41"/>
      <c r="B518" s="41">
        <v>5624.0</v>
      </c>
      <c r="C518" s="41" t="s">
        <v>271</v>
      </c>
      <c r="D518" s="41" t="s">
        <v>3452</v>
      </c>
      <c r="E518" s="41" t="s">
        <v>3452</v>
      </c>
      <c r="F518" s="41" t="s">
        <v>271</v>
      </c>
      <c r="G518" s="41">
        <v>554.0</v>
      </c>
      <c r="H518" s="41" t="s">
        <v>3453</v>
      </c>
      <c r="I518" s="41"/>
      <c r="J518" s="41" t="s">
        <v>3453</v>
      </c>
      <c r="K518" s="42" t="s">
        <v>3454</v>
      </c>
      <c r="L518" s="42" t="s">
        <v>3455</v>
      </c>
      <c r="M518" s="42" t="s">
        <v>1043</v>
      </c>
      <c r="N518" s="42">
        <v>0.0</v>
      </c>
      <c r="O518" s="42">
        <v>1.0</v>
      </c>
      <c r="P518" s="42">
        <v>2.0</v>
      </c>
      <c r="Q518" s="42">
        <v>0.0</v>
      </c>
      <c r="R518" s="42">
        <v>2.0</v>
      </c>
      <c r="S518" s="42">
        <v>0.0</v>
      </c>
      <c r="T518" s="42" t="s">
        <v>3456</v>
      </c>
      <c r="U518" s="42">
        <v>1.0</v>
      </c>
      <c r="V518" s="42">
        <v>8.0</v>
      </c>
      <c r="W518" s="42" t="s">
        <v>995</v>
      </c>
      <c r="X518" s="42" t="s">
        <v>995</v>
      </c>
      <c r="Y518" s="42" t="s">
        <v>995</v>
      </c>
    </row>
    <row r="519" ht="22.5" customHeight="1">
      <c r="A519" s="41"/>
      <c r="B519" s="41">
        <v>5625.0</v>
      </c>
      <c r="C519" s="41" t="s">
        <v>271</v>
      </c>
      <c r="D519" s="41" t="s">
        <v>3457</v>
      </c>
      <c r="E519" s="41" t="s">
        <v>3457</v>
      </c>
      <c r="F519" s="41" t="s">
        <v>271</v>
      </c>
      <c r="G519" s="41">
        <v>555.0</v>
      </c>
      <c r="H519" s="41" t="s">
        <v>3458</v>
      </c>
      <c r="I519" s="41"/>
      <c r="J519" s="41" t="s">
        <v>3458</v>
      </c>
      <c r="K519" s="42" t="s">
        <v>3459</v>
      </c>
      <c r="L519" s="42" t="s">
        <v>3460</v>
      </c>
      <c r="M519" s="42" t="s">
        <v>1028</v>
      </c>
      <c r="N519" s="42">
        <v>0.0</v>
      </c>
      <c r="O519" s="42">
        <v>1.0</v>
      </c>
      <c r="P519" s="42">
        <v>2.0</v>
      </c>
      <c r="Q519" s="42">
        <v>0.0</v>
      </c>
      <c r="R519" s="42">
        <v>1.0</v>
      </c>
      <c r="S519" s="42">
        <v>0.0</v>
      </c>
      <c r="T519" s="42" t="s">
        <v>3461</v>
      </c>
      <c r="U519" s="42">
        <v>1.0</v>
      </c>
      <c r="V519" s="42">
        <v>8.0</v>
      </c>
      <c r="W519" s="42" t="s">
        <v>995</v>
      </c>
      <c r="X519" s="42" t="s">
        <v>995</v>
      </c>
      <c r="Y519" s="42" t="s">
        <v>995</v>
      </c>
    </row>
    <row r="520" ht="22.5" customHeight="1">
      <c r="A520" s="41"/>
      <c r="B520" s="41">
        <v>5626.0</v>
      </c>
      <c r="C520" s="41" t="s">
        <v>271</v>
      </c>
      <c r="D520" s="41" t="s">
        <v>3462</v>
      </c>
      <c r="E520" s="41" t="s">
        <v>3462</v>
      </c>
      <c r="F520" s="41" t="s">
        <v>271</v>
      </c>
      <c r="G520" s="41">
        <v>556.0</v>
      </c>
      <c r="H520" s="41" t="s">
        <v>3463</v>
      </c>
      <c r="I520" s="41"/>
      <c r="J520" s="41" t="s">
        <v>3463</v>
      </c>
      <c r="K520" s="42" t="s">
        <v>3464</v>
      </c>
      <c r="L520" s="42" t="s">
        <v>3465</v>
      </c>
      <c r="M520" s="42" t="s">
        <v>1028</v>
      </c>
      <c r="N520" s="42">
        <v>0.0</v>
      </c>
      <c r="O520" s="42">
        <v>1.0</v>
      </c>
      <c r="P520" s="42">
        <v>2.0</v>
      </c>
      <c r="Q520" s="42">
        <v>0.0</v>
      </c>
      <c r="R520" s="42">
        <v>1.0</v>
      </c>
      <c r="S520" s="42">
        <v>0.0</v>
      </c>
      <c r="T520" s="42" t="s">
        <v>3466</v>
      </c>
      <c r="U520" s="42">
        <v>1.0</v>
      </c>
      <c r="V520" s="42">
        <v>6.0</v>
      </c>
      <c r="W520" s="42" t="s">
        <v>995</v>
      </c>
      <c r="X520" s="42" t="s">
        <v>995</v>
      </c>
      <c r="Y520" s="42" t="s">
        <v>995</v>
      </c>
    </row>
    <row r="521" ht="22.5" customHeight="1">
      <c r="A521" s="41"/>
      <c r="B521" s="41">
        <v>5627.0</v>
      </c>
      <c r="C521" s="41" t="s">
        <v>271</v>
      </c>
      <c r="D521" s="41" t="s">
        <v>3467</v>
      </c>
      <c r="E521" s="41" t="s">
        <v>3467</v>
      </c>
      <c r="F521" s="41" t="s">
        <v>271</v>
      </c>
      <c r="G521" s="41">
        <v>557.0</v>
      </c>
      <c r="H521" s="41" t="s">
        <v>3468</v>
      </c>
      <c r="I521" s="41"/>
      <c r="J521" s="41" t="s">
        <v>3468</v>
      </c>
      <c r="K521" s="42" t="s">
        <v>3469</v>
      </c>
      <c r="L521" s="42" t="s">
        <v>3470</v>
      </c>
      <c r="M521" s="42" t="s">
        <v>1028</v>
      </c>
      <c r="N521" s="42">
        <v>0.0</v>
      </c>
      <c r="O521" s="42">
        <v>1.0</v>
      </c>
      <c r="P521" s="42">
        <v>2.0</v>
      </c>
      <c r="Q521" s="42">
        <v>0.0</v>
      </c>
      <c r="R521" s="42">
        <v>1.0</v>
      </c>
      <c r="S521" s="42">
        <v>0.0</v>
      </c>
      <c r="T521" s="42" t="s">
        <v>3471</v>
      </c>
      <c r="U521" s="42">
        <v>1.0</v>
      </c>
      <c r="V521" s="42">
        <v>6.0</v>
      </c>
      <c r="W521" s="42" t="s">
        <v>995</v>
      </c>
      <c r="X521" s="42" t="s">
        <v>995</v>
      </c>
      <c r="Y521" s="42" t="s">
        <v>995</v>
      </c>
    </row>
    <row r="522" ht="22.5" customHeight="1">
      <c r="A522" s="41"/>
      <c r="B522" s="41">
        <v>5628.0</v>
      </c>
      <c r="C522" s="41" t="s">
        <v>271</v>
      </c>
      <c r="D522" s="41" t="s">
        <v>3472</v>
      </c>
      <c r="E522" s="41" t="s">
        <v>3472</v>
      </c>
      <c r="F522" s="41" t="s">
        <v>271</v>
      </c>
      <c r="G522" s="41">
        <v>558.0</v>
      </c>
      <c r="H522" s="41" t="s">
        <v>3473</v>
      </c>
      <c r="I522" s="41"/>
      <c r="J522" s="41" t="s">
        <v>3473</v>
      </c>
      <c r="K522" s="42" t="s">
        <v>3474</v>
      </c>
      <c r="L522" s="42" t="s">
        <v>3475</v>
      </c>
      <c r="M522" s="42" t="s">
        <v>1028</v>
      </c>
      <c r="N522" s="42">
        <v>0.0</v>
      </c>
      <c r="O522" s="42">
        <v>1.0</v>
      </c>
      <c r="P522" s="42">
        <v>2.0</v>
      </c>
      <c r="Q522" s="42">
        <v>0.0</v>
      </c>
      <c r="R522" s="42">
        <v>1.0</v>
      </c>
      <c r="S522" s="42">
        <v>0.0</v>
      </c>
      <c r="T522" s="42" t="s">
        <v>3476</v>
      </c>
      <c r="U522" s="42">
        <v>1.0</v>
      </c>
      <c r="V522" s="42">
        <v>8.0</v>
      </c>
      <c r="W522" s="42" t="s">
        <v>995</v>
      </c>
      <c r="X522" s="42" t="s">
        <v>995</v>
      </c>
      <c r="Y522" s="42" t="s">
        <v>995</v>
      </c>
    </row>
    <row r="523" ht="22.5" customHeight="1">
      <c r="A523" s="41"/>
      <c r="B523" s="41">
        <v>5629.0</v>
      </c>
      <c r="C523" s="41" t="s">
        <v>271</v>
      </c>
      <c r="D523" s="41" t="s">
        <v>3477</v>
      </c>
      <c r="E523" s="41" t="s">
        <v>3477</v>
      </c>
      <c r="F523" s="41" t="s">
        <v>271</v>
      </c>
      <c r="G523" s="41">
        <v>559.0</v>
      </c>
      <c r="H523" s="41" t="s">
        <v>3478</v>
      </c>
      <c r="I523" s="41"/>
      <c r="J523" s="41" t="s">
        <v>3478</v>
      </c>
      <c r="K523" s="42" t="s">
        <v>3479</v>
      </c>
      <c r="L523" s="42" t="s">
        <v>3480</v>
      </c>
      <c r="M523" s="42" t="s">
        <v>1028</v>
      </c>
      <c r="N523" s="42">
        <v>0.0</v>
      </c>
      <c r="O523" s="42">
        <v>1.0</v>
      </c>
      <c r="P523" s="42">
        <v>2.0</v>
      </c>
      <c r="Q523" s="42">
        <v>0.0</v>
      </c>
      <c r="R523" s="42">
        <v>1.0</v>
      </c>
      <c r="S523" s="42">
        <v>0.0</v>
      </c>
      <c r="T523" s="42" t="s">
        <v>3481</v>
      </c>
      <c r="U523" s="42">
        <v>1.0</v>
      </c>
      <c r="V523" s="42">
        <v>8.0</v>
      </c>
      <c r="W523" s="42" t="s">
        <v>995</v>
      </c>
      <c r="X523" s="42" t="s">
        <v>995</v>
      </c>
      <c r="Y523" s="42" t="s">
        <v>995</v>
      </c>
    </row>
    <row r="524" ht="22.5" customHeight="1">
      <c r="A524" s="41"/>
      <c r="B524" s="41">
        <v>5630.0</v>
      </c>
      <c r="C524" s="41" t="s">
        <v>271</v>
      </c>
      <c r="D524" s="41" t="s">
        <v>3482</v>
      </c>
      <c r="E524" s="41" t="s">
        <v>3482</v>
      </c>
      <c r="F524" s="41" t="s">
        <v>271</v>
      </c>
      <c r="G524" s="41">
        <v>560.0</v>
      </c>
      <c r="H524" s="41" t="s">
        <v>3483</v>
      </c>
      <c r="I524" s="41"/>
      <c r="J524" s="41" t="s">
        <v>3483</v>
      </c>
      <c r="K524" s="42" t="s">
        <v>3484</v>
      </c>
      <c r="L524" s="42" t="s">
        <v>3485</v>
      </c>
      <c r="M524" s="42" t="s">
        <v>1043</v>
      </c>
      <c r="N524" s="42">
        <v>0.0</v>
      </c>
      <c r="O524" s="42">
        <v>1.0</v>
      </c>
      <c r="P524" s="42">
        <v>2.0</v>
      </c>
      <c r="Q524" s="42">
        <v>0.0</v>
      </c>
      <c r="R524" s="42">
        <v>1.0</v>
      </c>
      <c r="S524" s="42">
        <v>0.0</v>
      </c>
      <c r="T524" s="42" t="s">
        <v>3486</v>
      </c>
      <c r="U524" s="42">
        <v>1.0</v>
      </c>
      <c r="V524" s="42">
        <v>8.0</v>
      </c>
      <c r="W524" s="42" t="s">
        <v>995</v>
      </c>
      <c r="X524" s="42" t="s">
        <v>995</v>
      </c>
      <c r="Y524" s="42" t="s">
        <v>995</v>
      </c>
    </row>
    <row r="525" ht="22.5" customHeight="1">
      <c r="A525" s="41"/>
      <c r="B525" s="41">
        <v>5631.0</v>
      </c>
      <c r="C525" s="41" t="s">
        <v>271</v>
      </c>
      <c r="D525" s="41" t="s">
        <v>3487</v>
      </c>
      <c r="E525" s="41" t="s">
        <v>3487</v>
      </c>
      <c r="F525" s="41" t="s">
        <v>271</v>
      </c>
      <c r="G525" s="41">
        <v>561.0</v>
      </c>
      <c r="H525" s="41" t="s">
        <v>3488</v>
      </c>
      <c r="I525" s="41"/>
      <c r="J525" s="41" t="s">
        <v>3488</v>
      </c>
      <c r="K525" s="42" t="s">
        <v>3489</v>
      </c>
      <c r="L525" s="42" t="s">
        <v>3490</v>
      </c>
      <c r="M525" s="42" t="s">
        <v>1028</v>
      </c>
      <c r="N525" s="42">
        <v>0.0</v>
      </c>
      <c r="O525" s="42">
        <v>1.0</v>
      </c>
      <c r="P525" s="42">
        <v>2.0</v>
      </c>
      <c r="Q525" s="42">
        <v>0.0</v>
      </c>
      <c r="R525" s="42">
        <v>1.0</v>
      </c>
      <c r="S525" s="42">
        <v>0.0</v>
      </c>
      <c r="T525" s="42" t="s">
        <v>3491</v>
      </c>
      <c r="U525" s="42">
        <v>1.0</v>
      </c>
      <c r="V525" s="42">
        <v>8.0</v>
      </c>
      <c r="W525" s="42">
        <v>0.0</v>
      </c>
      <c r="X525" s="42">
        <v>100.0</v>
      </c>
      <c r="Y525" s="42">
        <v>0.0</v>
      </c>
    </row>
    <row r="526" ht="22.5" customHeight="1">
      <c r="A526" s="41"/>
      <c r="B526" s="41">
        <v>5632.0</v>
      </c>
      <c r="C526" s="41" t="s">
        <v>271</v>
      </c>
      <c r="D526" s="41" t="s">
        <v>3492</v>
      </c>
      <c r="E526" s="41" t="s">
        <v>3492</v>
      </c>
      <c r="F526" s="41" t="s">
        <v>271</v>
      </c>
      <c r="G526" s="41">
        <v>562.0</v>
      </c>
      <c r="H526" s="41" t="s">
        <v>3492</v>
      </c>
      <c r="I526" s="41"/>
      <c r="J526" s="41" t="s">
        <v>3492</v>
      </c>
      <c r="K526" s="42" t="s">
        <v>3493</v>
      </c>
      <c r="L526" s="42" t="s">
        <v>3494</v>
      </c>
      <c r="M526" s="42" t="s">
        <v>962</v>
      </c>
      <c r="N526" s="42">
        <v>0.0</v>
      </c>
      <c r="O526" s="42">
        <v>0.0</v>
      </c>
      <c r="P526" s="42">
        <v>2.0</v>
      </c>
      <c r="Q526" s="42">
        <v>0.0</v>
      </c>
      <c r="R526" s="42">
        <v>0.0</v>
      </c>
      <c r="S526" s="42">
        <v>1.0</v>
      </c>
      <c r="T526" s="42" t="s">
        <v>3495</v>
      </c>
      <c r="U526" s="42">
        <v>1.0</v>
      </c>
      <c r="V526" s="42">
        <v>8.0</v>
      </c>
      <c r="W526" s="42" t="s">
        <v>995</v>
      </c>
      <c r="X526" s="42" t="s">
        <v>995</v>
      </c>
      <c r="Y526" s="42" t="s">
        <v>995</v>
      </c>
    </row>
    <row r="527" ht="22.5" customHeight="1">
      <c r="A527" s="41"/>
      <c r="B527" s="41">
        <v>5634.0</v>
      </c>
      <c r="C527" s="41" t="s">
        <v>271</v>
      </c>
      <c r="D527" s="41" t="s">
        <v>3496</v>
      </c>
      <c r="E527" s="41" t="s">
        <v>3496</v>
      </c>
      <c r="F527" s="41" t="s">
        <v>271</v>
      </c>
      <c r="G527" s="41">
        <v>563.0</v>
      </c>
      <c r="H527" s="41" t="s">
        <v>3497</v>
      </c>
      <c r="I527" s="41"/>
      <c r="J527" s="41" t="s">
        <v>3497</v>
      </c>
      <c r="K527" s="42" t="s">
        <v>3498</v>
      </c>
      <c r="L527" s="42" t="s">
        <v>3499</v>
      </c>
      <c r="M527" s="42" t="s">
        <v>1043</v>
      </c>
      <c r="N527" s="42">
        <v>0.0</v>
      </c>
      <c r="O527" s="42">
        <v>1.0</v>
      </c>
      <c r="P527" s="42">
        <v>2.0</v>
      </c>
      <c r="Q527" s="42">
        <v>0.0</v>
      </c>
      <c r="R527" s="42">
        <v>1.0</v>
      </c>
      <c r="S527" s="42">
        <v>0.0</v>
      </c>
      <c r="T527" s="42" t="s">
        <v>3500</v>
      </c>
      <c r="U527" s="42">
        <v>1.0</v>
      </c>
      <c r="V527" s="42">
        <v>8.0</v>
      </c>
      <c r="W527" s="42" t="s">
        <v>995</v>
      </c>
      <c r="X527" s="42" t="s">
        <v>995</v>
      </c>
      <c r="Y527" s="42" t="s">
        <v>995</v>
      </c>
    </row>
    <row r="528" ht="22.5" customHeight="1">
      <c r="A528" s="41"/>
      <c r="B528" s="41">
        <v>5635.0</v>
      </c>
      <c r="C528" s="41" t="s">
        <v>271</v>
      </c>
      <c r="D528" s="41" t="s">
        <v>3501</v>
      </c>
      <c r="E528" s="41" t="s">
        <v>3501</v>
      </c>
      <c r="F528" s="41" t="s">
        <v>271</v>
      </c>
      <c r="G528" s="41">
        <v>564.0</v>
      </c>
      <c r="H528" s="41" t="s">
        <v>3502</v>
      </c>
      <c r="I528" s="41"/>
      <c r="J528" s="41" t="s">
        <v>3502</v>
      </c>
      <c r="K528" s="42" t="s">
        <v>3503</v>
      </c>
      <c r="L528" s="42" t="s">
        <v>3504</v>
      </c>
      <c r="M528" s="42" t="s">
        <v>1028</v>
      </c>
      <c r="N528" s="42">
        <v>0.0</v>
      </c>
      <c r="O528" s="42">
        <v>1.0</v>
      </c>
      <c r="P528" s="42">
        <v>2.0</v>
      </c>
      <c r="Q528" s="42">
        <v>0.0</v>
      </c>
      <c r="R528" s="42">
        <v>1.0</v>
      </c>
      <c r="S528" s="42">
        <v>0.0</v>
      </c>
      <c r="T528" s="42" t="s">
        <v>3505</v>
      </c>
      <c r="U528" s="42">
        <v>1.0</v>
      </c>
      <c r="V528" s="42">
        <v>8.0</v>
      </c>
      <c r="W528" s="42" t="s">
        <v>995</v>
      </c>
      <c r="X528" s="42" t="s">
        <v>995</v>
      </c>
      <c r="Y528" s="42" t="s">
        <v>995</v>
      </c>
    </row>
    <row r="529" ht="22.5" customHeight="1">
      <c r="A529" s="41"/>
      <c r="B529" s="41">
        <v>5636.0</v>
      </c>
      <c r="C529" s="41" t="s">
        <v>271</v>
      </c>
      <c r="D529" s="41" t="s">
        <v>3506</v>
      </c>
      <c r="E529" s="41" t="s">
        <v>3506</v>
      </c>
      <c r="F529" s="41" t="s">
        <v>271</v>
      </c>
      <c r="G529" s="41">
        <v>565.0</v>
      </c>
      <c r="H529" s="41" t="s">
        <v>3507</v>
      </c>
      <c r="I529" s="41"/>
      <c r="J529" s="41" t="s">
        <v>3507</v>
      </c>
      <c r="K529" s="42" t="s">
        <v>3508</v>
      </c>
      <c r="L529" s="42" t="s">
        <v>3509</v>
      </c>
      <c r="M529" s="42" t="s">
        <v>1043</v>
      </c>
      <c r="N529" s="42">
        <v>0.0</v>
      </c>
      <c r="O529" s="42">
        <v>1.0</v>
      </c>
      <c r="P529" s="42">
        <v>2.0</v>
      </c>
      <c r="Q529" s="42">
        <v>0.0</v>
      </c>
      <c r="R529" s="42">
        <v>1.0</v>
      </c>
      <c r="S529" s="42">
        <v>0.0</v>
      </c>
      <c r="T529" s="42" t="s">
        <v>3510</v>
      </c>
      <c r="U529" s="42">
        <v>1.0</v>
      </c>
      <c r="V529" s="42">
        <v>8.0</v>
      </c>
      <c r="W529" s="42" t="s">
        <v>995</v>
      </c>
      <c r="X529" s="42" t="s">
        <v>995</v>
      </c>
      <c r="Y529" s="42" t="s">
        <v>995</v>
      </c>
    </row>
    <row r="530" ht="22.5" customHeight="1">
      <c r="A530" s="41"/>
      <c r="B530" s="41">
        <v>5637.0</v>
      </c>
      <c r="C530" s="41" t="s">
        <v>271</v>
      </c>
      <c r="D530" s="41" t="s">
        <v>2070</v>
      </c>
      <c r="E530" s="41" t="s">
        <v>2070</v>
      </c>
      <c r="F530" s="41" t="s">
        <v>271</v>
      </c>
      <c r="G530" s="41">
        <v>566.0</v>
      </c>
      <c r="H530" s="41" t="s">
        <v>2070</v>
      </c>
      <c r="I530" s="41"/>
      <c r="J530" s="41" t="s">
        <v>2070</v>
      </c>
      <c r="K530" s="42" t="s">
        <v>2071</v>
      </c>
      <c r="L530" s="42" t="s">
        <v>3511</v>
      </c>
      <c r="M530" s="42" t="s">
        <v>962</v>
      </c>
      <c r="N530" s="42">
        <v>0.0</v>
      </c>
      <c r="O530" s="42">
        <v>1.0</v>
      </c>
      <c r="P530" s="42">
        <v>2.0</v>
      </c>
      <c r="Q530" s="42">
        <v>0.0</v>
      </c>
      <c r="R530" s="42">
        <v>0.0</v>
      </c>
      <c r="S530" s="42">
        <v>1.0</v>
      </c>
      <c r="T530" s="42" t="s">
        <v>3512</v>
      </c>
      <c r="U530" s="42">
        <v>1.0</v>
      </c>
      <c r="V530" s="42">
        <v>8.0</v>
      </c>
      <c r="W530" s="42" t="s">
        <v>995</v>
      </c>
      <c r="X530" s="42" t="s">
        <v>995</v>
      </c>
      <c r="Y530" s="42" t="s">
        <v>995</v>
      </c>
    </row>
    <row r="531" ht="22.5" customHeight="1">
      <c r="A531" s="41"/>
      <c r="B531" s="41">
        <v>5638.0</v>
      </c>
      <c r="C531" s="41" t="s">
        <v>271</v>
      </c>
      <c r="D531" s="41" t="s">
        <v>3513</v>
      </c>
      <c r="E531" s="41" t="s">
        <v>3513</v>
      </c>
      <c r="F531" s="41" t="s">
        <v>271</v>
      </c>
      <c r="G531" s="41">
        <v>567.0</v>
      </c>
      <c r="H531" s="41" t="s">
        <v>3514</v>
      </c>
      <c r="I531" s="41"/>
      <c r="J531" s="41" t="s">
        <v>3514</v>
      </c>
      <c r="K531" s="42" t="s">
        <v>3515</v>
      </c>
      <c r="L531" s="42" t="s">
        <v>3516</v>
      </c>
      <c r="M531" s="42" t="s">
        <v>1028</v>
      </c>
      <c r="N531" s="42">
        <v>0.0</v>
      </c>
      <c r="O531" s="42">
        <v>1.0</v>
      </c>
      <c r="P531" s="42">
        <v>2.0</v>
      </c>
      <c r="Q531" s="42">
        <v>0.0</v>
      </c>
      <c r="R531" s="42">
        <v>1.0</v>
      </c>
      <c r="S531" s="42">
        <v>0.0</v>
      </c>
      <c r="T531" s="42" t="s">
        <v>3517</v>
      </c>
      <c r="U531" s="42">
        <v>1.0</v>
      </c>
      <c r="V531" s="42">
        <v>8.0</v>
      </c>
      <c r="W531" s="42" t="s">
        <v>995</v>
      </c>
      <c r="X531" s="42" t="s">
        <v>995</v>
      </c>
      <c r="Y531" s="42" t="s">
        <v>995</v>
      </c>
    </row>
    <row r="532" ht="22.5" customHeight="1">
      <c r="A532" s="41"/>
      <c r="B532" s="41">
        <v>5639.0</v>
      </c>
      <c r="C532" s="41" t="s">
        <v>271</v>
      </c>
      <c r="D532" s="41" t="s">
        <v>3518</v>
      </c>
      <c r="E532" s="41" t="s">
        <v>3518</v>
      </c>
      <c r="F532" s="41" t="s">
        <v>271</v>
      </c>
      <c r="G532" s="41">
        <v>568.0</v>
      </c>
      <c r="H532" s="41" t="s">
        <v>3518</v>
      </c>
      <c r="I532" s="41"/>
      <c r="J532" s="41" t="s">
        <v>3518</v>
      </c>
      <c r="K532" s="42" t="s">
        <v>3519</v>
      </c>
      <c r="L532" s="42" t="s">
        <v>3520</v>
      </c>
      <c r="M532" s="42" t="s">
        <v>962</v>
      </c>
      <c r="N532" s="42">
        <v>0.0</v>
      </c>
      <c r="O532" s="42">
        <v>1.0</v>
      </c>
      <c r="P532" s="42">
        <v>2.0</v>
      </c>
      <c r="Q532" s="42">
        <v>0.0</v>
      </c>
      <c r="R532" s="42">
        <v>0.0</v>
      </c>
      <c r="S532" s="42">
        <v>1.0</v>
      </c>
      <c r="T532" s="42" t="s">
        <v>3521</v>
      </c>
      <c r="U532" s="42">
        <v>1.0</v>
      </c>
      <c r="V532" s="42">
        <v>8.0</v>
      </c>
      <c r="W532" s="42" t="s">
        <v>995</v>
      </c>
      <c r="X532" s="42" t="s">
        <v>995</v>
      </c>
      <c r="Y532" s="42" t="s">
        <v>995</v>
      </c>
    </row>
    <row r="533" ht="22.5" customHeight="1">
      <c r="A533" s="41"/>
      <c r="B533" s="41">
        <v>5640.0</v>
      </c>
      <c r="C533" s="41" t="s">
        <v>271</v>
      </c>
      <c r="D533" s="41" t="s">
        <v>3522</v>
      </c>
      <c r="E533" s="41" t="s">
        <v>3522</v>
      </c>
      <c r="F533" s="41" t="s">
        <v>271</v>
      </c>
      <c r="G533" s="41">
        <v>569.0</v>
      </c>
      <c r="H533" s="41" t="s">
        <v>3522</v>
      </c>
      <c r="I533" s="41"/>
      <c r="J533" s="41" t="s">
        <v>3522</v>
      </c>
      <c r="K533" s="42" t="s">
        <v>3523</v>
      </c>
      <c r="L533" s="42" t="s">
        <v>3524</v>
      </c>
      <c r="M533" s="42" t="s">
        <v>962</v>
      </c>
      <c r="N533" s="42">
        <v>0.0</v>
      </c>
      <c r="O533" s="42">
        <v>1.0</v>
      </c>
      <c r="P533" s="42">
        <v>2.0</v>
      </c>
      <c r="Q533" s="42">
        <v>0.0</v>
      </c>
      <c r="R533" s="42">
        <v>0.0</v>
      </c>
      <c r="S533" s="42">
        <v>1.0</v>
      </c>
      <c r="T533" s="42" t="s">
        <v>3525</v>
      </c>
      <c r="U533" s="42">
        <v>1.0</v>
      </c>
      <c r="V533" s="42">
        <v>8.0</v>
      </c>
      <c r="W533" s="42" t="s">
        <v>995</v>
      </c>
      <c r="X533" s="42" t="s">
        <v>995</v>
      </c>
      <c r="Y533" s="42" t="s">
        <v>995</v>
      </c>
    </row>
    <row r="534" ht="22.5" customHeight="1">
      <c r="A534" s="41"/>
      <c r="B534" s="41">
        <v>5641.0</v>
      </c>
      <c r="C534" s="41" t="s">
        <v>271</v>
      </c>
      <c r="D534" s="41" t="s">
        <v>3526</v>
      </c>
      <c r="E534" s="41" t="s">
        <v>3526</v>
      </c>
      <c r="F534" s="41" t="s">
        <v>271</v>
      </c>
      <c r="G534" s="41">
        <v>570.0</v>
      </c>
      <c r="H534" s="41" t="s">
        <v>3526</v>
      </c>
      <c r="I534" s="41"/>
      <c r="J534" s="41" t="s">
        <v>3526</v>
      </c>
      <c r="K534" s="42" t="s">
        <v>3527</v>
      </c>
      <c r="L534" s="42" t="s">
        <v>3528</v>
      </c>
      <c r="M534" s="42" t="s">
        <v>962</v>
      </c>
      <c r="N534" s="42">
        <v>0.0</v>
      </c>
      <c r="O534" s="42">
        <v>1.0</v>
      </c>
      <c r="P534" s="42">
        <v>2.0</v>
      </c>
      <c r="Q534" s="42">
        <v>0.0</v>
      </c>
      <c r="R534" s="42">
        <v>0.0</v>
      </c>
      <c r="S534" s="42">
        <v>1.0</v>
      </c>
      <c r="T534" s="42" t="s">
        <v>3529</v>
      </c>
      <c r="U534" s="42">
        <v>1.0</v>
      </c>
      <c r="V534" s="42">
        <v>8.0</v>
      </c>
      <c r="W534" s="42" t="s">
        <v>995</v>
      </c>
      <c r="X534" s="42" t="s">
        <v>995</v>
      </c>
      <c r="Y534" s="42" t="s">
        <v>995</v>
      </c>
    </row>
    <row r="535" ht="22.5" customHeight="1">
      <c r="A535" s="41"/>
      <c r="B535" s="41">
        <v>5642.0</v>
      </c>
      <c r="C535" s="41" t="s">
        <v>271</v>
      </c>
      <c r="D535" s="41" t="s">
        <v>3530</v>
      </c>
      <c r="E535" s="41" t="s">
        <v>3530</v>
      </c>
      <c r="F535" s="41" t="s">
        <v>271</v>
      </c>
      <c r="G535" s="41">
        <v>571.0</v>
      </c>
      <c r="H535" s="41" t="s">
        <v>3530</v>
      </c>
      <c r="I535" s="41"/>
      <c r="J535" s="41" t="s">
        <v>3530</v>
      </c>
      <c r="K535" s="42" t="s">
        <v>3531</v>
      </c>
      <c r="L535" s="42" t="s">
        <v>3532</v>
      </c>
      <c r="M535" s="42" t="s">
        <v>962</v>
      </c>
      <c r="N535" s="42">
        <v>0.0</v>
      </c>
      <c r="O535" s="42">
        <v>1.0</v>
      </c>
      <c r="P535" s="42">
        <v>2.0</v>
      </c>
      <c r="Q535" s="42">
        <v>0.0</v>
      </c>
      <c r="R535" s="42">
        <v>0.0</v>
      </c>
      <c r="S535" s="42">
        <v>1.0</v>
      </c>
      <c r="T535" s="42" t="s">
        <v>3533</v>
      </c>
      <c r="U535" s="42">
        <v>1.0</v>
      </c>
      <c r="V535" s="42">
        <v>8.0</v>
      </c>
      <c r="W535" s="42" t="s">
        <v>995</v>
      </c>
      <c r="X535" s="42" t="s">
        <v>995</v>
      </c>
      <c r="Y535" s="42" t="s">
        <v>995</v>
      </c>
    </row>
    <row r="536" ht="22.5" customHeight="1">
      <c r="A536" s="41"/>
      <c r="B536" s="41">
        <v>5643.0</v>
      </c>
      <c r="C536" s="41" t="s">
        <v>271</v>
      </c>
      <c r="D536" s="41" t="s">
        <v>2172</v>
      </c>
      <c r="E536" s="41" t="s">
        <v>2172</v>
      </c>
      <c r="F536" s="41" t="s">
        <v>271</v>
      </c>
      <c r="G536" s="41">
        <v>572.0</v>
      </c>
      <c r="H536" s="41" t="s">
        <v>2172</v>
      </c>
      <c r="I536" s="41"/>
      <c r="J536" s="41" t="s">
        <v>2172</v>
      </c>
      <c r="K536" s="42" t="s">
        <v>2173</v>
      </c>
      <c r="L536" s="42" t="s">
        <v>3534</v>
      </c>
      <c r="M536" s="42" t="s">
        <v>962</v>
      </c>
      <c r="N536" s="42">
        <v>0.0</v>
      </c>
      <c r="O536" s="42">
        <v>1.0</v>
      </c>
      <c r="P536" s="42">
        <v>2.0</v>
      </c>
      <c r="Q536" s="42">
        <v>0.0</v>
      </c>
      <c r="R536" s="42">
        <v>0.0</v>
      </c>
      <c r="S536" s="42">
        <v>1.0</v>
      </c>
      <c r="T536" s="42" t="s">
        <v>3535</v>
      </c>
      <c r="U536" s="42">
        <v>1.0</v>
      </c>
      <c r="V536" s="42">
        <v>8.0</v>
      </c>
      <c r="W536" s="42" t="s">
        <v>995</v>
      </c>
      <c r="X536" s="42" t="s">
        <v>995</v>
      </c>
      <c r="Y536" s="42" t="s">
        <v>995</v>
      </c>
    </row>
    <row r="537" ht="22.5" customHeight="1">
      <c r="A537" s="41"/>
      <c r="B537" s="41">
        <v>5644.0</v>
      </c>
      <c r="C537" s="41" t="s">
        <v>271</v>
      </c>
      <c r="D537" s="41" t="s">
        <v>3536</v>
      </c>
      <c r="E537" s="41" t="s">
        <v>3536</v>
      </c>
      <c r="F537" s="41" t="s">
        <v>271</v>
      </c>
      <c r="G537" s="41">
        <v>573.0</v>
      </c>
      <c r="H537" s="41" t="s">
        <v>3536</v>
      </c>
      <c r="I537" s="41"/>
      <c r="J537" s="41" t="s">
        <v>3536</v>
      </c>
      <c r="K537" s="42" t="s">
        <v>3537</v>
      </c>
      <c r="L537" s="42" t="s">
        <v>3538</v>
      </c>
      <c r="M537" s="42" t="s">
        <v>962</v>
      </c>
      <c r="N537" s="42">
        <v>0.0</v>
      </c>
      <c r="O537" s="42">
        <v>1.0</v>
      </c>
      <c r="P537" s="42">
        <v>2.0</v>
      </c>
      <c r="Q537" s="42">
        <v>0.0</v>
      </c>
      <c r="R537" s="42">
        <v>0.0</v>
      </c>
      <c r="S537" s="42">
        <v>1.0</v>
      </c>
      <c r="T537" s="42" t="s">
        <v>3539</v>
      </c>
      <c r="U537" s="42">
        <v>1.0</v>
      </c>
      <c r="V537" s="42">
        <v>8.0</v>
      </c>
      <c r="W537" s="42" t="s">
        <v>995</v>
      </c>
      <c r="X537" s="42" t="s">
        <v>995</v>
      </c>
      <c r="Y537" s="42" t="s">
        <v>995</v>
      </c>
    </row>
    <row r="538" ht="22.5" customHeight="1">
      <c r="A538" s="41"/>
      <c r="B538" s="41">
        <v>5645.0</v>
      </c>
      <c r="C538" s="41" t="s">
        <v>271</v>
      </c>
      <c r="D538" s="41" t="s">
        <v>3540</v>
      </c>
      <c r="E538" s="41" t="s">
        <v>3540</v>
      </c>
      <c r="F538" s="41" t="s">
        <v>271</v>
      </c>
      <c r="G538" s="41">
        <v>574.0</v>
      </c>
      <c r="H538" s="41" t="s">
        <v>3540</v>
      </c>
      <c r="I538" s="41"/>
      <c r="J538" s="41" t="s">
        <v>3540</v>
      </c>
      <c r="K538" s="42" t="s">
        <v>3541</v>
      </c>
      <c r="L538" s="42" t="s">
        <v>3542</v>
      </c>
      <c r="M538" s="42" t="s">
        <v>962</v>
      </c>
      <c r="N538" s="42">
        <v>0.0</v>
      </c>
      <c r="O538" s="42">
        <v>1.0</v>
      </c>
      <c r="P538" s="42">
        <v>2.0</v>
      </c>
      <c r="Q538" s="42">
        <v>0.0</v>
      </c>
      <c r="R538" s="42">
        <v>0.0</v>
      </c>
      <c r="S538" s="42">
        <v>1.0</v>
      </c>
      <c r="T538" s="42" t="s">
        <v>3543</v>
      </c>
      <c r="U538" s="42">
        <v>1.0</v>
      </c>
      <c r="V538" s="42">
        <v>8.0</v>
      </c>
      <c r="W538" s="42" t="s">
        <v>995</v>
      </c>
      <c r="X538" s="42" t="s">
        <v>995</v>
      </c>
      <c r="Y538" s="42" t="s">
        <v>995</v>
      </c>
    </row>
    <row r="539" ht="22.5" customHeight="1">
      <c r="A539" s="41"/>
      <c r="B539" s="41">
        <v>5646.0</v>
      </c>
      <c r="C539" s="41" t="s">
        <v>271</v>
      </c>
      <c r="D539" s="41" t="s">
        <v>3544</v>
      </c>
      <c r="E539" s="41" t="s">
        <v>3544</v>
      </c>
      <c r="F539" s="41" t="s">
        <v>271</v>
      </c>
      <c r="G539" s="41">
        <v>575.0</v>
      </c>
      <c r="H539" s="41" t="s">
        <v>3545</v>
      </c>
      <c r="I539" s="41"/>
      <c r="J539" s="41" t="s">
        <v>3545</v>
      </c>
      <c r="K539" s="42" t="s">
        <v>3546</v>
      </c>
      <c r="L539" s="42" t="s">
        <v>3547</v>
      </c>
      <c r="M539" s="42" t="s">
        <v>1043</v>
      </c>
      <c r="N539" s="42">
        <v>0.0</v>
      </c>
      <c r="O539" s="42">
        <v>1.0</v>
      </c>
      <c r="P539" s="42">
        <v>2.0</v>
      </c>
      <c r="Q539" s="42">
        <v>0.0</v>
      </c>
      <c r="R539" s="42">
        <v>1.0</v>
      </c>
      <c r="S539" s="42">
        <v>0.0</v>
      </c>
      <c r="T539" s="42" t="s">
        <v>3548</v>
      </c>
      <c r="U539" s="42">
        <v>1.0</v>
      </c>
      <c r="V539" s="42">
        <v>8.0</v>
      </c>
      <c r="W539" s="42" t="s">
        <v>995</v>
      </c>
      <c r="X539" s="42" t="s">
        <v>995</v>
      </c>
      <c r="Y539" s="42" t="s">
        <v>995</v>
      </c>
    </row>
    <row r="540" ht="22.5" customHeight="1">
      <c r="A540" s="41"/>
      <c r="B540" s="41">
        <v>5647.0</v>
      </c>
      <c r="C540" s="41" t="s">
        <v>271</v>
      </c>
      <c r="D540" s="41" t="s">
        <v>3549</v>
      </c>
      <c r="E540" s="41" t="s">
        <v>3549</v>
      </c>
      <c r="F540" s="41" t="s">
        <v>271</v>
      </c>
      <c r="G540" s="41">
        <v>576.0</v>
      </c>
      <c r="H540" s="41" t="s">
        <v>3550</v>
      </c>
      <c r="I540" s="41"/>
      <c r="J540" s="41" t="s">
        <v>3550</v>
      </c>
      <c r="K540" s="42" t="s">
        <v>3551</v>
      </c>
      <c r="L540" s="42" t="s">
        <v>3552</v>
      </c>
      <c r="M540" s="42" t="s">
        <v>1028</v>
      </c>
      <c r="N540" s="42">
        <v>0.0</v>
      </c>
      <c r="O540" s="42">
        <v>1.0</v>
      </c>
      <c r="P540" s="42">
        <v>2.0</v>
      </c>
      <c r="Q540" s="42">
        <v>0.0</v>
      </c>
      <c r="R540" s="42">
        <v>1.0</v>
      </c>
      <c r="S540" s="42">
        <v>0.0</v>
      </c>
      <c r="T540" s="42" t="s">
        <v>3553</v>
      </c>
      <c r="U540" s="42">
        <v>1.0</v>
      </c>
      <c r="V540" s="42">
        <v>8.0</v>
      </c>
      <c r="W540" s="42" t="s">
        <v>995</v>
      </c>
      <c r="X540" s="42" t="s">
        <v>995</v>
      </c>
      <c r="Y540" s="42" t="s">
        <v>995</v>
      </c>
    </row>
    <row r="541" ht="22.5" customHeight="1">
      <c r="A541" s="41"/>
      <c r="B541" s="41">
        <v>5648.0</v>
      </c>
      <c r="C541" s="41" t="s">
        <v>271</v>
      </c>
      <c r="D541" s="41" t="s">
        <v>3554</v>
      </c>
      <c r="E541" s="41" t="s">
        <v>3554</v>
      </c>
      <c r="F541" s="41" t="s">
        <v>271</v>
      </c>
      <c r="G541" s="41">
        <v>577.0</v>
      </c>
      <c r="H541" s="41" t="s">
        <v>3555</v>
      </c>
      <c r="I541" s="41"/>
      <c r="J541" s="41" t="s">
        <v>3555</v>
      </c>
      <c r="K541" s="42" t="s">
        <v>3556</v>
      </c>
      <c r="L541" s="42" t="s">
        <v>3557</v>
      </c>
      <c r="M541" s="42" t="s">
        <v>1028</v>
      </c>
      <c r="N541" s="42">
        <v>0.0</v>
      </c>
      <c r="O541" s="42">
        <v>1.0</v>
      </c>
      <c r="P541" s="42">
        <v>2.0</v>
      </c>
      <c r="Q541" s="42">
        <v>0.0</v>
      </c>
      <c r="R541" s="42">
        <v>1.0</v>
      </c>
      <c r="S541" s="42">
        <v>0.0</v>
      </c>
      <c r="T541" s="42" t="s">
        <v>3558</v>
      </c>
      <c r="U541" s="42">
        <v>1.0</v>
      </c>
      <c r="V541" s="42">
        <v>8.0</v>
      </c>
      <c r="W541" s="42" t="s">
        <v>995</v>
      </c>
      <c r="X541" s="42" t="s">
        <v>995</v>
      </c>
      <c r="Y541" s="42" t="s">
        <v>995</v>
      </c>
    </row>
    <row r="542" ht="22.5" customHeight="1">
      <c r="A542" s="41"/>
      <c r="B542" s="41">
        <v>5649.0</v>
      </c>
      <c r="C542" s="41" t="s">
        <v>271</v>
      </c>
      <c r="D542" s="41" t="s">
        <v>3559</v>
      </c>
      <c r="E542" s="41" t="s">
        <v>3559</v>
      </c>
      <c r="F542" s="41" t="s">
        <v>271</v>
      </c>
      <c r="G542" s="41">
        <v>578.0</v>
      </c>
      <c r="H542" s="41" t="s">
        <v>3560</v>
      </c>
      <c r="I542" s="41"/>
      <c r="J542" s="41" t="s">
        <v>3560</v>
      </c>
      <c r="K542" s="42" t="s">
        <v>3561</v>
      </c>
      <c r="L542" s="42" t="s">
        <v>3562</v>
      </c>
      <c r="M542" s="42" t="s">
        <v>1043</v>
      </c>
      <c r="N542" s="42">
        <v>0.0</v>
      </c>
      <c r="O542" s="42">
        <v>1.0</v>
      </c>
      <c r="P542" s="42">
        <v>2.0</v>
      </c>
      <c r="Q542" s="42">
        <v>0.0</v>
      </c>
      <c r="R542" s="42">
        <v>1.0</v>
      </c>
      <c r="S542" s="42">
        <v>0.0</v>
      </c>
      <c r="T542" s="42" t="s">
        <v>3563</v>
      </c>
      <c r="U542" s="42">
        <v>1.0</v>
      </c>
      <c r="V542" s="42">
        <v>1.0</v>
      </c>
      <c r="W542" s="42" t="s">
        <v>995</v>
      </c>
      <c r="X542" s="42" t="s">
        <v>995</v>
      </c>
      <c r="Y542" s="42" t="s">
        <v>995</v>
      </c>
    </row>
    <row r="543" ht="22.5" customHeight="1">
      <c r="A543" s="41"/>
      <c r="B543" s="41">
        <v>5650.0</v>
      </c>
      <c r="C543" s="41" t="s">
        <v>271</v>
      </c>
      <c r="D543" s="41" t="s">
        <v>3564</v>
      </c>
      <c r="E543" s="41" t="s">
        <v>3564</v>
      </c>
      <c r="F543" s="41" t="s">
        <v>271</v>
      </c>
      <c r="G543" s="41">
        <v>579.0</v>
      </c>
      <c r="H543" s="41" t="s">
        <v>3564</v>
      </c>
      <c r="I543" s="41"/>
      <c r="J543" s="41" t="s">
        <v>3564</v>
      </c>
      <c r="K543" s="42" t="s">
        <v>3565</v>
      </c>
      <c r="L543" s="42" t="s">
        <v>3566</v>
      </c>
      <c r="M543" s="42" t="s">
        <v>962</v>
      </c>
      <c r="N543" s="42">
        <v>0.0</v>
      </c>
      <c r="O543" s="42">
        <v>0.0</v>
      </c>
      <c r="P543" s="42">
        <v>2.0</v>
      </c>
      <c r="Q543" s="42">
        <v>0.0</v>
      </c>
      <c r="R543" s="42">
        <v>0.0</v>
      </c>
      <c r="S543" s="42">
        <v>1.0</v>
      </c>
      <c r="T543" s="42" t="s">
        <v>3567</v>
      </c>
      <c r="U543" s="42">
        <v>1.0</v>
      </c>
      <c r="V543" s="42">
        <v>8.0</v>
      </c>
      <c r="W543" s="42" t="s">
        <v>995</v>
      </c>
      <c r="X543" s="42" t="s">
        <v>995</v>
      </c>
      <c r="Y543" s="42" t="s">
        <v>995</v>
      </c>
    </row>
    <row r="544" ht="22.5" customHeight="1">
      <c r="A544" s="41"/>
      <c r="B544" s="41">
        <v>5651.0</v>
      </c>
      <c r="C544" s="41" t="s">
        <v>271</v>
      </c>
      <c r="D544" s="41" t="s">
        <v>3568</v>
      </c>
      <c r="E544" s="41" t="s">
        <v>3568</v>
      </c>
      <c r="F544" s="41" t="s">
        <v>271</v>
      </c>
      <c r="G544" s="41">
        <v>580.0</v>
      </c>
      <c r="H544" s="41" t="s">
        <v>3569</v>
      </c>
      <c r="I544" s="41"/>
      <c r="J544" s="41" t="s">
        <v>3569</v>
      </c>
      <c r="K544" s="42" t="s">
        <v>3570</v>
      </c>
      <c r="L544" s="42" t="s">
        <v>3571</v>
      </c>
      <c r="M544" s="42" t="s">
        <v>1028</v>
      </c>
      <c r="N544" s="42">
        <v>0.0</v>
      </c>
      <c r="O544" s="42">
        <v>1.0</v>
      </c>
      <c r="P544" s="42">
        <v>2.0</v>
      </c>
      <c r="Q544" s="42">
        <v>0.0</v>
      </c>
      <c r="R544" s="42">
        <v>1.0</v>
      </c>
      <c r="S544" s="42">
        <v>0.0</v>
      </c>
      <c r="T544" s="42" t="s">
        <v>3572</v>
      </c>
      <c r="U544" s="42">
        <v>1.0</v>
      </c>
      <c r="V544" s="42">
        <v>8.0</v>
      </c>
      <c r="W544" s="42" t="s">
        <v>995</v>
      </c>
      <c r="X544" s="42" t="s">
        <v>995</v>
      </c>
      <c r="Y544" s="42" t="s">
        <v>995</v>
      </c>
    </row>
    <row r="545" ht="22.5" customHeight="1">
      <c r="A545" s="41"/>
      <c r="B545" s="41">
        <v>5652.0</v>
      </c>
      <c r="C545" s="41" t="s">
        <v>271</v>
      </c>
      <c r="D545" s="41" t="s">
        <v>3573</v>
      </c>
      <c r="E545" s="41" t="s">
        <v>3573</v>
      </c>
      <c r="F545" s="41" t="s">
        <v>271</v>
      </c>
      <c r="G545" s="41">
        <v>581.0</v>
      </c>
      <c r="H545" s="41" t="s">
        <v>3574</v>
      </c>
      <c r="I545" s="41"/>
      <c r="J545" s="41" t="s">
        <v>3574</v>
      </c>
      <c r="K545" s="42" t="s">
        <v>3575</v>
      </c>
      <c r="L545" s="42" t="s">
        <v>3576</v>
      </c>
      <c r="M545" s="42" t="s">
        <v>1043</v>
      </c>
      <c r="N545" s="42">
        <v>0.0</v>
      </c>
      <c r="O545" s="42">
        <v>1.0</v>
      </c>
      <c r="P545" s="42">
        <v>2.0</v>
      </c>
      <c r="Q545" s="42">
        <v>0.0</v>
      </c>
      <c r="R545" s="42">
        <v>1.0</v>
      </c>
      <c r="S545" s="42">
        <v>0.0</v>
      </c>
      <c r="T545" s="42" t="s">
        <v>3577</v>
      </c>
      <c r="U545" s="42">
        <v>1.0</v>
      </c>
      <c r="V545" s="42">
        <v>8.0</v>
      </c>
      <c r="W545" s="42" t="s">
        <v>995</v>
      </c>
      <c r="X545" s="42" t="s">
        <v>995</v>
      </c>
      <c r="Y545" s="42" t="s">
        <v>995</v>
      </c>
    </row>
    <row r="546" ht="22.5" customHeight="1">
      <c r="A546" s="41"/>
      <c r="B546" s="41">
        <v>5653.0</v>
      </c>
      <c r="C546" s="41" t="s">
        <v>271</v>
      </c>
      <c r="D546" s="41" t="s">
        <v>3578</v>
      </c>
      <c r="E546" s="41" t="s">
        <v>3578</v>
      </c>
      <c r="F546" s="41" t="s">
        <v>271</v>
      </c>
      <c r="G546" s="41">
        <v>582.0</v>
      </c>
      <c r="H546" s="41" t="s">
        <v>3579</v>
      </c>
      <c r="I546" s="41"/>
      <c r="J546" s="41" t="s">
        <v>3579</v>
      </c>
      <c r="K546" s="42" t="s">
        <v>3580</v>
      </c>
      <c r="L546" s="42" t="s">
        <v>3581</v>
      </c>
      <c r="M546" s="42" t="s">
        <v>1028</v>
      </c>
      <c r="N546" s="42">
        <v>0.0</v>
      </c>
      <c r="O546" s="42">
        <v>1.0</v>
      </c>
      <c r="P546" s="42">
        <v>2.0</v>
      </c>
      <c r="Q546" s="42">
        <v>0.0</v>
      </c>
      <c r="R546" s="42">
        <v>1.0</v>
      </c>
      <c r="S546" s="42">
        <v>0.0</v>
      </c>
      <c r="T546" s="42" t="s">
        <v>3582</v>
      </c>
      <c r="U546" s="42">
        <v>1.0</v>
      </c>
      <c r="V546" s="42">
        <v>8.0</v>
      </c>
      <c r="W546" s="42" t="s">
        <v>995</v>
      </c>
      <c r="X546" s="42" t="s">
        <v>995</v>
      </c>
      <c r="Y546" s="42" t="s">
        <v>995</v>
      </c>
    </row>
    <row r="547" ht="22.5" customHeight="1">
      <c r="A547" s="41"/>
      <c r="B547" s="41">
        <v>5654.0</v>
      </c>
      <c r="C547" s="41" t="s">
        <v>271</v>
      </c>
      <c r="D547" s="41" t="s">
        <v>3583</v>
      </c>
      <c r="E547" s="41" t="s">
        <v>3583</v>
      </c>
      <c r="F547" s="41" t="s">
        <v>271</v>
      </c>
      <c r="G547" s="41">
        <v>583.0</v>
      </c>
      <c r="H547" s="41" t="s">
        <v>3584</v>
      </c>
      <c r="I547" s="41"/>
      <c r="J547" s="41" t="s">
        <v>3584</v>
      </c>
      <c r="K547" s="42" t="s">
        <v>3585</v>
      </c>
      <c r="L547" s="42" t="s">
        <v>3586</v>
      </c>
      <c r="M547" s="42" t="s">
        <v>1043</v>
      </c>
      <c r="N547" s="42">
        <v>0.0</v>
      </c>
      <c r="O547" s="42">
        <v>1.0</v>
      </c>
      <c r="P547" s="42">
        <v>2.0</v>
      </c>
      <c r="Q547" s="42">
        <v>0.0</v>
      </c>
      <c r="R547" s="42">
        <v>1.0</v>
      </c>
      <c r="S547" s="42">
        <v>0.0</v>
      </c>
      <c r="T547" s="42" t="s">
        <v>3587</v>
      </c>
      <c r="U547" s="42">
        <v>1.0</v>
      </c>
      <c r="V547" s="42">
        <v>8.0</v>
      </c>
      <c r="W547" s="42" t="s">
        <v>995</v>
      </c>
      <c r="X547" s="42" t="s">
        <v>995</v>
      </c>
      <c r="Y547" s="42" t="s">
        <v>995</v>
      </c>
    </row>
    <row r="548" ht="22.5" customHeight="1">
      <c r="A548" s="41"/>
      <c r="B548" s="41">
        <v>5655.0</v>
      </c>
      <c r="C548" s="41" t="s">
        <v>271</v>
      </c>
      <c r="D548" s="41" t="s">
        <v>3588</v>
      </c>
      <c r="E548" s="41" t="s">
        <v>3588</v>
      </c>
      <c r="F548" s="41" t="s">
        <v>271</v>
      </c>
      <c r="G548" s="41">
        <v>584.0</v>
      </c>
      <c r="H548" s="41" t="s">
        <v>3589</v>
      </c>
      <c r="I548" s="41"/>
      <c r="J548" s="41" t="s">
        <v>3589</v>
      </c>
      <c r="K548" s="42" t="s">
        <v>3590</v>
      </c>
      <c r="L548" s="42" t="s">
        <v>3591</v>
      </c>
      <c r="M548" s="42" t="s">
        <v>1028</v>
      </c>
      <c r="N548" s="42">
        <v>0.0</v>
      </c>
      <c r="O548" s="42">
        <v>1.0</v>
      </c>
      <c r="P548" s="42">
        <v>2.0</v>
      </c>
      <c r="Q548" s="42">
        <v>0.0</v>
      </c>
      <c r="R548" s="42">
        <v>1.0</v>
      </c>
      <c r="S548" s="42">
        <v>0.0</v>
      </c>
      <c r="T548" s="42" t="s">
        <v>3592</v>
      </c>
      <c r="U548" s="42">
        <v>1.0</v>
      </c>
      <c r="V548" s="42">
        <v>8.0</v>
      </c>
      <c r="W548" s="42" t="s">
        <v>995</v>
      </c>
      <c r="X548" s="42" t="s">
        <v>995</v>
      </c>
      <c r="Y548" s="42" t="s">
        <v>995</v>
      </c>
    </row>
    <row r="549" ht="22.5" customHeight="1">
      <c r="A549" s="41"/>
      <c r="B549" s="41">
        <v>5656.0</v>
      </c>
      <c r="C549" s="41" t="s">
        <v>271</v>
      </c>
      <c r="D549" s="41" t="s">
        <v>3593</v>
      </c>
      <c r="E549" s="41" t="s">
        <v>3593</v>
      </c>
      <c r="F549" s="41" t="s">
        <v>271</v>
      </c>
      <c r="G549" s="41">
        <v>585.0</v>
      </c>
      <c r="H549" s="41" t="s">
        <v>3594</v>
      </c>
      <c r="I549" s="41"/>
      <c r="J549" s="41" t="s">
        <v>3594</v>
      </c>
      <c r="K549" s="42" t="s">
        <v>3595</v>
      </c>
      <c r="L549" s="42" t="s">
        <v>3596</v>
      </c>
      <c r="M549" s="42" t="s">
        <v>1043</v>
      </c>
      <c r="N549" s="42">
        <v>0.0</v>
      </c>
      <c r="O549" s="42">
        <v>1.0</v>
      </c>
      <c r="P549" s="42">
        <v>2.0</v>
      </c>
      <c r="Q549" s="42">
        <v>0.0</v>
      </c>
      <c r="R549" s="42">
        <v>1.0</v>
      </c>
      <c r="S549" s="42">
        <v>0.0</v>
      </c>
      <c r="T549" s="42" t="s">
        <v>3597</v>
      </c>
      <c r="U549" s="42">
        <v>1.0</v>
      </c>
      <c r="V549" s="42">
        <v>8.0</v>
      </c>
      <c r="W549" s="42" t="s">
        <v>995</v>
      </c>
      <c r="X549" s="42" t="s">
        <v>995</v>
      </c>
      <c r="Y549" s="42" t="s">
        <v>995</v>
      </c>
    </row>
    <row r="550" ht="22.5" customHeight="1">
      <c r="A550" s="41"/>
      <c r="B550" s="41">
        <v>5657.0</v>
      </c>
      <c r="C550" s="41" t="s">
        <v>271</v>
      </c>
      <c r="D550" s="41" t="s">
        <v>3598</v>
      </c>
      <c r="E550" s="41" t="s">
        <v>3598</v>
      </c>
      <c r="F550" s="41" t="s">
        <v>271</v>
      </c>
      <c r="G550" s="41">
        <v>586.0</v>
      </c>
      <c r="H550" s="41" t="s">
        <v>3599</v>
      </c>
      <c r="I550" s="41"/>
      <c r="J550" s="41" t="s">
        <v>3599</v>
      </c>
      <c r="K550" s="42" t="s">
        <v>3600</v>
      </c>
      <c r="L550" s="42" t="s">
        <v>3601</v>
      </c>
      <c r="M550" s="42" t="s">
        <v>1028</v>
      </c>
      <c r="N550" s="42">
        <v>0.0</v>
      </c>
      <c r="O550" s="42">
        <v>1.0</v>
      </c>
      <c r="P550" s="42">
        <v>2.0</v>
      </c>
      <c r="Q550" s="42">
        <v>0.0</v>
      </c>
      <c r="R550" s="42">
        <v>1.0</v>
      </c>
      <c r="S550" s="42">
        <v>0.0</v>
      </c>
      <c r="T550" s="42" t="s">
        <v>3602</v>
      </c>
      <c r="U550" s="42">
        <v>1.0</v>
      </c>
      <c r="V550" s="42">
        <v>8.0</v>
      </c>
      <c r="W550" s="42" t="s">
        <v>995</v>
      </c>
      <c r="X550" s="42" t="s">
        <v>995</v>
      </c>
      <c r="Y550" s="42" t="s">
        <v>995</v>
      </c>
    </row>
    <row r="551" ht="22.5" customHeight="1">
      <c r="A551" s="41"/>
      <c r="B551" s="41">
        <v>5658.0</v>
      </c>
      <c r="C551" s="41" t="s">
        <v>271</v>
      </c>
      <c r="D551" s="41" t="s">
        <v>3603</v>
      </c>
      <c r="E551" s="41" t="s">
        <v>3603</v>
      </c>
      <c r="F551" s="41" t="s">
        <v>271</v>
      </c>
      <c r="G551" s="41">
        <v>587.0</v>
      </c>
      <c r="H551" s="41" t="s">
        <v>3603</v>
      </c>
      <c r="I551" s="41"/>
      <c r="J551" s="41" t="s">
        <v>3603</v>
      </c>
      <c r="K551" s="42" t="s">
        <v>3604</v>
      </c>
      <c r="L551" s="42" t="s">
        <v>3605</v>
      </c>
      <c r="M551" s="42" t="s">
        <v>962</v>
      </c>
      <c r="N551" s="42">
        <v>0.0</v>
      </c>
      <c r="O551" s="42">
        <v>1.0</v>
      </c>
      <c r="P551" s="42">
        <v>2.0</v>
      </c>
      <c r="Q551" s="42">
        <v>0.0</v>
      </c>
      <c r="R551" s="42">
        <v>0.0</v>
      </c>
      <c r="S551" s="42">
        <v>1.0</v>
      </c>
      <c r="T551" s="42" t="s">
        <v>3606</v>
      </c>
      <c r="U551" s="42">
        <v>1.0</v>
      </c>
      <c r="V551" s="42">
        <v>8.0</v>
      </c>
      <c r="W551" s="42" t="s">
        <v>995</v>
      </c>
      <c r="X551" s="42" t="s">
        <v>995</v>
      </c>
      <c r="Y551" s="42" t="s">
        <v>995</v>
      </c>
    </row>
    <row r="552" ht="22.5" customHeight="1">
      <c r="A552" s="41"/>
      <c r="B552" s="41">
        <v>5659.0</v>
      </c>
      <c r="C552" s="41" t="s">
        <v>271</v>
      </c>
      <c r="D552" s="41" t="s">
        <v>3607</v>
      </c>
      <c r="E552" s="41" t="s">
        <v>3607</v>
      </c>
      <c r="F552" s="41" t="s">
        <v>271</v>
      </c>
      <c r="G552" s="41">
        <v>588.0</v>
      </c>
      <c r="H552" s="41" t="s">
        <v>3608</v>
      </c>
      <c r="I552" s="41"/>
      <c r="J552" s="41" t="s">
        <v>3608</v>
      </c>
      <c r="K552" s="42" t="s">
        <v>3609</v>
      </c>
      <c r="L552" s="42" t="s">
        <v>3610</v>
      </c>
      <c r="M552" s="42" t="s">
        <v>1043</v>
      </c>
      <c r="N552" s="42">
        <v>0.0</v>
      </c>
      <c r="O552" s="42">
        <v>1.0</v>
      </c>
      <c r="P552" s="42">
        <v>2.0</v>
      </c>
      <c r="Q552" s="42">
        <v>0.0</v>
      </c>
      <c r="R552" s="42">
        <v>1.0</v>
      </c>
      <c r="S552" s="42">
        <v>0.0</v>
      </c>
      <c r="T552" s="42" t="s">
        <v>3611</v>
      </c>
      <c r="U552" s="42">
        <v>1.0</v>
      </c>
      <c r="V552" s="42">
        <v>8.0</v>
      </c>
      <c r="W552" s="42" t="s">
        <v>995</v>
      </c>
      <c r="X552" s="42" t="s">
        <v>995</v>
      </c>
      <c r="Y552" s="42" t="s">
        <v>995</v>
      </c>
    </row>
    <row r="553" ht="22.5" customHeight="1">
      <c r="A553" s="41"/>
      <c r="B553" s="41">
        <v>5660.0</v>
      </c>
      <c r="C553" s="41" t="s">
        <v>271</v>
      </c>
      <c r="D553" s="41" t="s">
        <v>3612</v>
      </c>
      <c r="E553" s="41" t="s">
        <v>3612</v>
      </c>
      <c r="F553" s="41" t="s">
        <v>271</v>
      </c>
      <c r="G553" s="41">
        <v>589.0</v>
      </c>
      <c r="H553" s="41" t="s">
        <v>3613</v>
      </c>
      <c r="I553" s="41"/>
      <c r="J553" s="41" t="s">
        <v>3613</v>
      </c>
      <c r="K553" s="42" t="s">
        <v>3614</v>
      </c>
      <c r="L553" s="42" t="s">
        <v>3615</v>
      </c>
      <c r="M553" s="42" t="s">
        <v>970</v>
      </c>
      <c r="N553" s="42">
        <v>1.0</v>
      </c>
      <c r="O553" s="42">
        <v>1.0</v>
      </c>
      <c r="P553" s="42">
        <v>2.0</v>
      </c>
      <c r="Q553" s="42">
        <v>0.0</v>
      </c>
      <c r="R553" s="42">
        <v>1.0</v>
      </c>
      <c r="S553" s="42">
        <v>0.0</v>
      </c>
      <c r="T553" s="42" t="s">
        <v>3616</v>
      </c>
      <c r="U553" s="42">
        <v>1.0</v>
      </c>
      <c r="V553" s="42">
        <v>0.0</v>
      </c>
      <c r="W553" s="42" t="s">
        <v>995</v>
      </c>
      <c r="X553" s="42" t="s">
        <v>995</v>
      </c>
      <c r="Y553" s="42" t="s">
        <v>995</v>
      </c>
    </row>
    <row r="554" ht="22.5" customHeight="1">
      <c r="A554" s="41"/>
      <c r="B554" s="41">
        <v>5661.0</v>
      </c>
      <c r="C554" s="41" t="s">
        <v>271</v>
      </c>
      <c r="D554" s="41" t="s">
        <v>3617</v>
      </c>
      <c r="E554" s="41" t="s">
        <v>3617</v>
      </c>
      <c r="F554" s="41" t="s">
        <v>271</v>
      </c>
      <c r="G554" s="41">
        <v>590.0</v>
      </c>
      <c r="H554" s="41" t="s">
        <v>3618</v>
      </c>
      <c r="I554" s="41"/>
      <c r="J554" s="41" t="s">
        <v>3618</v>
      </c>
      <c r="K554" s="42" t="s">
        <v>3619</v>
      </c>
      <c r="L554" s="42" t="s">
        <v>3620</v>
      </c>
      <c r="M554" s="42" t="s">
        <v>1028</v>
      </c>
      <c r="N554" s="42">
        <v>0.0</v>
      </c>
      <c r="O554" s="42">
        <v>1.0</v>
      </c>
      <c r="P554" s="42">
        <v>2.0</v>
      </c>
      <c r="Q554" s="42">
        <v>0.0</v>
      </c>
      <c r="R554" s="42">
        <v>1.0</v>
      </c>
      <c r="S554" s="42">
        <v>0.0</v>
      </c>
      <c r="T554" s="42" t="s">
        <v>3621</v>
      </c>
      <c r="U554" s="42">
        <v>1.0</v>
      </c>
      <c r="V554" s="42">
        <v>8.0</v>
      </c>
      <c r="W554" s="42" t="s">
        <v>995</v>
      </c>
      <c r="X554" s="42" t="s">
        <v>995</v>
      </c>
      <c r="Y554" s="42" t="s">
        <v>995</v>
      </c>
    </row>
    <row r="555" ht="22.5" customHeight="1">
      <c r="A555" s="41"/>
      <c r="B555" s="41">
        <v>5662.0</v>
      </c>
      <c r="C555" s="41" t="s">
        <v>271</v>
      </c>
      <c r="D555" s="41" t="s">
        <v>3622</v>
      </c>
      <c r="E555" s="41" t="s">
        <v>3622</v>
      </c>
      <c r="F555" s="41" t="s">
        <v>271</v>
      </c>
      <c r="G555" s="41">
        <v>591.0</v>
      </c>
      <c r="H555" s="41" t="s">
        <v>3622</v>
      </c>
      <c r="I555" s="41"/>
      <c r="J555" s="41" t="s">
        <v>3622</v>
      </c>
      <c r="K555" s="42" t="s">
        <v>3623</v>
      </c>
      <c r="L555" s="42" t="s">
        <v>3624</v>
      </c>
      <c r="M555" s="42" t="s">
        <v>962</v>
      </c>
      <c r="N555" s="42">
        <v>0.0</v>
      </c>
      <c r="O555" s="42">
        <v>1.0</v>
      </c>
      <c r="P555" s="42">
        <v>2.0</v>
      </c>
      <c r="Q555" s="42">
        <v>0.0</v>
      </c>
      <c r="R555" s="42">
        <v>0.0</v>
      </c>
      <c r="S555" s="42">
        <v>1.0</v>
      </c>
      <c r="T555" s="42" t="s">
        <v>3625</v>
      </c>
      <c r="U555" s="42">
        <v>1.0</v>
      </c>
      <c r="V555" s="42">
        <v>8.0</v>
      </c>
      <c r="W555" s="42" t="s">
        <v>995</v>
      </c>
      <c r="X555" s="42" t="s">
        <v>995</v>
      </c>
      <c r="Y555" s="42" t="s">
        <v>995</v>
      </c>
    </row>
    <row r="556" ht="22.5" customHeight="1">
      <c r="A556" s="41"/>
      <c r="B556" s="41">
        <v>5663.0</v>
      </c>
      <c r="C556" s="41" t="s">
        <v>271</v>
      </c>
      <c r="D556" s="41" t="s">
        <v>2978</v>
      </c>
      <c r="E556" s="41" t="s">
        <v>2978</v>
      </c>
      <c r="F556" s="41" t="s">
        <v>271</v>
      </c>
      <c r="G556" s="41">
        <v>592.0</v>
      </c>
      <c r="H556" s="41" t="s">
        <v>2978</v>
      </c>
      <c r="I556" s="41"/>
      <c r="J556" s="41" t="s">
        <v>2978</v>
      </c>
      <c r="K556" s="42" t="s">
        <v>2979</v>
      </c>
      <c r="L556" s="42" t="s">
        <v>3626</v>
      </c>
      <c r="M556" s="42" t="s">
        <v>962</v>
      </c>
      <c r="N556" s="42">
        <v>0.0</v>
      </c>
      <c r="O556" s="42">
        <v>1.0</v>
      </c>
      <c r="P556" s="42">
        <v>2.0</v>
      </c>
      <c r="Q556" s="42">
        <v>0.0</v>
      </c>
      <c r="R556" s="42">
        <v>0.0</v>
      </c>
      <c r="S556" s="42">
        <v>1.0</v>
      </c>
      <c r="T556" s="42" t="s">
        <v>3627</v>
      </c>
      <c r="U556" s="42">
        <v>1.0</v>
      </c>
      <c r="V556" s="42">
        <v>8.0</v>
      </c>
      <c r="W556" s="42" t="s">
        <v>995</v>
      </c>
      <c r="X556" s="42" t="s">
        <v>995</v>
      </c>
      <c r="Y556" s="42" t="s">
        <v>995</v>
      </c>
    </row>
    <row r="557" ht="22.5" customHeight="1">
      <c r="A557" s="41"/>
      <c r="B557" s="41">
        <v>5664.0</v>
      </c>
      <c r="C557" s="41" t="s">
        <v>271</v>
      </c>
      <c r="D557" s="41" t="s">
        <v>3628</v>
      </c>
      <c r="E557" s="41" t="s">
        <v>3628</v>
      </c>
      <c r="F557" s="41" t="s">
        <v>271</v>
      </c>
      <c r="G557" s="41">
        <v>593.0</v>
      </c>
      <c r="H557" s="41" t="s">
        <v>3629</v>
      </c>
      <c r="I557" s="41"/>
      <c r="J557" s="41" t="s">
        <v>3629</v>
      </c>
      <c r="K557" s="42" t="s">
        <v>3630</v>
      </c>
      <c r="L557" s="42" t="s">
        <v>3631</v>
      </c>
      <c r="M557" s="42" t="s">
        <v>1043</v>
      </c>
      <c r="N557" s="42">
        <v>0.0</v>
      </c>
      <c r="O557" s="42">
        <v>1.0</v>
      </c>
      <c r="P557" s="42">
        <v>2.0</v>
      </c>
      <c r="Q557" s="42">
        <v>0.0</v>
      </c>
      <c r="R557" s="42">
        <v>1.0</v>
      </c>
      <c r="S557" s="42">
        <v>0.0</v>
      </c>
      <c r="T557" s="42" t="s">
        <v>3632</v>
      </c>
      <c r="U557" s="42">
        <v>1.0</v>
      </c>
      <c r="V557" s="42">
        <v>8.0</v>
      </c>
      <c r="W557" s="42" t="s">
        <v>995</v>
      </c>
      <c r="X557" s="42" t="s">
        <v>995</v>
      </c>
      <c r="Y557" s="42" t="s">
        <v>995</v>
      </c>
    </row>
    <row r="558" ht="22.5" customHeight="1">
      <c r="A558" s="41"/>
      <c r="B558" s="41">
        <v>5665.0</v>
      </c>
      <c r="C558" s="41" t="s">
        <v>271</v>
      </c>
      <c r="D558" s="41" t="s">
        <v>3633</v>
      </c>
      <c r="E558" s="41" t="s">
        <v>3633</v>
      </c>
      <c r="F558" s="41" t="s">
        <v>271</v>
      </c>
      <c r="G558" s="41">
        <v>594.0</v>
      </c>
      <c r="H558" s="41" t="s">
        <v>3634</v>
      </c>
      <c r="I558" s="41"/>
      <c r="J558" s="41" t="s">
        <v>3634</v>
      </c>
      <c r="K558" s="42" t="s">
        <v>3635</v>
      </c>
      <c r="L558" s="42" t="s">
        <v>3636</v>
      </c>
      <c r="M558" s="42" t="s">
        <v>970</v>
      </c>
      <c r="N558" s="42">
        <v>1.0</v>
      </c>
      <c r="O558" s="42">
        <v>1.0</v>
      </c>
      <c r="P558" s="42">
        <v>2.0</v>
      </c>
      <c r="Q558" s="42">
        <v>0.0</v>
      </c>
      <c r="R558" s="42">
        <v>1.0</v>
      </c>
      <c r="S558" s="42">
        <v>0.0</v>
      </c>
      <c r="T558" s="42" t="s">
        <v>3637</v>
      </c>
      <c r="U558" s="42">
        <v>1.0</v>
      </c>
      <c r="V558" s="42">
        <v>8.0</v>
      </c>
      <c r="W558" s="42" t="s">
        <v>995</v>
      </c>
      <c r="X558" s="42" t="s">
        <v>995</v>
      </c>
      <c r="Y558" s="42" t="s">
        <v>995</v>
      </c>
    </row>
    <row r="559" ht="22.5" customHeight="1">
      <c r="A559" s="41"/>
      <c r="B559" s="41">
        <v>5666.0</v>
      </c>
      <c r="C559" s="41" t="s">
        <v>271</v>
      </c>
      <c r="D559" s="41" t="s">
        <v>3638</v>
      </c>
      <c r="E559" s="41" t="s">
        <v>3638</v>
      </c>
      <c r="F559" s="41" t="s">
        <v>271</v>
      </c>
      <c r="G559" s="41">
        <v>595.0</v>
      </c>
      <c r="H559" s="41" t="s">
        <v>3639</v>
      </c>
      <c r="I559" s="41"/>
      <c r="J559" s="41" t="s">
        <v>3639</v>
      </c>
      <c r="K559" s="42" t="s">
        <v>3640</v>
      </c>
      <c r="L559" s="42" t="s">
        <v>3641</v>
      </c>
      <c r="M559" s="42" t="s">
        <v>1028</v>
      </c>
      <c r="N559" s="42">
        <v>0.0</v>
      </c>
      <c r="O559" s="42">
        <v>1.0</v>
      </c>
      <c r="P559" s="42">
        <v>2.0</v>
      </c>
      <c r="Q559" s="42">
        <v>0.0</v>
      </c>
      <c r="R559" s="42">
        <v>1.0</v>
      </c>
      <c r="S559" s="42">
        <v>0.0</v>
      </c>
      <c r="T559" s="42" t="s">
        <v>3642</v>
      </c>
      <c r="U559" s="42">
        <v>1.0</v>
      </c>
      <c r="V559" s="42">
        <v>8.0</v>
      </c>
      <c r="W559" s="42" t="s">
        <v>995</v>
      </c>
      <c r="X559" s="42" t="s">
        <v>995</v>
      </c>
      <c r="Y559" s="42" t="s">
        <v>995</v>
      </c>
    </row>
    <row r="560" ht="22.5" customHeight="1">
      <c r="A560" s="41"/>
      <c r="B560" s="41">
        <v>5667.0</v>
      </c>
      <c r="C560" s="41" t="s">
        <v>271</v>
      </c>
      <c r="D560" s="41" t="s">
        <v>3643</v>
      </c>
      <c r="E560" s="41" t="s">
        <v>3643</v>
      </c>
      <c r="F560" s="41" t="s">
        <v>271</v>
      </c>
      <c r="G560" s="41">
        <v>596.0</v>
      </c>
      <c r="H560" s="41" t="s">
        <v>3644</v>
      </c>
      <c r="I560" s="41"/>
      <c r="J560" s="41" t="s">
        <v>3644</v>
      </c>
      <c r="K560" s="42" t="s">
        <v>3645</v>
      </c>
      <c r="L560" s="42" t="s">
        <v>3646</v>
      </c>
      <c r="M560" s="42" t="s">
        <v>1043</v>
      </c>
      <c r="N560" s="42">
        <v>0.0</v>
      </c>
      <c r="O560" s="42">
        <v>1.0</v>
      </c>
      <c r="P560" s="42">
        <v>2.0</v>
      </c>
      <c r="Q560" s="42">
        <v>0.0</v>
      </c>
      <c r="R560" s="42">
        <v>1.0</v>
      </c>
      <c r="S560" s="42">
        <v>0.0</v>
      </c>
      <c r="T560" s="42" t="s">
        <v>3647</v>
      </c>
      <c r="U560" s="42">
        <v>1.0</v>
      </c>
      <c r="V560" s="42">
        <v>8.0</v>
      </c>
      <c r="W560" s="42" t="s">
        <v>995</v>
      </c>
      <c r="X560" s="42" t="s">
        <v>995</v>
      </c>
      <c r="Y560" s="42" t="s">
        <v>995</v>
      </c>
    </row>
    <row r="561" ht="22.5" customHeight="1">
      <c r="A561" s="41"/>
      <c r="B561" s="41">
        <v>5668.0</v>
      </c>
      <c r="C561" s="41" t="s">
        <v>271</v>
      </c>
      <c r="D561" s="41" t="s">
        <v>3648</v>
      </c>
      <c r="E561" s="41" t="s">
        <v>3648</v>
      </c>
      <c r="F561" s="41" t="s">
        <v>271</v>
      </c>
      <c r="G561" s="41">
        <v>597.0</v>
      </c>
      <c r="H561" s="41" t="s">
        <v>3649</v>
      </c>
      <c r="I561" s="41"/>
      <c r="J561" s="41" t="s">
        <v>3649</v>
      </c>
      <c r="K561" s="42" t="s">
        <v>3650</v>
      </c>
      <c r="L561" s="42" t="s">
        <v>3651</v>
      </c>
      <c r="M561" s="42" t="s">
        <v>1028</v>
      </c>
      <c r="N561" s="42">
        <v>0.0</v>
      </c>
      <c r="O561" s="42">
        <v>1.0</v>
      </c>
      <c r="P561" s="42">
        <v>2.0</v>
      </c>
      <c r="Q561" s="42">
        <v>0.0</v>
      </c>
      <c r="R561" s="42">
        <v>1.0</v>
      </c>
      <c r="S561" s="42">
        <v>0.0</v>
      </c>
      <c r="T561" s="42" t="s">
        <v>3652</v>
      </c>
      <c r="U561" s="42">
        <v>1.0</v>
      </c>
      <c r="V561" s="42">
        <v>8.0</v>
      </c>
      <c r="W561" s="42" t="s">
        <v>995</v>
      </c>
      <c r="X561" s="42" t="s">
        <v>995</v>
      </c>
      <c r="Y561" s="42" t="s">
        <v>995</v>
      </c>
    </row>
    <row r="562" ht="22.5" customHeight="1">
      <c r="A562" s="41"/>
      <c r="B562" s="41">
        <v>5669.0</v>
      </c>
      <c r="C562" s="41" t="s">
        <v>271</v>
      </c>
      <c r="D562" s="41" t="s">
        <v>3653</v>
      </c>
      <c r="E562" s="41" t="s">
        <v>3653</v>
      </c>
      <c r="F562" s="41" t="s">
        <v>271</v>
      </c>
      <c r="G562" s="41">
        <v>598.0</v>
      </c>
      <c r="H562" s="41" t="s">
        <v>3654</v>
      </c>
      <c r="I562" s="41"/>
      <c r="J562" s="41" t="s">
        <v>3654</v>
      </c>
      <c r="K562" s="42" t="s">
        <v>3655</v>
      </c>
      <c r="L562" s="42" t="s">
        <v>3656</v>
      </c>
      <c r="M562" s="42" t="s">
        <v>1043</v>
      </c>
      <c r="N562" s="42">
        <v>0.0</v>
      </c>
      <c r="O562" s="42">
        <v>1.0</v>
      </c>
      <c r="P562" s="42">
        <v>2.0</v>
      </c>
      <c r="Q562" s="42">
        <v>0.0</v>
      </c>
      <c r="R562" s="42">
        <v>1.0</v>
      </c>
      <c r="S562" s="42">
        <v>0.0</v>
      </c>
      <c r="T562" s="42" t="s">
        <v>3657</v>
      </c>
      <c r="U562" s="42">
        <v>1.0</v>
      </c>
      <c r="V562" s="42">
        <v>8.0</v>
      </c>
      <c r="W562" s="42" t="s">
        <v>995</v>
      </c>
      <c r="X562" s="42" t="s">
        <v>995</v>
      </c>
      <c r="Y562" s="42" t="s">
        <v>995</v>
      </c>
    </row>
    <row r="563" ht="22.5" customHeight="1">
      <c r="A563" s="41"/>
      <c r="B563" s="41">
        <v>5670.0</v>
      </c>
      <c r="C563" s="41" t="s">
        <v>271</v>
      </c>
      <c r="D563" s="41" t="s">
        <v>3658</v>
      </c>
      <c r="E563" s="41" t="s">
        <v>3658</v>
      </c>
      <c r="F563" s="41" t="s">
        <v>271</v>
      </c>
      <c r="G563" s="41">
        <v>599.0</v>
      </c>
      <c r="H563" s="41" t="s">
        <v>3658</v>
      </c>
      <c r="I563" s="41"/>
      <c r="J563" s="41" t="s">
        <v>3658</v>
      </c>
      <c r="K563" s="42" t="s">
        <v>3659</v>
      </c>
      <c r="L563" s="42" t="s">
        <v>3660</v>
      </c>
      <c r="M563" s="42" t="s">
        <v>962</v>
      </c>
      <c r="N563" s="42">
        <v>0.0</v>
      </c>
      <c r="O563" s="42">
        <v>1.0</v>
      </c>
      <c r="P563" s="42">
        <v>2.0</v>
      </c>
      <c r="Q563" s="42">
        <v>0.0</v>
      </c>
      <c r="R563" s="42">
        <v>0.0</v>
      </c>
      <c r="S563" s="42">
        <v>1.0</v>
      </c>
      <c r="T563" s="42" t="s">
        <v>3661</v>
      </c>
      <c r="U563" s="42">
        <v>1.0</v>
      </c>
      <c r="V563" s="42">
        <v>8.0</v>
      </c>
      <c r="W563" s="42" t="s">
        <v>995</v>
      </c>
      <c r="X563" s="42" t="s">
        <v>995</v>
      </c>
      <c r="Y563" s="42" t="s">
        <v>995</v>
      </c>
    </row>
    <row r="564" ht="22.5" customHeight="1">
      <c r="A564" s="41"/>
      <c r="B564" s="41">
        <v>5671.0</v>
      </c>
      <c r="C564" s="41" t="s">
        <v>271</v>
      </c>
      <c r="D564" s="41" t="s">
        <v>3662</v>
      </c>
      <c r="E564" s="41" t="s">
        <v>3662</v>
      </c>
      <c r="F564" s="41" t="s">
        <v>271</v>
      </c>
      <c r="G564" s="41">
        <v>600.0</v>
      </c>
      <c r="H564" s="41" t="s">
        <v>3663</v>
      </c>
      <c r="I564" s="41"/>
      <c r="J564" s="41" t="s">
        <v>3663</v>
      </c>
      <c r="K564" s="42" t="s">
        <v>3664</v>
      </c>
      <c r="L564" s="42" t="s">
        <v>3665</v>
      </c>
      <c r="M564" s="42" t="s">
        <v>1028</v>
      </c>
      <c r="N564" s="42">
        <v>0.0</v>
      </c>
      <c r="O564" s="42">
        <v>1.0</v>
      </c>
      <c r="P564" s="42">
        <v>2.0</v>
      </c>
      <c r="Q564" s="42">
        <v>0.0</v>
      </c>
      <c r="R564" s="42">
        <v>1.0</v>
      </c>
      <c r="S564" s="42">
        <v>0.0</v>
      </c>
      <c r="T564" s="42" t="s">
        <v>3666</v>
      </c>
      <c r="U564" s="42">
        <v>1.0</v>
      </c>
      <c r="V564" s="42">
        <v>8.0</v>
      </c>
      <c r="W564" s="42" t="s">
        <v>995</v>
      </c>
      <c r="X564" s="42" t="s">
        <v>995</v>
      </c>
      <c r="Y564" s="42" t="s">
        <v>995</v>
      </c>
    </row>
    <row r="565" ht="22.5" customHeight="1">
      <c r="A565" s="41"/>
      <c r="B565" s="41">
        <v>5672.0</v>
      </c>
      <c r="C565" s="41" t="s">
        <v>271</v>
      </c>
      <c r="D565" s="41" t="s">
        <v>3667</v>
      </c>
      <c r="E565" s="41" t="s">
        <v>3667</v>
      </c>
      <c r="F565" s="41" t="s">
        <v>271</v>
      </c>
      <c r="G565" s="41">
        <v>601.0</v>
      </c>
      <c r="H565" s="41" t="s">
        <v>3668</v>
      </c>
      <c r="I565" s="41"/>
      <c r="J565" s="41" t="s">
        <v>3668</v>
      </c>
      <c r="K565" s="42" t="s">
        <v>3669</v>
      </c>
      <c r="L565" s="42" t="s">
        <v>3670</v>
      </c>
      <c r="M565" s="42" t="s">
        <v>1028</v>
      </c>
      <c r="N565" s="42">
        <v>0.0</v>
      </c>
      <c r="O565" s="42">
        <v>1.0</v>
      </c>
      <c r="P565" s="42">
        <v>2.0</v>
      </c>
      <c r="Q565" s="42">
        <v>0.0</v>
      </c>
      <c r="R565" s="42">
        <v>1.0</v>
      </c>
      <c r="S565" s="42">
        <v>0.0</v>
      </c>
      <c r="T565" s="42" t="s">
        <v>3671</v>
      </c>
      <c r="U565" s="42">
        <v>1.0</v>
      </c>
      <c r="V565" s="42">
        <v>8.0</v>
      </c>
      <c r="W565" s="42" t="s">
        <v>995</v>
      </c>
      <c r="X565" s="42" t="s">
        <v>995</v>
      </c>
      <c r="Y565" s="42" t="s">
        <v>995</v>
      </c>
    </row>
  </sheetData>
  <drawing r:id="rId1"/>
  <tableParts count="1">
    <tablePart r:id="rId3"/>
  </tableParts>
</worksheet>
</file>