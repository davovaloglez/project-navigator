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os" sheetId="1" r:id="rId5"/>
    <sheet state="visible" name="cursos" sheetId="2" r:id="rId6"/>
    <sheet state="visible" name="equipo" sheetId="3" r:id="rId7"/>
    <sheet state="visible" name="proyectos" sheetId="4" r:id="rId8"/>
    <sheet state="visible" name="actividades" sheetId="5" r:id="rId9"/>
    <sheet state="visible" name="sprint" sheetId="6" r:id="rId10"/>
    <sheet state="visible" name="capacidades" sheetId="7" r:id="rId11"/>
    <sheet state="visible" name="repositorios" sheetId="8" r:id="rId12"/>
    <sheet state="visible" name="user_rol" sheetId="9" r:id="rId13"/>
  </sheets>
  <definedNames>
    <definedName hidden="1" localSheetId="3" name="_xlnm._FilterDatabase">proyectos!$A$1:$AH$60</definedName>
    <definedName hidden="1" localSheetId="4" name="_xlnm._FilterDatabase">actividades!$A$1:$Z$86</definedName>
    <definedName hidden="1" localSheetId="8" name="_xlnm._FilterDatabase">user_rol!$A$1:$AE$33</definedName>
  </definedNames>
  <calcPr/>
</workbook>
</file>

<file path=xl/sharedStrings.xml><?xml version="1.0" encoding="utf-8"?>
<sst xmlns="http://schemas.openxmlformats.org/spreadsheetml/2006/main" count="4007" uniqueCount="795">
  <si>
    <t>Rol</t>
  </si>
  <si>
    <t>Recursos</t>
  </si>
  <si>
    <t>Horas/recurso</t>
  </si>
  <si>
    <t>Costo/Mensual</t>
  </si>
  <si>
    <t>Costo/hora</t>
  </si>
  <si>
    <t>Horas</t>
  </si>
  <si>
    <t>TOTAL</t>
  </si>
  <si>
    <t>Tech Manager</t>
  </si>
  <si>
    <t>Product Manager</t>
  </si>
  <si>
    <t>Project Manager Officer</t>
  </si>
  <si>
    <t>Arquitecto técnico</t>
  </si>
  <si>
    <t>Project Manager</t>
  </si>
  <si>
    <t>Product Owner</t>
  </si>
  <si>
    <t>Desarrollador Sr</t>
  </si>
  <si>
    <t>Desarrollador Semi Sr</t>
  </si>
  <si>
    <t>Desarrollador Jr</t>
  </si>
  <si>
    <t>QA</t>
  </si>
  <si>
    <t>UX/UI</t>
  </si>
  <si>
    <t>Consultoría/Diseño</t>
  </si>
  <si>
    <t>Costo operativo</t>
  </si>
  <si>
    <t>Valor de la experiencia</t>
  </si>
  <si>
    <t>Subtotal después de Valor de la experiencia</t>
  </si>
  <si>
    <t>Costo administrativo</t>
  </si>
  <si>
    <t>Subtotal después de costo administrativo</t>
  </si>
  <si>
    <t>Margen de beneficio</t>
  </si>
  <si>
    <t>Subtotal</t>
  </si>
  <si>
    <t>IVA</t>
  </si>
  <si>
    <t>nombre</t>
  </si>
  <si>
    <t>email</t>
  </si>
  <si>
    <t>id</t>
  </si>
  <si>
    <t>departamento</t>
  </si>
  <si>
    <t>rol</t>
  </si>
  <si>
    <t>jefe</t>
  </si>
  <si>
    <t>email_jefe</t>
  </si>
  <si>
    <t>id_jefe</t>
  </si>
  <si>
    <t>Progreso</t>
  </si>
  <si>
    <t>Dulce Lucero Pérez Salazar</t>
  </si>
  <si>
    <t>dperez@bit.lat</t>
  </si>
  <si>
    <t>Allies Networking</t>
  </si>
  <si>
    <t>Consultor de Éxito del Cliente  (Customer Success Explorer)</t>
  </si>
  <si>
    <t>Favio Antonio González Vaca</t>
  </si>
  <si>
    <t>fgonzalez@bit.lat</t>
  </si>
  <si>
    <t>Graciela Martínez Mejía</t>
  </si>
  <si>
    <t>gmartinez@bit.lat</t>
  </si>
  <si>
    <t>Analytics Solutions</t>
  </si>
  <si>
    <t>Data Empowerment Explorer</t>
  </si>
  <si>
    <t>Ana Luz Aguilar Pecina</t>
  </si>
  <si>
    <t>aaguilar@bit.lat</t>
  </si>
  <si>
    <t>Growth Experiences</t>
  </si>
  <si>
    <t>Project Manager (Successful Project Explorer)</t>
  </si>
  <si>
    <t>David Haylton Loredo Ruiz</t>
  </si>
  <si>
    <t>hloredo@bit.lat</t>
  </si>
  <si>
    <t>Product Manager (Successful Product Explorer)</t>
  </si>
  <si>
    <t>Fabian Gonzalez Ruiz</t>
  </si>
  <si>
    <t>fgonzalezr@bit.lat</t>
  </si>
  <si>
    <t>David Alejandro González Velázquez</t>
  </si>
  <si>
    <t>dgonzalez@bit.lat</t>
  </si>
  <si>
    <t>Rodolfo Alejandro Cuevas Infante</t>
  </si>
  <si>
    <t>rcuevas@bit.lat</t>
  </si>
  <si>
    <t>Erithan Eduardo Gonzalez Ruiz</t>
  </si>
  <si>
    <t>egonzalez@bit.lat</t>
  </si>
  <si>
    <t>Tech Ambition</t>
  </si>
  <si>
    <t>QA Analyst  (Tech Excellence Explorer)</t>
  </si>
  <si>
    <t>Eduardo Montaño Gómez</t>
  </si>
  <si>
    <t>emontano@bit.lat</t>
  </si>
  <si>
    <t>Software Architect  (Tech Ambition Explorer)</t>
  </si>
  <si>
    <t>Raúl Bernal Velázquez</t>
  </si>
  <si>
    <t>rbernal@bit.lat</t>
  </si>
  <si>
    <t>Tech Lead  (Successful Innovation Explorer)</t>
  </si>
  <si>
    <t>Jorge Alberto Enríquez Salazar</t>
  </si>
  <si>
    <t>jenriquez@bit.lat</t>
  </si>
  <si>
    <t>Alejandra Lolita Serrano Alcantara</t>
  </si>
  <si>
    <t>aserrano@bit.lat</t>
  </si>
  <si>
    <t>Full-Stack Developer (Innovative Tech Explorer)</t>
  </si>
  <si>
    <t>Lorena Raquel Olvera Rodriguez</t>
  </si>
  <si>
    <t>lolvera@bit.lat</t>
  </si>
  <si>
    <t>Backend Developer   (Innovative Tech Explorer)</t>
  </si>
  <si>
    <t>Mario Ramírez Pérez</t>
  </si>
  <si>
    <t>mramirez@bit.lat</t>
  </si>
  <si>
    <t>Product Support Engineer  (Innovative Tech Explorer)</t>
  </si>
  <si>
    <t>Gregorio Guadarrama Ayala</t>
  </si>
  <si>
    <t>gguadarrama@bit.lat</t>
  </si>
  <si>
    <t>Desarrollador . net SR  (Innovative Tech Explorer Sr)</t>
  </si>
  <si>
    <t>Alfredo Lara Dotor</t>
  </si>
  <si>
    <t>alara@bit.lat</t>
  </si>
  <si>
    <t>Emilio Contreras Vilchis</t>
  </si>
  <si>
    <t>econtreras@bit.lat</t>
  </si>
  <si>
    <t>Guillermo Hugo Enríquez Venegas</t>
  </si>
  <si>
    <t>henriquez@bit.lat</t>
  </si>
  <si>
    <t>Jose Armando Meza Vigueras</t>
  </si>
  <si>
    <t>ameza@bit.lat</t>
  </si>
  <si>
    <t>Mobile Engineer  (Innovative Tech Explorer)</t>
  </si>
  <si>
    <t>Luis Bernal Velázquez</t>
  </si>
  <si>
    <t>lbernal@bit.lat</t>
  </si>
  <si>
    <t>Jasiel López Arellano</t>
  </si>
  <si>
    <t>jlopez@bit.lat</t>
  </si>
  <si>
    <t>Julia Rojas Ampudia</t>
  </si>
  <si>
    <t>jrojas@bit.lat</t>
  </si>
  <si>
    <t>Edgar Arturo Torres Hernandez</t>
  </si>
  <si>
    <t>etorres@bit.lat</t>
  </si>
  <si>
    <t>Alejandro Vázquez Carbajal</t>
  </si>
  <si>
    <t>avazquez@bit.lat</t>
  </si>
  <si>
    <t>Jonathan Alexis Sierra Pacheco</t>
  </si>
  <si>
    <t>asierra@bit.lat</t>
  </si>
  <si>
    <t>Frontend Developer Mid Sr (Innovative Tech Explorer)</t>
  </si>
  <si>
    <t>Josue Salvador Patiño Degollado</t>
  </si>
  <si>
    <t>jpatino@bit.lat</t>
  </si>
  <si>
    <t>tag</t>
  </si>
  <si>
    <t>nickname</t>
  </si>
  <si>
    <t>user</t>
  </si>
  <si>
    <t>puesto</t>
  </si>
  <si>
    <t>jefe_id</t>
  </si>
  <si>
    <t>Alejandra Serrano</t>
  </si>
  <si>
    <t>Ale</t>
  </si>
  <si>
    <t>desarrollador-jr</t>
  </si>
  <si>
    <t>Alfredo Lara</t>
  </si>
  <si>
    <t>Alfred</t>
  </si>
  <si>
    <t>Ana Luz Aguilar</t>
  </si>
  <si>
    <t>Luz</t>
  </si>
  <si>
    <t>project-manager</t>
  </si>
  <si>
    <t>Dulce Perez</t>
  </si>
  <si>
    <t>ed-tech</t>
  </si>
  <si>
    <t>Edgar Torres</t>
  </si>
  <si>
    <t>Emilio Contreras</t>
  </si>
  <si>
    <t>desarrollador-sr</t>
  </si>
  <si>
    <t>Graciela Martinez</t>
  </si>
  <si>
    <t>Grace</t>
  </si>
  <si>
    <t>desarrollador-mid</t>
  </si>
  <si>
    <t>Gregorio Guadarrama</t>
  </si>
  <si>
    <t>Hugo Enríquez</t>
  </si>
  <si>
    <t>Hugo</t>
  </si>
  <si>
    <t>Jasiel López</t>
  </si>
  <si>
    <t>Alexis Sierra</t>
  </si>
  <si>
    <t>Alexis</t>
  </si>
  <si>
    <t>Armando Meza</t>
  </si>
  <si>
    <t>Arman</t>
  </si>
  <si>
    <t>Josue Patiño</t>
  </si>
  <si>
    <t>arquitecto-tecnico</t>
  </si>
  <si>
    <t>Julia Rojas</t>
  </si>
  <si>
    <t>July</t>
  </si>
  <si>
    <t>Luis Bernal</t>
  </si>
  <si>
    <t>Mario Ramírez</t>
  </si>
  <si>
    <t>Raúl Bernal</t>
  </si>
  <si>
    <t>Alejandro Vázquez</t>
  </si>
  <si>
    <t>Angel Morales</t>
  </si>
  <si>
    <t>amorales@bit.lat</t>
  </si>
  <si>
    <t>Carlos Zamudio</t>
  </si>
  <si>
    <t>czamudio@bit.lat</t>
  </si>
  <si>
    <t>David González</t>
  </si>
  <si>
    <t>Dave</t>
  </si>
  <si>
    <t>Haylton Loredo</t>
  </si>
  <si>
    <t>Haylton</t>
  </si>
  <si>
    <t>product-manager</t>
  </si>
  <si>
    <t>Edin Ramirez</t>
  </si>
  <si>
    <t>eramirez@bit.lat</t>
  </si>
  <si>
    <t>Ux / Ui</t>
  </si>
  <si>
    <t>ux-ui</t>
  </si>
  <si>
    <t>Eduardo Montaño</t>
  </si>
  <si>
    <t>Montaño</t>
  </si>
  <si>
    <t>Erithan González</t>
  </si>
  <si>
    <t>qa</t>
  </si>
  <si>
    <t>Lorena Olvera</t>
  </si>
  <si>
    <t>Lore</t>
  </si>
  <si>
    <t>Nallely Mejia Torres</t>
  </si>
  <si>
    <t>nmejia@bit.lat</t>
  </si>
  <si>
    <t>Nallely Mejía</t>
  </si>
  <si>
    <t>Nalle</t>
  </si>
  <si>
    <t>Rafael Escobar</t>
  </si>
  <si>
    <t>rescobar@bit.lat</t>
  </si>
  <si>
    <t>Rafa</t>
  </si>
  <si>
    <t>desarrollador-trainee</t>
  </si>
  <si>
    <t>Rodolfo Cuevas</t>
  </si>
  <si>
    <t>Fito</t>
  </si>
  <si>
    <t>Jorge Enríquez</t>
  </si>
  <si>
    <t>George</t>
  </si>
  <si>
    <t>Favio Gonzalez</t>
  </si>
  <si>
    <t>Service Manager (Allies Networking)</t>
  </si>
  <si>
    <t>service-manager</t>
  </si>
  <si>
    <t xml:space="preserve">Edgar Alfonso Arzate </t>
  </si>
  <si>
    <t>Fabián González</t>
  </si>
  <si>
    <t>Chief Information Officer</t>
  </si>
  <si>
    <t>cio</t>
  </si>
  <si>
    <t>Maricruz Hernández</t>
  </si>
  <si>
    <t>mhernandez@bit.lat</t>
  </si>
  <si>
    <t>Edgar Alfonso Arzate</t>
  </si>
  <si>
    <t>earzate@bit.lat</t>
  </si>
  <si>
    <t>Edgar Arzate</t>
  </si>
  <si>
    <t>Arzate</t>
  </si>
  <si>
    <t>ceo</t>
  </si>
  <si>
    <t>URL</t>
  </si>
  <si>
    <t>folio</t>
  </si>
  <si>
    <t>tipo</t>
  </si>
  <si>
    <t>producto</t>
  </si>
  <si>
    <t>servicio</t>
  </si>
  <si>
    <t>aliado</t>
  </si>
  <si>
    <t>estatus</t>
  </si>
  <si>
    <t>salud</t>
  </si>
  <si>
    <t>progreso</t>
  </si>
  <si>
    <t>prioridad</t>
  </si>
  <si>
    <t>Épica (Producto)</t>
  </si>
  <si>
    <t>cuatrimestre</t>
  </si>
  <si>
    <t>sprint</t>
  </si>
  <si>
    <t>Puntos</t>
  </si>
  <si>
    <t>Registro</t>
  </si>
  <si>
    <t>Fecha inicio</t>
  </si>
  <si>
    <t>Fin estimado</t>
  </si>
  <si>
    <t>Fin real</t>
  </si>
  <si>
    <t>PO</t>
  </si>
  <si>
    <t>PO_ID</t>
  </si>
  <si>
    <t>PM</t>
  </si>
  <si>
    <t>PM_ID</t>
  </si>
  <si>
    <t>Arquitecto</t>
  </si>
  <si>
    <t>Arquitecto_ID</t>
  </si>
  <si>
    <t>DEVs</t>
  </si>
  <si>
    <t>DEVs_ID</t>
  </si>
  <si>
    <t>SQA</t>
  </si>
  <si>
    <t>SQA_ID</t>
  </si>
  <si>
    <t>Requiere de</t>
  </si>
  <si>
    <t>Requiere_ID</t>
  </si>
  <si>
    <t>Accion requerida</t>
  </si>
  <si>
    <t>Fecha de accion</t>
  </si>
  <si>
    <t>https://app.samva.io/PnlCliente/ListarClientesColasProyectosDetalle.aspx?eSUQ9NDE0ODQ3JlA9MTEyNDI=</t>
  </si>
  <si>
    <t>H/PROJECT-65</t>
  </si>
  <si>
    <t>Rediseño roles y Parametros de sistema</t>
  </si>
  <si>
    <t>Project</t>
  </si>
  <si>
    <t>Academic</t>
  </si>
  <si>
    <t>Core</t>
  </si>
  <si>
    <t>Ninguno</t>
  </si>
  <si>
    <t>At Risk</t>
  </si>
  <si>
    <t>En riesgo</t>
  </si>
  <si>
    <t>Bloqueadora</t>
  </si>
  <si>
    <t>2026 Q2</t>
  </si>
  <si>
    <t>S16</t>
  </si>
  <si>
    <t>-</t>
  </si>
  <si>
    <t>Luis</t>
  </si>
  <si>
    <t>Gregorio</t>
  </si>
  <si>
    <t>Erithan</t>
  </si>
  <si>
    <t>Correccion de Bugs
Retrazo del doble</t>
  </si>
  <si>
    <t>https://app.samva.io/PnlCliente/ListarClientesColasProyectosDetalle.aspx?ID=411556&amp;P=11242</t>
  </si>
  <si>
    <t>H/PROJECT-45</t>
  </si>
  <si>
    <t>Caja Rapida --&gt; POS 2.0</t>
  </si>
  <si>
    <t>Requiere atencion</t>
  </si>
  <si>
    <t>Mayor</t>
  </si>
  <si>
    <t>2026 Q1</t>
  </si>
  <si>
    <t>Luis, Jasiel</t>
  </si>
  <si>
    <t>Analsis de informacion faltante
Nuevas funcionalidades</t>
  </si>
  <si>
    <t>https://app.samva.io/PnlCliente/ListarClientesColasProyectosDetalle.aspx?eSUQ9NDE4MDk0JlA9MTEyNDI=</t>
  </si>
  <si>
    <t>H/PROJECT-70</t>
  </si>
  <si>
    <t>Refactorizar Pagos (Procesamiento)</t>
  </si>
  <si>
    <t>Menor</t>
  </si>
  <si>
    <t>Luis, George</t>
  </si>
  <si>
    <t>Reunión con desarrollador asignados.
Asignar DEV</t>
  </si>
  <si>
    <t>https://app.samva.io/PnlCliente/ListarClientesColasProyectosDetalle.aspx?ID=414269&amp;P=11242</t>
  </si>
  <si>
    <t>H/PROJECT-60</t>
  </si>
  <si>
    <t>UNIMEL - Academic/Moodle</t>
  </si>
  <si>
    <t>Proposal</t>
  </si>
  <si>
    <t>UNIMEL</t>
  </si>
  <si>
    <t>Blocked / Critical</t>
  </si>
  <si>
    <t>Alejandro</t>
  </si>
  <si>
    <t>Contacto con el Aliado</t>
  </si>
  <si>
    <t>https://app.samva.io/PnlCliente/ListarClientesColasProyectosDetalle.aspx?ID=411158&amp;P=11242</t>
  </si>
  <si>
    <t>PROJECT-4</t>
  </si>
  <si>
    <t>Módulo de Autofacturación y Gestión Fiscal para Residentes</t>
  </si>
  <si>
    <t>Togie</t>
  </si>
  <si>
    <t>Crítica</t>
  </si>
  <si>
    <t>S12</t>
  </si>
  <si>
    <t>---</t>
  </si>
  <si>
    <t>N/A</t>
  </si>
  <si>
    <t>https://app.samva.io/PnlCliente/ListarClientesColasProyectosDetalle.aspx?ID=411210&amp;P=11242</t>
  </si>
  <si>
    <t>H/PROJECT-18</t>
  </si>
  <si>
    <t>Billpocket</t>
  </si>
  <si>
    <t>Done</t>
  </si>
  <si>
    <t>Estable</t>
  </si>
  <si>
    <t>S13</t>
  </si>
  <si>
    <t>https://app.samva.io/PnlCliente/ListarClientesColasProyectosDetalle.aspx?ID=411217&amp;P=11242</t>
  </si>
  <si>
    <t>H/PROJECT-25</t>
  </si>
  <si>
    <t>Boleta de calificaciones (APP)</t>
  </si>
  <si>
    <t>APP</t>
  </si>
  <si>
    <t>Edgar</t>
  </si>
  <si>
    <t>https://app.samva.io/PnlCliente/ListarClientesColasProyectosDetalle.aspx?ID=411225&amp;P=11242</t>
  </si>
  <si>
    <t>H/PROJECT-33</t>
  </si>
  <si>
    <t>Asistencia App (Prof App)</t>
  </si>
  <si>
    <t>2025 Q4</t>
  </si>
  <si>
    <t>https://app.samva.io/PnlCliente/ListarClientesColasProyectosDetalle.aspx?ID=411231&amp;P=11242</t>
  </si>
  <si>
    <t>H/PROJECT-38</t>
  </si>
  <si>
    <t>Geolocalización</t>
  </si>
  <si>
    <t>Edgar, Arman, Lore</t>
  </si>
  <si>
    <t>https://app.samva.io/PnlCliente/ListarClientesColasProyectosDetalle.aspx?ID=411159&amp;P=11242</t>
  </si>
  <si>
    <t>H/PROJECT-5</t>
  </si>
  <si>
    <t>Carrusel</t>
  </si>
  <si>
    <t>Arman, Edgar, Lore, Rafa</t>
  </si>
  <si>
    <t>https://app.samva.io/PnlCliente/ListarClientesColasProyectosDetalle.aspx?ID=412550&amp;P=11242</t>
  </si>
  <si>
    <t>H/PROJECT-57</t>
  </si>
  <si>
    <t>ChatbotV1 - (RAG)</t>
  </si>
  <si>
    <t>Trivial</t>
  </si>
  <si>
    <t>S15</t>
  </si>
  <si>
    <t>Josue</t>
  </si>
  <si>
    <t>Edin, George, Haylton</t>
  </si>
  <si>
    <t>Definir metricas de "Exito"</t>
  </si>
  <si>
    <t>https://app.samva.io/PnlCliente/ListarClientesColasProyectosDetalle.aspx?ID=414779&amp;P=11242</t>
  </si>
  <si>
    <t>H/PROJECT-62</t>
  </si>
  <si>
    <t>Universidad Riviera</t>
  </si>
  <si>
    <t>Riviera</t>
  </si>
  <si>
    <t>Pago referenciado</t>
  </si>
  <si>
    <t>Definir metodo de Codigo de barras</t>
  </si>
  <si>
    <t>https://app.samva.io/PnlCliente/ListarClientesColasProyectosDetalle.aspx?ID=412309&amp;P=11242</t>
  </si>
  <si>
    <t>PROJECT-51</t>
  </si>
  <si>
    <t>Pagos Recurrentes - Togie</t>
  </si>
  <si>
    <t>DiscoverIT</t>
  </si>
  <si>
    <t>https://app.samva.io/PnlCliente/ListarClientesColasProyectosDetalle.aspx?ID=411160&amp;P=11242</t>
  </si>
  <si>
    <t>PROJECT-6</t>
  </si>
  <si>
    <t>Sitio Web Colegio Alemán</t>
  </si>
  <si>
    <t>Colegio Aleman</t>
  </si>
  <si>
    <t>https://app.samva.io/PnlCliente/ListarClientesColasProyectosDetalle.aspx?eSUQ9NDE4MDk2JlA9MTEyNDI=</t>
  </si>
  <si>
    <t>H/PROJECT-71</t>
  </si>
  <si>
    <t>AgenteAWS - Chatbot - (RAG/MCP)</t>
  </si>
  <si>
    <t>2026 Q3</t>
  </si>
  <si>
    <t>Definir Objetivos</t>
  </si>
  <si>
    <t>https://app.samva.io/PnlCliente/ListarClientesColasProyectosDetalle.aspx?ID=411263&amp;P=11242</t>
  </si>
  <si>
    <t>H/PROJECT-39</t>
  </si>
  <si>
    <t>Procesos BIT</t>
  </si>
  <si>
    <t>Bit</t>
  </si>
  <si>
    <t>Maricruz, Gerentes</t>
  </si>
  <si>
    <t>Envío de todos los procesos de los involucrados para firma</t>
  </si>
  <si>
    <t>https://app.samva.io/PnlCliente/ListarClientesColasProyectosDetalle.aspx?ID=411224&amp;P=11242</t>
  </si>
  <si>
    <t>H/PROJECT-32</t>
  </si>
  <si>
    <t>WAF - Hackmetrix - goLive</t>
  </si>
  <si>
    <t>Hypercare</t>
  </si>
  <si>
    <t>Erithan, Montaño, Luis</t>
  </si>
  <si>
    <t>Definir plan de acción.</t>
  </si>
  <si>
    <t>https://app.samva.io/PnlCliente/ListarClientesColasProyectosDetalle.aspx?ID=411226&amp;P=11242</t>
  </si>
  <si>
    <t>H/PROJECT-34</t>
  </si>
  <si>
    <t>IA-Analitycs / a-Intelligence</t>
  </si>
  <si>
    <t>Dither</t>
  </si>
  <si>
    <t>Hugo, Angel, Carlos, Ale</t>
  </si>
  <si>
    <t>Fabian, Haylton, Edin</t>
  </si>
  <si>
    <t>Roadmap consecuente. VoBo Ux/Ui</t>
  </si>
  <si>
    <t>https://app.samva.io/PnlCliente/ListarClientesColasProyectosDetalle.aspx?ID=411273&amp;P=11242</t>
  </si>
  <si>
    <t>H/PROJECT-40</t>
  </si>
  <si>
    <t>Renovación Liverpool 2025</t>
  </si>
  <si>
    <t>UVL</t>
  </si>
  <si>
    <t>https://app.samva.io/PnlCliente/ListarClientesColasProyectosDetalle.aspx?ID=411365&amp;P=11242</t>
  </si>
  <si>
    <t>H/PROJECT-43</t>
  </si>
  <si>
    <t>CRIA 2.0</t>
  </si>
  <si>
    <t>Fito, George</t>
  </si>
  <si>
    <t>Autorizar el cierre del proyecto</t>
  </si>
  <si>
    <t>https://app.samva.io/PnlCliente/ListarClientesColasProyectosDetalle.aspx?ID=412534&amp;P=11242</t>
  </si>
  <si>
    <t>H/PROJECT-55</t>
  </si>
  <si>
    <t>Academic &lt;&gt; Defontana</t>
  </si>
  <si>
    <t>Defontana</t>
  </si>
  <si>
    <t>Emilio</t>
  </si>
  <si>
    <t>Defontana, Fito</t>
  </si>
  <si>
    <t>Entregar las ultimas adecuaciones en APIs DEfontana y definir plan de  KickOff con aliado en produccion</t>
  </si>
  <si>
    <t>https://app.samva.io/PnlCliente/ListarClientesColasProyectosDetalle.aspx?ID=414780&amp;P=11242</t>
  </si>
  <si>
    <t>H/PROJECT-63</t>
  </si>
  <si>
    <t>PUI</t>
  </si>
  <si>
    <t>S14</t>
  </si>
  <si>
    <t>George, Haylton</t>
  </si>
  <si>
    <t>Endpoints de modificacion
Aliado con credenciales</t>
  </si>
  <si>
    <t>https://app.samva.io/PnlCliente/ListarClientesColasProyectosDetalle.aspx?eSUQ9NDE1MDA0JlA9MTEyNDI=</t>
  </si>
  <si>
    <t>H/PROJECT-67</t>
  </si>
  <si>
    <t>Dosificador de folios.</t>
  </si>
  <si>
    <t>Hugo, Jasiel, Alfred</t>
  </si>
  <si>
    <t>Luis, Haylton</t>
  </si>
  <si>
    <t>Formalizar el orden de liberación y comunicacion  hacía a los aliados.</t>
  </si>
  <si>
    <t>https://app.samva.io/PnlCliente/ListarClientesColasProyectosDetalle.aspx?ID=414744&amp;P=11242</t>
  </si>
  <si>
    <t>H/PROJECT-61</t>
  </si>
  <si>
    <t>Academic &lt;&gt; Canvas (LMS)</t>
  </si>
  <si>
    <t>Canvas</t>
  </si>
  <si>
    <t>https://app.samva.io/PnlCliente/ListarClientesColasProyectosDetalle.aspx?ID=411219&amp;P=11242</t>
  </si>
  <si>
    <t>H/PROJECT-27</t>
  </si>
  <si>
    <t>Solución de Kiosko físico</t>
  </si>
  <si>
    <t>On Hold</t>
  </si>
  <si>
    <t>2026 Q4</t>
  </si>
  <si>
    <t>Favio, Fabian, Haylton</t>
  </si>
  <si>
    <t>Definir continuidad o próximos pasos.</t>
  </si>
  <si>
    <t>https://app.samva.io/PnlCliente/ListarClientesColasProyectosDetalle.aspx?ID=411227&amp;P=11242</t>
  </si>
  <si>
    <t>H/PROJECT-35</t>
  </si>
  <si>
    <t xml:space="preserve">Git Actions - ApiDogs </t>
  </si>
  <si>
    <t>S17</t>
  </si>
  <si>
    <t>Validar continuidad y alcances</t>
  </si>
  <si>
    <t>https://app.samva.io/PnlCliente/ListarClientesColasProyectosDetalle.aspx?ID=411228&amp;P=11242</t>
  </si>
  <si>
    <t>H/PROJECT-36</t>
  </si>
  <si>
    <t>Admissions</t>
  </si>
  <si>
    <t>CEO</t>
  </si>
  <si>
    <t xml:space="preserve">Reunion  con directivos para compartir la visión. </t>
  </si>
  <si>
    <t>https://app.samva.io/PnlCliente/ListarClientesColasProyectosDetalle.aspx?ID=411229&amp;P=11242</t>
  </si>
  <si>
    <t>H/PROJECT-37</t>
  </si>
  <si>
    <t>Admin App / Evolution</t>
  </si>
  <si>
    <t>https://app.samva.io/PnlCliente/ListarClientesColasProyectosDetalle.aspx?ID=411361&amp;P=11242</t>
  </si>
  <si>
    <t>H/PROJECT-42</t>
  </si>
  <si>
    <t>aEvolution</t>
  </si>
  <si>
    <t>https://app.samva.io/PnlCliente/ListarClientesColasProyectosDetalle.aspx?ID=413032&amp;P=11242</t>
  </si>
  <si>
    <t>H/PROJECT-59</t>
  </si>
  <si>
    <t>Academic Safe (v3)</t>
  </si>
  <si>
    <t>Luis, Montaño</t>
  </si>
  <si>
    <t>Validar la priorización de las hallazgos para ser traducidas a historias de usuario.
Asignar recursos (Posible Emilio y/o Gregorio)</t>
  </si>
  <si>
    <t>https://app.samva.io/PnlCliente/ListarClientesColasProyectosDetalle.aspx?eSUQ9NDE0ODUyJlA9MTEyNDI=</t>
  </si>
  <si>
    <t>H/PROJECT-66</t>
  </si>
  <si>
    <t>PROF - Justificar Inasistencia de Alumnos</t>
  </si>
  <si>
    <t>Core, App</t>
  </si>
  <si>
    <t>Edgar, Emilio, Lore</t>
  </si>
  <si>
    <t>Terminar Actividades</t>
  </si>
  <si>
    <t>https://app.samva.io/PnlCliente/ListarClientesColasProyectosDetalle.aspx?ID=411213&amp;P=11242</t>
  </si>
  <si>
    <t>H/PROJECT-21</t>
  </si>
  <si>
    <t>IA - Generativa</t>
  </si>
  <si>
    <t>On Track</t>
  </si>
  <si>
    <t>Jasiel, Arman, Josue</t>
  </si>
  <si>
    <t>Validar la propuesta para IA de Armando</t>
  </si>
  <si>
    <t>https://app.samva.io/PnlCliente/ListarClientesColasProyectosDetalle.aspx?ID=411218&amp;P=11242</t>
  </si>
  <si>
    <t>H/PROJECT-26</t>
  </si>
  <si>
    <t>Connect</t>
  </si>
  <si>
    <t>Validar arquitectura propuesta, avances de prototipado. Historias de usuario.</t>
  </si>
  <si>
    <t>https://app.samva.io/PnlCliente/ListarClientesColasProyectosDetalle.aspx?ID=411223&amp;P=11242</t>
  </si>
  <si>
    <t>H/PROJECT-31</t>
  </si>
  <si>
    <t>2FA - gO Live</t>
  </si>
  <si>
    <t>https://app.samva.io/PnlCliente/ListarClientesColasProyectosDetalle.aspx?eSUQ9NDE5MzQzJlA9MTEyNDI=</t>
  </si>
  <si>
    <t>H/PROJECT-79</t>
  </si>
  <si>
    <t>Mouseflow</t>
  </si>
  <si>
    <t>Ux/Ui</t>
  </si>
  <si>
    <t>Edin</t>
  </si>
  <si>
    <t>Definir flujos, Implermentar flujos</t>
  </si>
  <si>
    <t>https://app.samva.io/PnlCliente/ListarClientesColasProyectosDetalle.aspx?eSUQ9NDIwMTUwJlA9MTEyNDI=</t>
  </si>
  <si>
    <t>H/PROJECT-84</t>
  </si>
  <si>
    <t xml:space="preserve">Credencial aplicación </t>
  </si>
  <si>
    <t>Definir prioridad</t>
  </si>
  <si>
    <t>PROJECT-11</t>
  </si>
  <si>
    <t>Soporte / Mantenimiento Centro Tolzú</t>
  </si>
  <si>
    <t>Retainer</t>
  </si>
  <si>
    <t>https://app.samva.io/PnlCliente/ListarClientesColasProyectosDetalle.aspx?ID=411191&amp;P=11242</t>
  </si>
  <si>
    <t>PROJECT-15</t>
  </si>
  <si>
    <t>Fondeo CO</t>
  </si>
  <si>
    <t>Atrevus</t>
  </si>
  <si>
    <t>Soporte</t>
  </si>
  <si>
    <t>Desarrollo 2da fase</t>
  </si>
  <si>
    <t>https://app.samva.io/PnlCliente/ListarClientesColasProyectosDetalle.aspx?ID=411193&amp;P=11242</t>
  </si>
  <si>
    <t>PROJECT-16</t>
  </si>
  <si>
    <t>Sabbi Soporte</t>
  </si>
  <si>
    <t>Sabbi</t>
  </si>
  <si>
    <t>Raúl, George</t>
  </si>
  <si>
    <t>https://app.samva.io/PnlCliente/ListarClientesColasProyectosDetalle.aspx?ID=411156&amp;P=11242</t>
  </si>
  <si>
    <t>PROJECT-2</t>
  </si>
  <si>
    <t>App Fase 1</t>
  </si>
  <si>
    <t>Samva</t>
  </si>
  <si>
    <t>https://app.samva.io/PnlCliente/ListarClientesColasProyectosDetalle.aspx?ID=411157&amp;P=11242</t>
  </si>
  <si>
    <t>PROJECT-3</t>
  </si>
  <si>
    <t>Gestión Centralizada de Accesos y Sincronización con Hardware</t>
  </si>
  <si>
    <t>https://app.samva.io/PnlCliente/ListarClientesColasProyectosDetalle.aspx?ID=411276&amp;P=11242</t>
  </si>
  <si>
    <t>PROJECT-41</t>
  </si>
  <si>
    <t>Integración CODI</t>
  </si>
  <si>
    <t>Organizacional</t>
  </si>
  <si>
    <t>https://app.samva.io/PnlCliente/ListarClientesColasProyectosDetalle.aspx?ID=417738&amp;P=11242</t>
  </si>
  <si>
    <t>PROJECT-69</t>
  </si>
  <si>
    <t>Samva | Integración con Intelisis</t>
  </si>
  <si>
    <t>https://app.samva.io/PnlCliente/ListarClientesColasProyectosDetalle.aspx?eSUQ9NDE1MDA1JlA9MTEyNDI=</t>
  </si>
  <si>
    <t>PROJECT-68</t>
  </si>
  <si>
    <t>Login (rediseño)</t>
  </si>
  <si>
    <t>Jasiel</t>
  </si>
  <si>
    <t>https://app.samva.io/PnlCliente/ListarClientesColasProyectosDetalle.aspx?ID=411209&amp;P=11242</t>
  </si>
  <si>
    <t>H/PROJECT-17</t>
  </si>
  <si>
    <t xml:space="preserve">Experiencia en informes </t>
  </si>
  <si>
    <t>Upcoming</t>
  </si>
  <si>
    <t>Haylton, Luis</t>
  </si>
  <si>
    <t>Validacion de HU</t>
  </si>
  <si>
    <t>https://app.samva.io/PnlCliente/ListarClientesColasProyectosDetalle.aspx?ID=411211&amp;P=11242</t>
  </si>
  <si>
    <t>H/PROJECT-19</t>
  </si>
  <si>
    <t>Rediseño paneles (Alumno/Prospecto)</t>
  </si>
  <si>
    <t xml:space="preserve">Definir prioridad y fechas en las que se trabajarán. </t>
  </si>
  <si>
    <t>https://app.samva.io/PnlCliente/ListarClientesColasProyectosDetalle.aspx?ID=411220&amp;P=11242</t>
  </si>
  <si>
    <t>H/PROJECT-28</t>
  </si>
  <si>
    <t>Complemento control de acceso</t>
  </si>
  <si>
    <t>Haylton, Luis, Alejandro</t>
  </si>
  <si>
    <t>Definir visión de negocio y qué es lo que se espera</t>
  </si>
  <si>
    <t>Envíos automáticos de comprobantes de pago</t>
  </si>
  <si>
    <t>Haylton, Luis, Erithan, Carlos</t>
  </si>
  <si>
    <t>Revision de area</t>
  </si>
  <si>
    <t>Portal de inscripciones</t>
  </si>
  <si>
    <t>Materias multi plantel</t>
  </si>
  <si>
    <t>Pagos recurrentes</t>
  </si>
  <si>
    <t>S18</t>
  </si>
  <si>
    <t>Academic shop</t>
  </si>
  <si>
    <t>Complementos</t>
  </si>
  <si>
    <t>Niveles de usuarios</t>
  </si>
  <si>
    <t>Permiso especial caja rápida</t>
  </si>
  <si>
    <t>Materias asesoras</t>
  </si>
  <si>
    <t>Notificación de actividades | Panel del profesor</t>
  </si>
  <si>
    <t>Proyecto</t>
  </si>
  <si>
    <t>ProyectoId</t>
  </si>
  <si>
    <t>Producto</t>
  </si>
  <si>
    <t>Folio</t>
  </si>
  <si>
    <t>Actividad</t>
  </si>
  <si>
    <t>Asignado</t>
  </si>
  <si>
    <t>AsignadoId</t>
  </si>
  <si>
    <t>Estatus</t>
  </si>
  <si>
    <t>Salud</t>
  </si>
  <si>
    <t>Fase</t>
  </si>
  <si>
    <t>Tipo</t>
  </si>
  <si>
    <t>Prioridad</t>
  </si>
  <si>
    <t>Dificultad</t>
  </si>
  <si>
    <t>Épica</t>
  </si>
  <si>
    <t>Hito</t>
  </si>
  <si>
    <t>Cuenta</t>
  </si>
  <si>
    <t>Traking</t>
  </si>
  <si>
    <t>avance</t>
  </si>
  <si>
    <t>-  -  -  -  -</t>
  </si>
  <si>
    <t>Soporte Prioritario - s16</t>
  </si>
  <si>
    <t>TL Review</t>
  </si>
  <si>
    <t>Sin avance</t>
  </si>
  <si>
    <t>Managment</t>
  </si>
  <si>
    <t>Media</t>
  </si>
  <si>
    <t>General</t>
  </si>
  <si>
    <t xml:space="preserve">-  -  -  -  - </t>
  </si>
  <si>
    <t>Dev Jr</t>
  </si>
  <si>
    <t>AM-I-560 | Historia de usuario</t>
  </si>
  <si>
    <t>https://app.samva.io/PnlCliente/ListarClientesColasProyectosDetalle.aspx?ID=418105&amp;P=617</t>
  </si>
  <si>
    <t>Desenrolar alumno | Canvas</t>
  </si>
  <si>
    <t>Atrazada</t>
  </si>
  <si>
    <t>Desarrollo</t>
  </si>
  <si>
    <t>Nueva característica</t>
  </si>
  <si>
    <t>AM-I-577 | Historia de usuario</t>
  </si>
  <si>
    <t>https://app.samva.io/PnlCliente/ListarClientesColasProyectosDetalle.aspx?ID=419194&amp;P=617</t>
  </si>
  <si>
    <t>Dia Cero (Alex)</t>
  </si>
  <si>
    <t>A tiempo</t>
  </si>
  <si>
    <t>Arquitectrura</t>
  </si>
  <si>
    <t>Ayuda</t>
  </si>
  <si>
    <t>Nula</t>
  </si>
  <si>
    <t>AM-I-568 | Historia de usuario</t>
  </si>
  <si>
    <t>https://app.samva.io/PnlCliente/ListarClientesColasProyectosDetalle.aspx?ID=418336&amp;P=617</t>
  </si>
  <si>
    <t>Desenrolar alumno | Brigthspace</t>
  </si>
  <si>
    <t>PO Review</t>
  </si>
  <si>
    <t>AM-I-561 | Historia de usuario</t>
  </si>
  <si>
    <t>https://app.samva.io/PnlCliente/ListarClientesColasProyectosDetalle.aspx?ID=418106&amp;P=617</t>
  </si>
  <si>
    <t>Inactivar alumno con estatus de baja | Canvas</t>
  </si>
  <si>
    <t>AM-I-570 | Historia de usuario</t>
  </si>
  <si>
    <t>https://app.samva.io/PnlCliente/ListarClientesColasProyectosDetalle.aspx?ID=418474&amp;P=617</t>
  </si>
  <si>
    <t>Desenrolar alumno | Moodle</t>
  </si>
  <si>
    <t>Compormetida</t>
  </si>
  <si>
    <t>Soporte Copilot</t>
  </si>
  <si>
    <t>AM-I-566 | Historia de usuario</t>
  </si>
  <si>
    <t>https://app.samva.io/PnlCliente/ListarClientesColasProyectosDetalle.aspx?ID=418220&amp;P=617</t>
  </si>
  <si>
    <t>Credencial App móvil convesion</t>
  </si>
  <si>
    <t>Mejora</t>
  </si>
  <si>
    <t>Ninguna</t>
  </si>
  <si>
    <t>Plan estrategico pedagogico</t>
  </si>
  <si>
    <t>Dulce</t>
  </si>
  <si>
    <t>Planeacion</t>
  </si>
  <si>
    <t>EdTech</t>
  </si>
  <si>
    <t>Material pedagogico de actualizacion</t>
  </si>
  <si>
    <t>In progress</t>
  </si>
  <si>
    <t>Liberacion</t>
  </si>
  <si>
    <t>Refactorizar la BBDD</t>
  </si>
  <si>
    <t>Corrección</t>
  </si>
  <si>
    <t>AM-I-566-1 | Tarea</t>
  </si>
  <si>
    <t>https://app.samva.io/PnlCliente/ListarClientesColasProyectosDetalle.aspx?ID=419116&amp;P=617</t>
  </si>
  <si>
    <t>Consultar el código QR</t>
  </si>
  <si>
    <t>Validacion UX - s16</t>
  </si>
  <si>
    <t>AM-I-569 | Historia de usuario</t>
  </si>
  <si>
    <t>https://app.samva.io/PnlCliente/ListarClientesColasProyectosDetalle.aspx?ID=418465&amp;P=617</t>
  </si>
  <si>
    <t>Documentos de la institución</t>
  </si>
  <si>
    <t>Panel alumno</t>
  </si>
  <si>
    <t>Dev Sr</t>
  </si>
  <si>
    <t>AM-I-575 | Historia de usuario</t>
  </si>
  <si>
    <t>https://app.samva.io/PnlCliente/ListarClientesColasProyectosDetalle.aspx?ID=419192&amp;P=617</t>
  </si>
  <si>
    <t>Dia Cero (Emilio)</t>
  </si>
  <si>
    <t>AM-I-564 | Historia de usuario</t>
  </si>
  <si>
    <t>https://app.samva.io/PnlCliente/ListarClientesColasProyectosDetalle.aspx?ID=418109&amp;P=617</t>
  </si>
  <si>
    <t>Inicios de sesión | App móvil</t>
  </si>
  <si>
    <t>AM-I-559 | Historia de usuario</t>
  </si>
  <si>
    <t>https://app.samva.io/PnlCliente/ListarClientesColasProyectosDetalle.aspx?ID=418104&amp;P=617</t>
  </si>
  <si>
    <t>Informe estatus de documentos | Prospectos</t>
  </si>
  <si>
    <t>QA Testing</t>
  </si>
  <si>
    <t>Baja</t>
  </si>
  <si>
    <t>Informes</t>
  </si>
  <si>
    <t>AM-I-528 | Historia de usuario</t>
  </si>
  <si>
    <t>https://app.samva.io/PnlCliente/ListarClientesProyectosHitosDetalle.aspx?eUD02MTcmSUQ9MzQzNzE=</t>
  </si>
  <si>
    <t>Justificar faltas (4 / 5)</t>
  </si>
  <si>
    <t>Alta</t>
  </si>
  <si>
    <t>Administración y finanzas</t>
  </si>
  <si>
    <t>Pending</t>
  </si>
  <si>
    <t>https://app.samva.io/PnlCliente/ListarClientesColasProyectosDetalle.aspx?eSUQ9NDE5MjA1JlA9MTExMzY=</t>
  </si>
  <si>
    <t>Plan de pruebas</t>
  </si>
  <si>
    <t>Validacion Projects</t>
  </si>
  <si>
    <t>Validacion TEST - s16</t>
  </si>
  <si>
    <t>DoD / DoR - s17</t>
  </si>
  <si>
    <t>Validacion UAT - s16</t>
  </si>
  <si>
    <t>Casos de uso s17</t>
  </si>
  <si>
    <t>AM-I-576 | Historia de usuario</t>
  </si>
  <si>
    <t>https://app.samva.io/PnlCliente/ListarClientesColasProyectosDetalle.aspx?ID=419193&amp;P=617</t>
  </si>
  <si>
    <t>Dia Cero (Gregorio)</t>
  </si>
  <si>
    <t>AM-I-572 | Historia de usuario</t>
  </si>
  <si>
    <t>https://app.samva.io/PnlCliente/ListarClientesColasProyectosDetalle.aspx?ID=419142&amp;P=617</t>
  </si>
  <si>
    <t>WEBHOOK - Inc Academica</t>
  </si>
  <si>
    <t>AM-I-537 | Historia de usuario</t>
  </si>
  <si>
    <t>https://app.samva.io/PnlCliente/ListarClientesColasProyectosDetalle.aspx?ID=413918&amp;P=617</t>
  </si>
  <si>
    <t>Parámetros de sistema UX/UI</t>
  </si>
  <si>
    <t>AM-I-558 | Historia de usuario</t>
  </si>
  <si>
    <t>https://app.samva.io/PnlCliente/ListarClientesColasProyectosDetalle.aspx?ID=416896&amp;P=617</t>
  </si>
  <si>
    <t>Roles de seguridad</t>
  </si>
  <si>
    <t>Configuración</t>
  </si>
  <si>
    <t>https://app.samva.io/PnlCliente/ListarClientesColasProyectosDetalle.aspx?eSUQ9NDE5MjA5JlA9NjE3</t>
  </si>
  <si>
    <t>Dudas Jasiel</t>
  </si>
  <si>
    <t>Analisis</t>
  </si>
  <si>
    <t>DUDAS</t>
  </si>
  <si>
    <t>Comunicacion Interna - s16</t>
  </si>
  <si>
    <t>Cancelada</t>
  </si>
  <si>
    <t>Backlog s17</t>
  </si>
  <si>
    <t>Analisis de riesgos s17</t>
  </si>
  <si>
    <t>Comunicacion Aliados - s16</t>
  </si>
  <si>
    <t>Sprint Retrospective - s16</t>
  </si>
  <si>
    <t>AM-I-578 | Historia de usuario</t>
  </si>
  <si>
    <t>https://app.samva.io/PnlCliente/ListarClientesColasProyectosDetalle.aspx?ID=419195&amp;P=617</t>
  </si>
  <si>
    <t>Dia Cero (Jasiel)</t>
  </si>
  <si>
    <t>AM-I-573 | Historia de usuario</t>
  </si>
  <si>
    <t>https://app.samva.io/PnlCliente/ListarClientesColasProyectosDetalle.aspx?ID=419143&amp;P=617</t>
  </si>
  <si>
    <t>Factura personalizada (antes facturas globales por montos personalizados)</t>
  </si>
  <si>
    <t>AM-I-573-1 | Tarea</t>
  </si>
  <si>
    <t>https://app.samva.io/PnlCliente/ListarClientesColasProyectosDetalle.aspx?ID=419166&amp;P=617</t>
  </si>
  <si>
    <t>1. Creación de página</t>
  </si>
  <si>
    <t>AM-I-563 | Historia de usuario</t>
  </si>
  <si>
    <t>https://app.samva.io/PnlCliente/ListarClientesColasProyectosDetalle.aspx?ID=418108&amp;P=617</t>
  </si>
  <si>
    <t>Facturas globales (Pagos realizados)</t>
  </si>
  <si>
    <t>AM-I-562 | Historia de usuario</t>
  </si>
  <si>
    <t>https://app.samva.io/PnlCliente/ListarClientesColasProyectosDetalle.aspx?ID=418107&amp;P=617</t>
  </si>
  <si>
    <t>NEW - COMPLEMENTOS (ARQ)</t>
  </si>
  <si>
    <t>AM-I-573-2 | Tarea</t>
  </si>
  <si>
    <t>https://app.samva.io/PnlCliente/ListarClientesColasProyectosDetalle.aspx?ID=419167&amp;P=617</t>
  </si>
  <si>
    <t>2. Rediseño de página</t>
  </si>
  <si>
    <t>AM-I-563-1 | Tarea</t>
  </si>
  <si>
    <t>https://app.samva.io/PnlCliente/ListarClientesColasProyectosDetalle.aspx?ID=419171&amp;P=617</t>
  </si>
  <si>
    <t>Rediseño visual</t>
  </si>
  <si>
    <t>Factibilidad - s17</t>
  </si>
  <si>
    <t>ARQ</t>
  </si>
  <si>
    <t>AM-I-565 | Historia de usuario</t>
  </si>
  <si>
    <t>https://app.samva.io/PnlCliente/ListarClientesColasProyectosDetalle.aspx?ID=418111&amp;P=617</t>
  </si>
  <si>
    <t>Registro de calificación (Look&amp;Feel)</t>
  </si>
  <si>
    <t>Control escolar</t>
  </si>
  <si>
    <t>AM-I-565-1 | Tarea</t>
  </si>
  <si>
    <t>https://app.samva.io/PnlCliente/ListarClientesColasProyectosDetalle.aspx?ID=419188&amp;P=617</t>
  </si>
  <si>
    <t>Historia de usuario 1: Rediseño</t>
  </si>
  <si>
    <t>AM-I-565-2 | Tarea</t>
  </si>
  <si>
    <t>https://app.samva.io/PnlCliente/ListarClientesColasProyectosDetalle.aspx?ID=419189&amp;P=617</t>
  </si>
  <si>
    <t>Historia de usuario 2: Búsqueda simple</t>
  </si>
  <si>
    <t>AM-I-565-3 | Tarea</t>
  </si>
  <si>
    <t>https://app.samva.io/PnlCliente/ListarClientesColasProyectosDetalle.aspx?ID=419190&amp;P=617</t>
  </si>
  <si>
    <t>Historia de usuario 3: Búsqueda avanzada</t>
  </si>
  <si>
    <t>GoLive - s16</t>
  </si>
  <si>
    <t>Publicacion RC - s16</t>
  </si>
  <si>
    <t>Soporte Lead</t>
  </si>
  <si>
    <t>Mario</t>
  </si>
  <si>
    <t>Dev Mid</t>
  </si>
  <si>
    <t>Dia Cero (Alex) - s17</t>
  </si>
  <si>
    <t>Material pedagogico de actualizacion - s17</t>
  </si>
  <si>
    <t>Plan estrategico pedagogico - s17</t>
  </si>
  <si>
    <t>Validacion UX - s17</t>
  </si>
  <si>
    <t>Dia Cero (Emilio) - s17</t>
  </si>
  <si>
    <t>Plan de pruebas - s17</t>
  </si>
  <si>
    <t>Validacion Projects - s17</t>
  </si>
  <si>
    <t>Validacion TEST - s17</t>
  </si>
  <si>
    <t>DoD / DoR - s18</t>
  </si>
  <si>
    <t>Validacion UAT - s17</t>
  </si>
  <si>
    <t>Casos de uso - s18</t>
  </si>
  <si>
    <t>Dia Cero (Gregorio) - s17</t>
  </si>
  <si>
    <t>Analisis de riesgos - s18</t>
  </si>
  <si>
    <t>Comunicacion Interna - s17</t>
  </si>
  <si>
    <t>Comunicacion Aliados - s17</t>
  </si>
  <si>
    <t>Sprint Retrospective - s17</t>
  </si>
  <si>
    <t>Backlog - s18</t>
  </si>
  <si>
    <t>Dia Cero (Jasiel) - s17</t>
  </si>
  <si>
    <t>Sprint Planning - S17</t>
  </si>
  <si>
    <t>Factibilidad - s18</t>
  </si>
  <si>
    <t>DESARROLLO</t>
  </si>
  <si>
    <t>GoLive - s17</t>
  </si>
  <si>
    <t>Publicacion RC - s17</t>
  </si>
  <si>
    <t>Sprint</t>
  </si>
  <si>
    <t>Mes</t>
  </si>
  <si>
    <t>Año</t>
  </si>
  <si>
    <t>Dias</t>
  </si>
  <si>
    <t>Inicio estimado</t>
  </si>
  <si>
    <t>inicio real</t>
  </si>
  <si>
    <t>Desfase</t>
  </si>
  <si>
    <t>Capacidad / HRS</t>
  </si>
  <si>
    <t>Pts</t>
  </si>
  <si>
    <t>Enero</t>
  </si>
  <si>
    <t>Febrero</t>
  </si>
  <si>
    <t>Marzo</t>
  </si>
  <si>
    <t>Abril</t>
  </si>
  <si>
    <t>Mayo</t>
  </si>
  <si>
    <t>Junio</t>
  </si>
  <si>
    <t>Julio</t>
  </si>
  <si>
    <t>S19</t>
  </si>
  <si>
    <t>Agosto</t>
  </si>
  <si>
    <t>id_team</t>
  </si>
  <si>
    <t>Nombre</t>
  </si>
  <si>
    <t>user_id</t>
  </si>
  <si>
    <t>id_sprint</t>
  </si>
  <si>
    <t>vacaciones</t>
  </si>
  <si>
    <t>capacidad</t>
  </si>
  <si>
    <t>Nombre común</t>
  </si>
  <si>
    <t>Ambientes</t>
  </si>
  <si>
    <t>Dpto</t>
  </si>
  <si>
    <t>GITHub Repositorio</t>
  </si>
  <si>
    <t>Administrador</t>
  </si>
  <si>
    <t>Colaborador</t>
  </si>
  <si>
    <t>Visualizador</t>
  </si>
  <si>
    <t>Deploy</t>
  </si>
  <si>
    <t>APIs App Academic</t>
  </si>
  <si>
    <t>DEV, PROD</t>
  </si>
  <si>
    <t>Activo</t>
  </si>
  <si>
    <t>academic-app-api</t>
  </si>
  <si>
    <t>Autodeploy</t>
  </si>
  <si>
    <t>Academic Web</t>
  </si>
  <si>
    <t>academic-core</t>
  </si>
  <si>
    <t>Gregorio Guadarrama Emilio Contreras Jasiel López Alfredo Lara Edgar Torres Lorena Olvera Mario Ramírez</t>
  </si>
  <si>
    <t>Luis Bernal Mario Ramírez Hugo Enríquez</t>
  </si>
  <si>
    <t>APIs Basic Procesos</t>
  </si>
  <si>
    <t>academic-apis-basic</t>
  </si>
  <si>
    <t>Lorena Olvera Jasiel López Hugo Enríquez</t>
  </si>
  <si>
    <t>Academic App Movil</t>
  </si>
  <si>
    <t>academic-app</t>
  </si>
  <si>
    <t>Armando Meza Rafael Escobar Edgar Torres</t>
  </si>
  <si>
    <t>Edgar Torres Armando Meza</t>
  </si>
  <si>
    <t>Paginador Academic Web</t>
  </si>
  <si>
    <t>PROD</t>
  </si>
  <si>
    <t>controles-academic</t>
  </si>
  <si>
    <t>Luis Bernal Mario Ramírez Gregorio Guadarrama</t>
  </si>
  <si>
    <t>Gregorio Guadarrama Emilio Contreras</t>
  </si>
  <si>
    <t xml:space="preserve">Caja rápida </t>
  </si>
  <si>
    <t>I+D</t>
  </si>
  <si>
    <t>academic-pos-lite</t>
  </si>
  <si>
    <t>Jasiel López Alfredo Lara</t>
  </si>
  <si>
    <t>Motor de procesamiento - Academic</t>
  </si>
  <si>
    <t>academic-process-service</t>
  </si>
  <si>
    <t>Luis Bernal Mario Ramírez</t>
  </si>
  <si>
    <t>Academic Portal (Landpage intgerado)</t>
  </si>
  <si>
    <t>academic-portal</t>
  </si>
  <si>
    <t>Motor de envío de correos</t>
  </si>
  <si>
    <t>academic-messages-delivery</t>
  </si>
  <si>
    <t>API Facturacion</t>
  </si>
  <si>
    <t>PROD, DEV</t>
  </si>
  <si>
    <t>bit-facturacion</t>
  </si>
  <si>
    <t>API de conversión de reportes a PDF</t>
  </si>
  <si>
    <t>academic-tools</t>
  </si>
  <si>
    <t>Motor de facturación</t>
  </si>
  <si>
    <t>facturacion-process-service</t>
  </si>
  <si>
    <t>Luis Bernal Hugo Enríquez</t>
  </si>
  <si>
    <t>Hugo Enríquez Jasiel López Mario Ramírez</t>
  </si>
  <si>
    <t>API de generación de reportes</t>
  </si>
  <si>
    <t>academic-reports</t>
  </si>
  <si>
    <t>Motor de titulos digitales</t>
  </si>
  <si>
    <t>academic-titulos-digitales-process</t>
  </si>
  <si>
    <t>APIs Bearer Personales</t>
  </si>
  <si>
    <t>academic-apis-bearer</t>
  </si>
  <si>
    <t>Academic DevHub</t>
  </si>
  <si>
    <t>academic-devhub</t>
  </si>
  <si>
    <t>Academic asistencia por dactilar</t>
  </si>
  <si>
    <t>academic-checador</t>
  </si>
  <si>
    <t>Academic Admin Site</t>
  </si>
  <si>
    <t>academic-administration</t>
  </si>
  <si>
    <t>APIs Academic Portal</t>
  </si>
  <si>
    <t>academic-api-sdk</t>
  </si>
  <si>
    <t>Backoffice</t>
  </si>
  <si>
    <r>
      <rPr>
        <rFont val="&quot;Mona Sans VF&quot;, -apple-system, BlinkMacSystemFont, &quot;Segoe UI&quot;, &quot;Noto Sans&quot;, Helvetica, Arial, sans-serif, &quot;Apple Color Emoji&quot;, &quot;Segoe UI Emoji&quot;"/>
        <color rgb="FF1155CC"/>
        <sz val="12.0"/>
        <u/>
      </rPr>
      <t>lms-proxy</t>
    </r>
  </si>
  <si>
    <t>Caja rápida</t>
  </si>
  <si>
    <t>Columna 31</t>
  </si>
  <si>
    <t>Sin acceso</t>
  </si>
  <si>
    <t>Super Usuario Plataforma</t>
  </si>
  <si>
    <t>Usuario de plataforma</t>
  </si>
  <si>
    <t>Contributor, BBDD Test, Super Usuario Plataforma</t>
  </si>
  <si>
    <t>Visulizador, Contributor</t>
  </si>
  <si>
    <t>Visulizador, BBDD Test, Super Usuario Plataforma</t>
  </si>
  <si>
    <t>Visulizador, Contributor, Gestor de cambios, Usuario de plataforma</t>
  </si>
  <si>
    <t>BBDD Prod</t>
  </si>
  <si>
    <t>BBDD Test</t>
  </si>
  <si>
    <t>Contributor</t>
  </si>
  <si>
    <t>BBDD Prod, Gestor de cambios, Adminsitrador</t>
  </si>
  <si>
    <t>Super Usuario Plataforma , BBDD Test</t>
  </si>
  <si>
    <t>Adminsitrador, Gestor de cambios</t>
  </si>
  <si>
    <t>BBDD Prod, Gestor de cambios, Adminsitrador, Super Usuario Plataforma</t>
  </si>
  <si>
    <t>Adminsitrador, Gestor de cambios, BBDD Prod</t>
  </si>
  <si>
    <t>Adminsitrador, Super Usuario Plataforma, BBDD Prod</t>
  </si>
  <si>
    <t>Adminsitrador</t>
  </si>
  <si>
    <t>BBDD Test, Contributor</t>
  </si>
  <si>
    <t>Visulizador</t>
  </si>
  <si>
    <t>BBDD Test, Contributor, Usuario test, Super Usuario Plataforma</t>
  </si>
  <si>
    <t>Usuario de plataforma, Contributor, Gestor de cambios</t>
  </si>
  <si>
    <t>Usuario test</t>
  </si>
  <si>
    <t>BBDD Test, BBDD Prod, Usuario test, Super Usuario Plataforma</t>
  </si>
  <si>
    <t>Gestor de cambios, Contributor</t>
  </si>
  <si>
    <t>Usuario test, BBDD Test, Contributor</t>
  </si>
  <si>
    <t>BBDD Test, Contributor, Usuario test, Super Usuario Plataforma, Gestor de cambios, BBDD Prod</t>
  </si>
  <si>
    <t>Contributor, BBDD Prod, Gestor de cambios, Adminsitrador</t>
  </si>
  <si>
    <t>Super Usuario Plataforma , BBDD Test, Contributor, BBDD Prod</t>
  </si>
  <si>
    <t>BBDD Test, Contributor, BBDD Prod</t>
  </si>
  <si>
    <t>Gestor de cambios, Contributor, Adminsitrador</t>
  </si>
  <si>
    <t>Super Usuario Plataforma, BBDD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</si>
</sst>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d/MM/yyyy"/>
    <numFmt numFmtId="166" formatCode="dd/mm/yyyy"/>
  </numFmts>
  <fonts count="45">
    <font>
      <sz val="10.0"/>
      <color rgb="FF000000"/>
      <name val="Arial"/>
      <scheme val="minor"/>
    </font>
    <font>
      <b/>
      <sz val="9.0"/>
      <color theme="1"/>
      <name val="Poppins"/>
    </font>
    <font>
      <b/>
      <sz val="9.0"/>
      <color rgb="FF0D112F"/>
      <name val="Poppins"/>
    </font>
    <font>
      <sz val="9.0"/>
      <color theme="1"/>
      <name val="Poppins"/>
    </font>
    <font>
      <color theme="1"/>
      <name val="Arial"/>
    </font>
    <font/>
    <font>
      <i/>
      <sz val="9.0"/>
      <color theme="1"/>
      <name val="Poppins"/>
    </font>
    <font>
      <sz val="9.0"/>
      <color rgb="FF333333"/>
      <name val="Poppins"/>
    </font>
    <font>
      <b/>
      <sz val="11.0"/>
      <color theme="1"/>
      <name val="Poppins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color rgb="FF0A53A8"/>
      <name val="Roboto"/>
    </font>
    <font>
      <color rgb="FFB10202"/>
      <name val="Roboto"/>
    </font>
    <font>
      <u/>
      <color rgb="FF1155CC"/>
      <name val="Arial"/>
    </font>
    <font>
      <color rgb="FF000000"/>
      <name val="Arial"/>
    </font>
    <font>
      <color rgb="FF434343"/>
      <name val="Roboto"/>
    </font>
    <font>
      <b/>
      <color theme="1"/>
      <name val="Roboto"/>
    </font>
    <font>
      <color rgb="FFE5E5E5"/>
      <name val="Roboto"/>
    </font>
    <font>
      <u/>
      <color rgb="FF434343"/>
      <name val="Roboto"/>
    </font>
    <font>
      <color rgb="FF473821"/>
      <name val="Roboto"/>
    </font>
    <font>
      <u/>
      <color rgb="FF434343"/>
      <name val="Roboto"/>
    </font>
    <font>
      <color rgb="FFD4EDBC"/>
      <name val="Roboto"/>
    </font>
    <font>
      <color rgb="FF11734B"/>
      <name val="Roboto"/>
    </font>
    <font>
      <color rgb="FF753800"/>
      <name val="Roboto"/>
    </font>
    <font>
      <color rgb="FFFFCFC9"/>
      <name val="Roboto"/>
    </font>
    <font>
      <color rgb="FF000000"/>
      <name val="Roboto"/>
    </font>
    <font>
      <color theme="1"/>
      <name val="Roboto"/>
    </font>
    <font>
      <color rgb="FF3D3D3D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sz val="12.0"/>
      <color rgb="FFF0F6FC"/>
      <name val="&quot;Mona Sans VF&quot;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434343"/>
      <name val="Roboto"/>
    </font>
    <font>
      <color rgb="FF5A3286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ECF2F4"/>
        <bgColor rgb="FFECF2F4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6F8F9"/>
        <bgColor rgb="FFF6F8F9"/>
      </patternFill>
    </fill>
  </fills>
  <borders count="20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top style="thin">
        <color rgb="FFD9D9D9"/>
      </top>
      <bottom style="thin">
        <color rgb="FFD9D9D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3" numFmtId="3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right" vertical="bottom"/>
    </xf>
    <xf borderId="2" fillId="0" fontId="3" numFmtId="164" xfId="0" applyAlignment="1" applyBorder="1" applyFont="1" applyNumberFormat="1">
      <alignment horizontal="center" vertical="bottom"/>
    </xf>
    <xf borderId="2" fillId="0" fontId="3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3" fillId="2" fontId="1" numFmtId="0" xfId="0" applyAlignment="1" applyBorder="1" applyFont="1">
      <alignment horizontal="right" vertical="bottom"/>
    </xf>
    <xf borderId="4" fillId="0" fontId="5" numFmtId="0" xfId="0" applyBorder="1" applyFont="1"/>
    <xf borderId="5" fillId="2" fontId="1" numFmtId="0" xfId="0" applyAlignment="1" applyBorder="1" applyFont="1">
      <alignment horizontal="center" vertical="bottom"/>
    </xf>
    <xf borderId="6" fillId="0" fontId="1" numFmtId="164" xfId="0" applyAlignment="1" applyBorder="1" applyFont="1" applyNumberFormat="1">
      <alignment horizontal="right" vertical="bottom"/>
    </xf>
    <xf borderId="0" fillId="0" fontId="4" numFmtId="4" xfId="0" applyAlignment="1" applyFont="1" applyNumberFormat="1">
      <alignment vertical="bottom"/>
    </xf>
    <xf borderId="3" fillId="2" fontId="6" numFmtId="4" xfId="0" applyAlignment="1" applyBorder="1" applyFont="1" applyNumberFormat="1">
      <alignment horizontal="right" vertical="bottom"/>
    </xf>
    <xf borderId="5" fillId="2" fontId="3" numFmtId="9" xfId="0" applyAlignment="1" applyBorder="1" applyFont="1" applyNumberFormat="1">
      <alignment horizontal="center" vertical="bottom"/>
    </xf>
    <xf borderId="6" fillId="0" fontId="3" numFmtId="164" xfId="0" applyAlignment="1" applyBorder="1" applyFont="1" applyNumberFormat="1">
      <alignment horizontal="right" vertical="bottom"/>
    </xf>
    <xf borderId="3" fillId="2" fontId="1" numFmtId="4" xfId="0" applyAlignment="1" applyBorder="1" applyFont="1" applyNumberFormat="1">
      <alignment horizontal="right" vertical="bottom"/>
    </xf>
    <xf borderId="7" fillId="0" fontId="5" numFmtId="0" xfId="0" applyBorder="1" applyFont="1"/>
    <xf borderId="3" fillId="2" fontId="6" numFmtId="0" xfId="0" applyAlignment="1" applyBorder="1" applyFont="1">
      <alignment horizontal="right" vertical="bottom"/>
    </xf>
    <xf borderId="5" fillId="2" fontId="7" numFmtId="0" xfId="0" applyAlignment="1" applyBorder="1" applyFont="1">
      <alignment horizontal="center" vertical="bottom"/>
    </xf>
    <xf borderId="0" fillId="0" fontId="1" numFmtId="4" xfId="0" applyAlignment="1" applyFont="1" applyNumberFormat="1">
      <alignment horizontal="right" vertical="bottom"/>
    </xf>
    <xf borderId="1" fillId="0" fontId="1" numFmtId="164" xfId="0" applyAlignment="1" applyBorder="1" applyFont="1" applyNumberFormat="1">
      <alignment horizontal="right" vertical="bottom"/>
    </xf>
    <xf borderId="0" fillId="3" fontId="7" numFmtId="0" xfId="0" applyAlignment="1" applyFill="1" applyFont="1">
      <alignment horizontal="right" vertical="bottom"/>
    </xf>
    <xf borderId="0" fillId="0" fontId="8" numFmtId="0" xfId="0" applyAlignment="1" applyFont="1">
      <alignment horizontal="right" vertical="bottom"/>
    </xf>
    <xf borderId="1" fillId="0" fontId="8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horizontal="left" readingOrder="0" shrinkToFit="0" vertical="bottom" wrapText="0"/>
    </xf>
    <xf borderId="0" fillId="4" fontId="4" numFmtId="0" xfId="0" applyAlignment="1" applyFill="1" applyFont="1">
      <alignment shrinkToFit="0" vertical="bottom" wrapText="0"/>
    </xf>
    <xf borderId="0" fillId="4" fontId="4" numFmtId="0" xfId="0" applyAlignment="1" applyFont="1">
      <alignment horizontal="right" shrinkToFit="0" vertical="bottom" wrapText="0"/>
    </xf>
    <xf borderId="0" fillId="4" fontId="4" numFmtId="0" xfId="0" applyAlignment="1" applyFont="1">
      <alignment horizontal="right" readingOrder="0" shrinkToFit="0" vertical="bottom" wrapText="0"/>
    </xf>
    <xf borderId="0" fillId="5" fontId="4" numFmtId="0" xfId="0" applyAlignment="1" applyFill="1" applyFont="1">
      <alignment shrinkToFit="0" vertical="bottom" wrapText="0"/>
    </xf>
    <xf borderId="0" fillId="5" fontId="4" numFmtId="0" xfId="0" applyAlignment="1" applyFont="1">
      <alignment horizontal="right" readingOrder="0" shrinkToFit="0" vertical="bottom" wrapText="0"/>
    </xf>
    <xf borderId="0" fillId="6" fontId="4" numFmtId="0" xfId="0" applyAlignment="1" applyFill="1" applyFont="1">
      <alignment shrinkToFit="0" vertical="bottom" wrapText="0"/>
    </xf>
    <xf borderId="0" fillId="6" fontId="4" numFmtId="0" xfId="0" applyAlignment="1" applyFont="1">
      <alignment horizontal="right" shrinkToFit="0" vertical="bottom" wrapText="0"/>
    </xf>
    <xf borderId="0" fillId="6" fontId="4" numFmtId="0" xfId="0" applyAlignment="1" applyFont="1">
      <alignment horizontal="right" readingOrder="0" shrinkToFit="0" vertical="bottom" wrapText="0"/>
    </xf>
    <xf borderId="0" fillId="6" fontId="4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49" xfId="0" applyAlignment="1" applyFont="1" applyNumberFormat="1">
      <alignment horizontal="left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2" numFmtId="49" xfId="0" applyAlignment="1" applyFont="1" applyNumberFormat="1">
      <alignment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10" numFmtId="49" xfId="0" applyAlignment="1" applyFont="1" applyNumberFormat="1">
      <alignment horizontal="center" readingOrder="0" shrinkToFit="0" vertical="center" wrapText="0"/>
    </xf>
    <xf borderId="0" fillId="0" fontId="10" numFmtId="49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0" numFmtId="9" xfId="0" applyAlignment="1" applyFont="1" applyNumberFormat="1">
      <alignment horizontal="center" readingOrder="0" shrinkToFit="0" vertical="center" wrapText="0"/>
    </xf>
    <xf borderId="0" fillId="7" fontId="14" numFmtId="0" xfId="0" applyAlignment="1" applyFill="1" applyFont="1">
      <alignment horizontal="center" readingOrder="0" shrinkToFit="0" vertical="center" wrapText="0"/>
    </xf>
    <xf borderId="0" fillId="0" fontId="10" numFmtId="165" xfId="0" applyAlignment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166" xfId="0" applyAlignment="1" applyFont="1" applyNumberFormat="1">
      <alignment horizontal="center" readingOrder="0" shrinkToFit="0" vertical="center" wrapText="0"/>
    </xf>
    <xf borderId="0" fillId="3" fontId="15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right" shrinkToFit="0" vertical="bottom" wrapText="0"/>
    </xf>
    <xf borderId="0" fillId="0" fontId="16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7" fontId="1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shrinkToFit="0" vertical="bottom" wrapText="0"/>
    </xf>
    <xf borderId="0" fillId="0" fontId="4" numFmtId="165" xfId="0" applyAlignment="1" applyFont="1" applyNumberFormat="1">
      <alignment horizontal="right" shrinkToFit="0" vertical="bottom" wrapText="0"/>
    </xf>
    <xf borderId="0" fillId="0" fontId="4" numFmtId="165" xfId="0" applyAlignment="1" applyFont="1" applyNumberFormat="1">
      <alignment horizontal="center" shrinkToFit="0" vertical="bottom" wrapText="0"/>
    </xf>
    <xf borderId="0" fillId="3" fontId="17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165" xfId="0" applyAlignment="1" applyFont="1" applyNumberFormat="1">
      <alignment readingOrder="0" shrinkToFit="0" vertical="center" wrapText="0"/>
    </xf>
    <xf borderId="0" fillId="0" fontId="10" numFmtId="166" xfId="0" applyAlignment="1" applyFont="1" applyNumberFormat="1">
      <alignment readingOrder="0" shrinkToFit="0" vertical="center" wrapText="0"/>
    </xf>
    <xf borderId="0" fillId="7" fontId="17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  <xf borderId="0" fillId="0" fontId="4" numFmtId="165" xfId="0" applyAlignment="1" applyFont="1" applyNumberFormat="1">
      <alignment horizontal="center" readingOrder="0" shrinkToFit="0" vertical="bottom" wrapText="0"/>
    </xf>
    <xf borderId="8" fillId="7" fontId="18" numFmtId="165" xfId="0" applyAlignment="1" applyBorder="1" applyFont="1" applyNumberFormat="1">
      <alignment horizontal="right" shrinkToFit="0" vertical="center" wrapText="0"/>
    </xf>
    <xf borderId="8" fillId="7" fontId="18" numFmtId="165" xfId="0" applyAlignment="1" applyBorder="1" applyFont="1" applyNumberFormat="1">
      <alignment horizontal="center" shrinkToFit="0" vertical="center" wrapText="0"/>
    </xf>
    <xf borderId="0" fillId="0" fontId="10" numFmtId="165" xfId="0" applyAlignment="1" applyFont="1" applyNumberFormat="1">
      <alignment horizontal="center" shrinkToFit="0" vertical="center" wrapText="0"/>
    </xf>
    <xf borderId="9" fillId="0" fontId="19" numFmtId="0" xfId="0" applyAlignment="1" applyBorder="1" applyFont="1">
      <alignment horizontal="center" readingOrder="0" shrinkToFit="0" vertical="center" wrapText="0"/>
    </xf>
    <xf borderId="10" fillId="3" fontId="14" numFmtId="0" xfId="0" applyAlignment="1" applyBorder="1" applyFont="1">
      <alignment readingOrder="0" shrinkToFit="0" vertical="center" wrapText="0"/>
    </xf>
    <xf borderId="10" fillId="3" fontId="14" numFmtId="0" xfId="0" applyAlignment="1" applyBorder="1" applyFont="1">
      <alignment horizontal="center" readingOrder="0" shrinkToFit="0" vertical="center" wrapText="0"/>
    </xf>
    <xf borderId="10" fillId="7" fontId="14" numFmtId="0" xfId="0" applyAlignment="1" applyBorder="1" applyFont="1">
      <alignment readingOrder="0" shrinkToFit="0" vertical="center" wrapText="0"/>
    </xf>
    <xf borderId="10" fillId="7" fontId="18" numFmtId="0" xfId="0" applyAlignment="1" applyBorder="1" applyFont="1">
      <alignment shrinkToFit="0" vertical="center" wrapText="0"/>
    </xf>
    <xf borderId="10" fillId="3" fontId="15" numFmtId="0" xfId="0" applyAlignment="1" applyBorder="1" applyFont="1">
      <alignment horizontal="center" readingOrder="0" shrinkToFit="0" vertical="center" wrapText="0"/>
    </xf>
    <xf borderId="10" fillId="3" fontId="15" numFmtId="0" xfId="0" applyAlignment="1" applyBorder="1" applyFont="1">
      <alignment shrinkToFit="0" vertical="center" wrapText="0"/>
    </xf>
    <xf borderId="10" fillId="7" fontId="18" numFmtId="0" xfId="0" applyAlignment="1" applyBorder="1" applyFont="1">
      <alignment horizontal="center" readingOrder="0" shrinkToFit="0" vertical="center" wrapText="0"/>
    </xf>
    <xf borderId="10" fillId="7" fontId="20" numFmtId="0" xfId="0" applyAlignment="1" applyBorder="1" applyFont="1">
      <alignment horizontal="center" shrinkToFit="0" vertical="center" wrapText="0"/>
    </xf>
    <xf borderId="10" fillId="7" fontId="18" numFmtId="0" xfId="0" applyAlignment="1" applyBorder="1" applyFont="1">
      <alignment horizontal="center" shrinkToFit="0" vertical="center" wrapText="0"/>
    </xf>
    <xf borderId="10" fillId="7" fontId="18" numFmtId="0" xfId="0" applyAlignment="1" applyBorder="1" applyFont="1">
      <alignment horizontal="center" shrinkToFit="0" vertical="center" wrapText="0"/>
    </xf>
    <xf borderId="10" fillId="7" fontId="15" numFmtId="0" xfId="0" applyAlignment="1" applyBorder="1" applyFont="1">
      <alignment horizontal="center" shrinkToFit="0" vertical="center" wrapText="0"/>
    </xf>
    <xf borderId="10" fillId="7" fontId="15" numFmtId="0" xfId="0" applyAlignment="1" applyBorder="1" applyFont="1">
      <alignment readingOrder="0" shrinkToFit="0" vertical="center" wrapText="0"/>
    </xf>
    <xf borderId="10" fillId="3" fontId="18" numFmtId="9" xfId="0" applyAlignment="1" applyBorder="1" applyFont="1" applyNumberFormat="1">
      <alignment horizontal="center" readingOrder="0" shrinkToFit="0" vertical="center" wrapText="0"/>
    </xf>
    <xf borderId="10" fillId="7" fontId="18" numFmtId="165" xfId="0" applyAlignment="1" applyBorder="1" applyFont="1" applyNumberFormat="1">
      <alignment horizontal="center" shrinkToFit="0" vertical="center" wrapText="0"/>
    </xf>
    <xf borderId="10" fillId="3" fontId="14" numFmtId="0" xfId="0" applyAlignment="1" applyBorder="1" applyFont="1">
      <alignment readingOrder="0" shrinkToFit="0" vertical="center" wrapText="0"/>
    </xf>
    <xf borderId="10" fillId="7" fontId="21" numFmtId="0" xfId="0" applyAlignment="1" applyBorder="1" applyFont="1">
      <alignment shrinkToFit="0" vertical="center" wrapText="0"/>
    </xf>
    <xf borderId="10" fillId="7" fontId="22" numFmtId="0" xfId="0" applyAlignment="1" applyBorder="1" applyFont="1">
      <alignment horizontal="center" readingOrder="0" shrinkToFit="0" vertical="center" wrapText="0"/>
    </xf>
    <xf borderId="10" fillId="7" fontId="22" numFmtId="0" xfId="0" applyAlignment="1" applyBorder="1" applyFont="1">
      <alignment shrinkToFit="0" vertical="center" wrapText="0"/>
    </xf>
    <xf borderId="10" fillId="7" fontId="22" numFmtId="0" xfId="0" applyAlignment="1" applyBorder="1" applyFont="1">
      <alignment horizontal="center" shrinkToFit="0" vertical="center" wrapText="0"/>
    </xf>
    <xf borderId="10" fillId="3" fontId="18" numFmtId="0" xfId="0" applyAlignment="1" applyBorder="1" applyFont="1">
      <alignment shrinkToFit="0" vertical="center" wrapText="0"/>
    </xf>
    <xf borderId="10" fillId="3" fontId="23" numFmtId="0" xfId="0" applyAlignment="1" applyBorder="1" applyFont="1">
      <alignment shrinkToFit="0" vertical="center" wrapText="0"/>
    </xf>
    <xf borderId="10" fillId="3" fontId="24" numFmtId="0" xfId="0" applyAlignment="1" applyBorder="1" applyFont="1">
      <alignment horizontal="center" shrinkToFit="0" vertical="center" wrapText="0"/>
    </xf>
    <xf borderId="10" fillId="3" fontId="25" numFmtId="0" xfId="0" applyAlignment="1" applyBorder="1" applyFont="1">
      <alignment shrinkToFit="0" vertical="center" wrapText="0"/>
    </xf>
    <xf borderId="10" fillId="3" fontId="15" numFmtId="0" xfId="0" applyAlignment="1" applyBorder="1" applyFont="1">
      <alignment horizontal="center" shrinkToFit="0" vertical="center" wrapText="0"/>
    </xf>
    <xf borderId="10" fillId="3" fontId="18" numFmtId="0" xfId="0" applyAlignment="1" applyBorder="1" applyFont="1">
      <alignment horizontal="center" shrinkToFit="0" vertical="center" wrapText="0"/>
    </xf>
    <xf borderId="10" fillId="3" fontId="15" numFmtId="0" xfId="0" applyAlignment="1" applyBorder="1" applyFont="1">
      <alignment readingOrder="0" shrinkToFit="0" vertical="center" wrapText="0"/>
    </xf>
    <xf borderId="10" fillId="3" fontId="18" numFmtId="165" xfId="0" applyAlignment="1" applyBorder="1" applyFont="1" applyNumberFormat="1">
      <alignment horizontal="center" shrinkToFit="0" vertical="center" wrapText="0"/>
    </xf>
    <xf borderId="10" fillId="3" fontId="22" numFmtId="0" xfId="0" applyAlignment="1" applyBorder="1" applyFont="1">
      <alignment horizontal="center" readingOrder="0" shrinkToFit="0" vertical="center" wrapText="0"/>
    </xf>
    <xf borderId="10" fillId="3" fontId="22" numFmtId="0" xfId="0" applyAlignment="1" applyBorder="1" applyFont="1">
      <alignment shrinkToFit="0" vertical="center" wrapText="0"/>
    </xf>
    <xf borderId="10" fillId="3" fontId="22" numFmtId="0" xfId="0" applyAlignment="1" applyBorder="1" applyFont="1">
      <alignment horizontal="center" shrinkToFit="0" vertical="center" wrapText="0"/>
    </xf>
    <xf borderId="10" fillId="3" fontId="26" numFmtId="0" xfId="0" applyAlignment="1" applyBorder="1" applyFont="1">
      <alignment horizontal="center" shrinkToFit="0" vertical="center" wrapText="0"/>
    </xf>
    <xf borderId="10" fillId="3" fontId="26" numFmtId="0" xfId="0" applyAlignment="1" applyBorder="1" applyFont="1">
      <alignment readingOrder="0" shrinkToFit="0" vertical="center" wrapText="0"/>
    </xf>
    <xf borderId="10" fillId="7" fontId="20" numFmtId="0" xfId="0" applyAlignment="1" applyBorder="1" applyFont="1">
      <alignment shrinkToFit="0" vertical="center" wrapText="0"/>
    </xf>
    <xf borderId="10" fillId="7" fontId="22" numFmtId="0" xfId="0" applyAlignment="1" applyBorder="1" applyFont="1">
      <alignment readingOrder="0" shrinkToFit="0" vertical="center" wrapText="0"/>
    </xf>
    <xf borderId="10" fillId="3" fontId="27" numFmtId="0" xfId="0" applyAlignment="1" applyBorder="1" applyFont="1">
      <alignment shrinkToFit="0" vertical="center" wrapText="0"/>
    </xf>
    <xf borderId="10" fillId="3" fontId="22" numFmtId="0" xfId="0" applyAlignment="1" applyBorder="1" applyFont="1">
      <alignment readingOrder="0" shrinkToFit="0" vertical="center" wrapText="0"/>
    </xf>
    <xf borderId="10" fillId="7" fontId="14" numFmtId="0" xfId="0" applyAlignment="1" applyBorder="1" applyFont="1">
      <alignment horizontal="center" readingOrder="0" shrinkToFit="0" vertical="center" wrapText="0"/>
    </xf>
    <xf borderId="10" fillId="7" fontId="25" numFmtId="0" xfId="0" applyAlignment="1" applyBorder="1" applyFont="1">
      <alignment horizontal="center" shrinkToFit="0" vertical="center" wrapText="0"/>
    </xf>
    <xf borderId="10" fillId="3" fontId="14" numFmtId="0" xfId="0" applyAlignment="1" applyBorder="1" applyFont="1">
      <alignment horizontal="center" readingOrder="0" shrinkToFit="0" vertical="center" wrapText="0"/>
    </xf>
    <xf borderId="10" fillId="3" fontId="25" numFmtId="0" xfId="0" applyAlignment="1" applyBorder="1" applyFont="1">
      <alignment horizontal="center" readingOrder="0" shrinkToFit="0" vertical="center" wrapText="0"/>
    </xf>
    <xf borderId="10" fillId="3" fontId="25" numFmtId="0" xfId="0" applyAlignment="1" applyBorder="1" applyFont="1">
      <alignment horizontal="center" shrinkToFit="0" vertical="center" wrapText="0"/>
    </xf>
    <xf borderId="10" fillId="3" fontId="25" numFmtId="0" xfId="0" applyAlignment="1" applyBorder="1" applyFont="1">
      <alignment readingOrder="0" shrinkToFit="0" vertical="center" wrapText="0"/>
    </xf>
    <xf borderId="10" fillId="3" fontId="18" numFmtId="0" xfId="0" applyAlignment="1" applyBorder="1" applyFont="1">
      <alignment horizontal="center" readingOrder="0" shrinkToFit="0" vertical="center" wrapText="0"/>
    </xf>
    <xf borderId="10" fillId="3" fontId="20" numFmtId="0" xfId="0" applyAlignment="1" applyBorder="1" applyFont="1">
      <alignment shrinkToFit="0" vertical="center" wrapText="0"/>
    </xf>
    <xf borderId="10" fillId="3" fontId="15" numFmtId="0" xfId="0" applyAlignment="1" applyBorder="1" applyFont="1">
      <alignment shrinkToFit="0" vertical="center" wrapText="0"/>
    </xf>
    <xf borderId="10" fillId="7" fontId="27" numFmtId="0" xfId="0" applyAlignment="1" applyBorder="1" applyFont="1">
      <alignment horizontal="center" shrinkToFit="0" vertical="center" wrapText="0"/>
    </xf>
    <xf borderId="10" fillId="7" fontId="4" numFmtId="0" xfId="0" applyAlignment="1" applyBorder="1" applyFont="1">
      <alignment shrinkToFit="0" vertical="center" wrapText="0"/>
    </xf>
    <xf borderId="10" fillId="3" fontId="4" numFmtId="0" xfId="0" applyAlignment="1" applyBorder="1" applyFont="1">
      <alignment shrinkToFit="0" vertical="center" wrapText="0"/>
    </xf>
    <xf borderId="10" fillId="3" fontId="27" numFmtId="0" xfId="0" applyAlignment="1" applyBorder="1" applyFont="1">
      <alignment readingOrder="0" shrinkToFit="0" vertical="center" wrapText="0"/>
    </xf>
    <xf borderId="10" fillId="7" fontId="24" numFmtId="0" xfId="0" applyAlignment="1" applyBorder="1" applyFont="1">
      <alignment horizontal="center" shrinkToFit="0" vertical="center" wrapText="0"/>
    </xf>
    <xf borderId="10" fillId="7" fontId="25" numFmtId="0" xfId="0" applyAlignment="1" applyBorder="1" applyFont="1">
      <alignment shrinkToFit="0" vertical="center" wrapText="0"/>
    </xf>
    <xf borderId="10" fillId="3" fontId="20" numFmtId="0" xfId="0" applyAlignment="1" applyBorder="1" applyFont="1">
      <alignment horizontal="center" readingOrder="0" shrinkToFit="0" vertical="center" wrapText="0"/>
    </xf>
    <xf borderId="10" fillId="3" fontId="14" numFmtId="0" xfId="0" applyAlignment="1" applyBorder="1" applyFont="1">
      <alignment horizontal="center" shrinkToFit="0" vertical="center" wrapText="0"/>
    </xf>
    <xf borderId="10" fillId="7" fontId="15" numFmtId="0" xfId="0" applyAlignment="1" applyBorder="1" applyFont="1">
      <alignment horizontal="center" readingOrder="0" shrinkToFit="0" vertical="center" wrapText="0"/>
    </xf>
    <xf borderId="10" fillId="7" fontId="14" numFmtId="0" xfId="0" applyAlignment="1" applyBorder="1" applyFont="1">
      <alignment horizontal="center" shrinkToFit="0" vertical="center" wrapText="0"/>
    </xf>
    <xf borderId="10" fillId="7" fontId="15" numFmtId="0" xfId="0" applyAlignment="1" applyBorder="1" applyFont="1">
      <alignment shrinkToFit="0" vertical="center" wrapText="0"/>
    </xf>
    <xf borderId="10" fillId="7" fontId="18" numFmtId="0" xfId="0" applyAlignment="1" applyBorder="1" applyFont="1">
      <alignment readingOrder="0" shrinkToFit="0" vertical="center" wrapText="0"/>
    </xf>
    <xf borderId="10" fillId="7" fontId="26" numFmtId="0" xfId="0" applyAlignment="1" applyBorder="1" applyFont="1">
      <alignment horizontal="center" shrinkToFit="0" vertical="center" wrapText="0"/>
    </xf>
    <xf borderId="10" fillId="7" fontId="26" numFmtId="0" xfId="0" applyAlignment="1" applyBorder="1" applyFont="1">
      <alignment readingOrder="0" shrinkToFit="0" vertical="center" wrapText="0"/>
    </xf>
    <xf borderId="10" fillId="3" fontId="18" numFmtId="0" xfId="0" applyAlignment="1" applyBorder="1" applyFont="1">
      <alignment horizontal="center" shrinkToFit="0" vertical="center" wrapText="0"/>
    </xf>
    <xf borderId="10" fillId="3" fontId="20" numFmtId="0" xfId="0" applyAlignment="1" applyBorder="1" applyFont="1">
      <alignment horizontal="center" shrinkToFit="0" vertical="center" wrapText="0"/>
    </xf>
    <xf borderId="10" fillId="3" fontId="14" numFmtId="0" xfId="0" applyAlignment="1" applyBorder="1" applyFont="1">
      <alignment shrinkToFit="0" vertical="center" wrapText="0"/>
    </xf>
    <xf borderId="10" fillId="7" fontId="26" numFmtId="0" xfId="0" applyAlignment="1" applyBorder="1" applyFont="1">
      <alignment shrinkToFit="0" vertical="center" wrapText="0"/>
    </xf>
    <xf borderId="10" fillId="3" fontId="26" numFmtId="0" xfId="0" applyAlignment="1" applyBorder="1" applyFont="1">
      <alignment shrinkToFit="0" vertical="center" wrapText="0"/>
    </xf>
    <xf borderId="10" fillId="7" fontId="20" numFmtId="0" xfId="0" applyAlignment="1" applyBorder="1" applyFont="1">
      <alignment horizontal="center" readingOrder="0" shrinkToFit="0" vertical="center" wrapText="0"/>
    </xf>
    <xf borderId="10" fillId="3" fontId="26" numFmtId="0" xfId="0" applyAlignment="1" applyBorder="1" applyFont="1">
      <alignment horizontal="center" readingOrder="0" shrinkToFit="0" vertical="center" wrapText="0"/>
    </xf>
    <xf borderId="10" fillId="3" fontId="27" numFmtId="0" xfId="0" applyAlignment="1" applyBorder="1" applyFont="1">
      <alignment horizontal="center" shrinkToFit="0" vertical="center" wrapText="0"/>
    </xf>
    <xf borderId="10" fillId="3" fontId="28" numFmtId="0" xfId="0" applyAlignment="1" applyBorder="1" applyFont="1">
      <alignment horizontal="center" readingOrder="0" shrinkToFit="0" vertical="center" wrapText="0"/>
    </xf>
    <xf borderId="10" fillId="7" fontId="4" numFmtId="0" xfId="0" applyAlignment="1" applyBorder="1" applyFont="1">
      <alignment horizontal="center" readingOrder="0" shrinkToFit="0" vertical="center" wrapText="0"/>
    </xf>
    <xf borderId="10" fillId="7" fontId="29" numFmtId="0" xfId="0" applyAlignment="1" applyBorder="1" applyFont="1">
      <alignment horizontal="center" readingOrder="0" shrinkToFit="0" vertical="center" wrapText="0"/>
    </xf>
    <xf borderId="10" fillId="7" fontId="18" numFmtId="166" xfId="0" applyAlignment="1" applyBorder="1" applyFont="1" applyNumberFormat="1">
      <alignment horizontal="center" shrinkToFit="0" vertical="center" wrapText="0"/>
    </xf>
    <xf borderId="10" fillId="3" fontId="18" numFmtId="166" xfId="0" applyAlignment="1" applyBorder="1" applyFont="1" applyNumberFormat="1">
      <alignment horizontal="center" shrinkToFit="0" vertical="center" wrapText="0"/>
    </xf>
    <xf borderId="10" fillId="7" fontId="25" numFmtId="0" xfId="0" applyAlignment="1" applyBorder="1" applyFont="1">
      <alignment horizontal="center" readingOrder="0" shrinkToFit="0" vertical="center" wrapText="0"/>
    </xf>
    <xf borderId="10" fillId="7" fontId="26" numFmtId="0" xfId="0" applyAlignment="1" applyBorder="1" applyFont="1">
      <alignment horizontal="center" readingOrder="0" shrinkToFit="0" vertical="center" wrapText="0"/>
    </xf>
    <xf borderId="10" fillId="3" fontId="4" numFmtId="0" xfId="0" applyAlignment="1" applyBorder="1" applyFont="1">
      <alignment horizontal="center" readingOrder="0" shrinkToFit="0" vertical="center" wrapText="0"/>
    </xf>
    <xf borderId="10" fillId="7" fontId="14" numFmtId="0" xfId="0" applyAlignment="1" applyBorder="1" applyFont="1">
      <alignment shrinkToFit="0" vertical="center" wrapText="0"/>
    </xf>
    <xf borderId="10" fillId="3" fontId="30" numFmtId="0" xfId="0" applyAlignment="1" applyBorder="1" applyFont="1">
      <alignment readingOrder="0" shrinkToFit="0" vertical="center" wrapText="0"/>
    </xf>
    <xf borderId="10" fillId="3" fontId="18" numFmtId="0" xfId="0" applyAlignment="1" applyBorder="1" applyFont="1">
      <alignment shrinkToFit="0" vertical="center" wrapText="0"/>
    </xf>
    <xf borderId="10" fillId="7" fontId="18" numFmtId="0" xfId="0" applyAlignment="1" applyBorder="1" applyFont="1">
      <alignment shrinkToFit="0" vertical="center" wrapText="0"/>
    </xf>
    <xf borderId="11" fillId="3" fontId="14" numFmtId="0" xfId="0" applyAlignment="1" applyBorder="1" applyFont="1">
      <alignment horizontal="center" readingOrder="0" shrinkToFit="0" vertical="center" wrapText="0"/>
    </xf>
    <xf borderId="11" fillId="3" fontId="18" numFmtId="0" xfId="0" applyAlignment="1" applyBorder="1" applyFont="1">
      <alignment shrinkToFit="0" vertical="center" wrapText="0"/>
    </xf>
    <xf borderId="11" fillId="3" fontId="15" numFmtId="0" xfId="0" applyAlignment="1" applyBorder="1" applyFont="1">
      <alignment shrinkToFit="0" vertical="center" wrapText="0"/>
    </xf>
    <xf borderId="11" fillId="3" fontId="18" numFmtId="0" xfId="0" applyAlignment="1" applyBorder="1" applyFont="1">
      <alignment shrinkToFit="0" vertical="center" wrapText="0"/>
    </xf>
    <xf borderId="11" fillId="3" fontId="20" numFmtId="0" xfId="0" applyAlignment="1" applyBorder="1" applyFont="1">
      <alignment horizontal="center" shrinkToFit="0" vertical="center" wrapText="0"/>
    </xf>
    <xf borderId="11" fillId="3" fontId="14" numFmtId="0" xfId="0" applyAlignment="1" applyBorder="1" applyFont="1">
      <alignment horizontal="center" shrinkToFit="0" vertical="center" wrapText="0"/>
    </xf>
    <xf borderId="11" fillId="3" fontId="18" numFmtId="0" xfId="0" applyAlignment="1" applyBorder="1" applyFont="1">
      <alignment horizontal="center" shrinkToFit="0" vertical="center" wrapText="0"/>
    </xf>
    <xf borderId="11" fillId="3" fontId="15" numFmtId="0" xfId="0" applyAlignment="1" applyBorder="1" applyFont="1">
      <alignment horizontal="center" shrinkToFit="0" vertical="center" wrapText="0"/>
    </xf>
    <xf borderId="11" fillId="3" fontId="18" numFmtId="9" xfId="0" applyAlignment="1" applyBorder="1" applyFont="1" applyNumberFormat="1">
      <alignment horizontal="center" readingOrder="0" shrinkToFit="0" vertical="center" wrapText="0"/>
    </xf>
    <xf borderId="11" fillId="3" fontId="18" numFmtId="165" xfId="0" applyAlignment="1" applyBorder="1" applyFont="1" applyNumberFormat="1">
      <alignment horizontal="center" shrinkToFit="0" vertical="center" wrapText="0"/>
    </xf>
    <xf borderId="0" fillId="3" fontId="14" numFmtId="0" xfId="0" applyAlignment="1" applyFont="1">
      <alignment horizontal="center" readingOrder="0" shrinkToFit="0" vertical="center" wrapText="0"/>
    </xf>
    <xf borderId="0" fillId="3" fontId="30" numFmtId="0" xfId="0" applyAlignment="1" applyFont="1">
      <alignment shrinkToFit="0" vertical="center" wrapText="0"/>
    </xf>
    <xf borderId="0" fillId="3" fontId="18" numFmtId="0" xfId="0" applyAlignment="1" applyFont="1">
      <alignment shrinkToFit="0" vertical="center" wrapText="0"/>
    </xf>
    <xf borderId="0" fillId="3" fontId="15" numFmtId="0" xfId="0" applyAlignment="1" applyFont="1">
      <alignment shrinkToFit="0" vertical="center" wrapText="0"/>
    </xf>
    <xf borderId="0" fillId="3" fontId="15" numFmtId="0" xfId="0" applyAlignment="1" applyFont="1">
      <alignment shrinkToFit="0" vertical="center" wrapText="0"/>
    </xf>
    <xf borderId="0" fillId="3" fontId="18" numFmtId="0" xfId="0" applyAlignment="1" applyFont="1">
      <alignment shrinkToFit="0" vertical="center" wrapText="0"/>
    </xf>
    <xf borderId="0" fillId="3" fontId="20" numFmtId="0" xfId="0" applyAlignment="1" applyFont="1">
      <alignment horizontal="center" shrinkToFit="0" vertical="center" wrapText="0"/>
    </xf>
    <xf borderId="0" fillId="3" fontId="14" numFmtId="0" xfId="0" applyAlignment="1" applyFont="1">
      <alignment horizontal="center" shrinkToFit="0" vertical="center" wrapText="0"/>
    </xf>
    <xf borderId="0" fillId="3" fontId="18" numFmtId="0" xfId="0" applyAlignment="1" applyFont="1">
      <alignment horizontal="center" shrinkToFit="0" vertical="center" wrapText="0"/>
    </xf>
    <xf borderId="0" fillId="3" fontId="15" numFmtId="0" xfId="0" applyAlignment="1" applyFont="1">
      <alignment horizontal="center" shrinkToFit="0" vertical="center" wrapText="0"/>
    </xf>
    <xf borderId="0" fillId="3" fontId="18" numFmtId="9" xfId="0" applyAlignment="1" applyFont="1" applyNumberFormat="1">
      <alignment horizontal="center" readingOrder="0" shrinkToFit="0" vertical="center" wrapText="0"/>
    </xf>
    <xf borderId="0" fillId="3" fontId="18" numFmtId="165" xfId="0" applyAlignment="1" applyFont="1" applyNumberFormat="1">
      <alignment horizontal="center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/>
    </xf>
    <xf borderId="0" fillId="0" fontId="10" numFmtId="49" xfId="0" applyAlignment="1" applyFont="1" applyNumberFormat="1">
      <alignment horizontal="left" readingOrder="0" shrinkToFit="0" vertical="center" wrapText="0"/>
    </xf>
    <xf borderId="0" fillId="0" fontId="31" numFmtId="0" xfId="0" applyAlignment="1" applyFont="1">
      <alignment readingOrder="0" shrinkToFit="0" vertical="center" wrapText="0"/>
    </xf>
    <xf borderId="0" fillId="0" fontId="32" numFmtId="0" xfId="0" applyAlignment="1" applyFont="1">
      <alignment readingOrder="0" shrinkToFit="0" vertical="center" wrapText="0"/>
    </xf>
    <xf borderId="0" fillId="0" fontId="33" numFmtId="0" xfId="0" applyAlignment="1" applyFont="1">
      <alignment horizontal="center" readingOrder="0" shrinkToFit="0" vertical="center" wrapText="0"/>
    </xf>
    <xf borderId="0" fillId="0" fontId="34" numFmtId="0" xfId="0" applyAlignment="1" applyFont="1">
      <alignment horizontal="center" readingOrder="0" shrinkToFit="0" vertical="center" wrapText="1"/>
    </xf>
    <xf borderId="0" fillId="0" fontId="35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7" numFmtId="0" xfId="0" applyAlignment="1" applyFont="1">
      <alignment horizontal="center" readingOrder="0" shrinkToFit="0" vertical="center" wrapText="0"/>
    </xf>
    <xf borderId="0" fillId="0" fontId="38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horizontal="center" readingOrder="0" shrinkToFit="0" vertical="center" wrapText="0"/>
    </xf>
    <xf borderId="0" fillId="0" fontId="19" numFmtId="49" xfId="0" applyAlignment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1"/>
    </xf>
    <xf borderId="12" fillId="7" fontId="18" numFmtId="0" xfId="0" applyAlignment="1" applyBorder="1" applyFont="1">
      <alignment horizontal="center" shrinkToFit="0" vertical="center" wrapText="0"/>
    </xf>
    <xf borderId="13" fillId="7" fontId="15" numFmtId="0" xfId="0" applyAlignment="1" applyBorder="1" applyFont="1">
      <alignment horizontal="center" shrinkToFit="0" vertical="center" wrapText="0"/>
    </xf>
    <xf borderId="13" fillId="7" fontId="18" numFmtId="0" xfId="0" applyAlignment="1" applyBorder="1" applyFont="1">
      <alignment horizontal="center" shrinkToFit="0" vertical="center" wrapText="0"/>
    </xf>
    <xf borderId="14" fillId="7" fontId="18" numFmtId="0" xfId="0" applyAlignment="1" applyBorder="1" applyFont="1">
      <alignment horizontal="center" shrinkToFit="0" vertical="center" wrapText="0"/>
    </xf>
    <xf borderId="13" fillId="7" fontId="39" numFmtId="0" xfId="0" applyAlignment="1" applyBorder="1" applyFont="1">
      <alignment horizontal="center" shrinkToFit="0" vertical="center" wrapText="0"/>
    </xf>
    <xf borderId="0" fillId="7" fontId="18" numFmtId="0" xfId="0" applyAlignment="1" applyFont="1">
      <alignment horizontal="center" readingOrder="0" shrinkToFit="0" vertical="center" wrapText="1"/>
    </xf>
    <xf borderId="15" fillId="7" fontId="18" numFmtId="0" xfId="0" applyAlignment="1" applyBorder="1" applyFont="1">
      <alignment horizontal="center" shrinkToFit="0" vertical="center" wrapText="0"/>
    </xf>
    <xf borderId="8" fillId="7" fontId="40" numFmtId="0" xfId="0" applyAlignment="1" applyBorder="1" applyFont="1">
      <alignment horizontal="center" shrinkToFit="0" vertical="center" wrapText="0"/>
    </xf>
    <xf borderId="8" fillId="7" fontId="18" numFmtId="0" xfId="0" applyAlignment="1" applyBorder="1" applyFont="1">
      <alignment horizontal="center" shrinkToFit="0" vertical="center" wrapText="0"/>
    </xf>
    <xf borderId="16" fillId="7" fontId="18" numFmtId="0" xfId="0" applyAlignment="1" applyBorder="1" applyFont="1">
      <alignment horizontal="center" shrinkToFit="0" vertical="center" wrapText="0"/>
    </xf>
    <xf borderId="8" fillId="7" fontId="41" numFmtId="0" xfId="0" applyAlignment="1" applyBorder="1" applyFont="1">
      <alignment horizontal="center" shrinkToFit="0" vertical="center" wrapText="0"/>
    </xf>
    <xf borderId="12" fillId="3" fontId="18" numFmtId="0" xfId="0" applyAlignment="1" applyBorder="1" applyFont="1">
      <alignment horizontal="center" shrinkToFit="0" vertical="center" wrapText="0"/>
    </xf>
    <xf borderId="13" fillId="3" fontId="22" numFmtId="0" xfId="0" applyAlignment="1" applyBorder="1" applyFont="1">
      <alignment horizontal="center" shrinkToFit="0" vertical="center" wrapText="0"/>
    </xf>
    <xf borderId="13" fillId="3" fontId="18" numFmtId="0" xfId="0" applyAlignment="1" applyBorder="1" applyFont="1">
      <alignment horizontal="center" shrinkToFit="0" vertical="center" wrapText="0"/>
    </xf>
    <xf borderId="14" fillId="3" fontId="18" numFmtId="0" xfId="0" applyAlignment="1" applyBorder="1" applyFont="1">
      <alignment horizontal="center" shrinkToFit="0" vertical="center" wrapText="0"/>
    </xf>
    <xf borderId="13" fillId="3" fontId="42" numFmtId="0" xfId="0" applyAlignment="1" applyBorder="1" applyFont="1">
      <alignment horizontal="center" shrinkToFit="0" vertical="center" wrapText="0"/>
    </xf>
    <xf borderId="15" fillId="3" fontId="18" numFmtId="0" xfId="0" applyAlignment="1" applyBorder="1" applyFont="1">
      <alignment horizontal="center" shrinkToFit="0" vertical="center" wrapText="0"/>
    </xf>
    <xf borderId="8" fillId="3" fontId="22" numFmtId="0" xfId="0" applyAlignment="1" applyBorder="1" applyFont="1">
      <alignment horizontal="center" shrinkToFit="0" vertical="center" wrapText="0"/>
    </xf>
    <xf borderId="8" fillId="3" fontId="18" numFmtId="0" xfId="0" applyAlignment="1" applyBorder="1" applyFont="1">
      <alignment horizontal="center" shrinkToFit="0" vertical="center" wrapText="0"/>
    </xf>
    <xf borderId="16" fillId="3" fontId="18" numFmtId="0" xfId="0" applyAlignment="1" applyBorder="1" applyFont="1">
      <alignment horizontal="center" shrinkToFit="0" vertical="center" wrapText="0"/>
    </xf>
    <xf borderId="8" fillId="3" fontId="43" numFmtId="0" xfId="0" applyAlignment="1" applyBorder="1" applyFont="1">
      <alignment horizontal="center" shrinkToFit="0" vertical="center" wrapText="0"/>
    </xf>
    <xf borderId="13" fillId="7" fontId="22" numFmtId="0" xfId="0" applyAlignment="1" applyBorder="1" applyFont="1">
      <alignment horizontal="center" shrinkToFit="0" vertical="center" wrapText="0"/>
    </xf>
    <xf borderId="12" fillId="3" fontId="18" numFmtId="0" xfId="0" applyAlignment="1" applyBorder="1" applyFont="1">
      <alignment horizontal="center" shrinkToFit="0" vertical="center" wrapText="0"/>
    </xf>
    <xf borderId="8" fillId="7" fontId="22" numFmtId="0" xfId="0" applyAlignment="1" applyBorder="1" applyFont="1">
      <alignment horizontal="center" shrinkToFit="0" vertical="center" wrapText="0"/>
    </xf>
    <xf borderId="13" fillId="3" fontId="14" numFmtId="0" xfId="0" applyAlignment="1" applyBorder="1" applyFont="1">
      <alignment horizontal="center" shrinkToFit="0" vertical="center" wrapText="0"/>
    </xf>
    <xf borderId="0" fillId="3" fontId="18" numFmtId="0" xfId="0" applyAlignment="1" applyFont="1">
      <alignment horizontal="center" readingOrder="0" shrinkToFit="0" vertical="center" wrapText="1"/>
    </xf>
    <xf borderId="15" fillId="7" fontId="18" numFmtId="0" xfId="0" applyAlignment="1" applyBorder="1" applyFont="1">
      <alignment horizontal="center" shrinkToFit="0" vertical="center" wrapText="0"/>
    </xf>
    <xf borderId="8" fillId="7" fontId="14" numFmtId="0" xfId="0" applyAlignment="1" applyBorder="1" applyFont="1">
      <alignment horizontal="center" shrinkToFit="0" vertical="center" wrapText="0"/>
    </xf>
    <xf borderId="12" fillId="7" fontId="18" numFmtId="0" xfId="0" applyAlignment="1" applyBorder="1" applyFont="1">
      <alignment horizontal="center" shrinkToFit="0" vertical="center" wrapText="0"/>
    </xf>
    <xf borderId="13" fillId="7" fontId="14" numFmtId="0" xfId="0" applyAlignment="1" applyBorder="1" applyFont="1">
      <alignment horizontal="center" shrinkToFit="0" vertical="center" wrapText="0"/>
    </xf>
    <xf borderId="15" fillId="3" fontId="18" numFmtId="0" xfId="0" applyAlignment="1" applyBorder="1" applyFont="1">
      <alignment horizontal="center" shrinkToFit="0" vertical="center" wrapText="0"/>
    </xf>
    <xf borderId="8" fillId="3" fontId="14" numFmtId="0" xfId="0" applyAlignment="1" applyBorder="1" applyFont="1">
      <alignment horizontal="center" shrinkToFit="0" vertical="center" wrapText="0"/>
    </xf>
    <xf borderId="17" fillId="7" fontId="18" numFmtId="0" xfId="0" applyAlignment="1" applyBorder="1" applyFont="1">
      <alignment horizontal="center" shrinkToFit="0" vertical="center" wrapText="0"/>
    </xf>
    <xf borderId="18" fillId="7" fontId="14" numFmtId="0" xfId="0" applyAlignment="1" applyBorder="1" applyFont="1">
      <alignment horizontal="center" shrinkToFit="0" vertical="center" wrapText="0"/>
    </xf>
    <xf borderId="18" fillId="7" fontId="18" numFmtId="0" xfId="0" applyAlignment="1" applyBorder="1" applyFont="1">
      <alignment horizontal="center" shrinkToFit="0" vertical="center" wrapText="0"/>
    </xf>
    <xf borderId="19" fillId="7" fontId="18" numFmtId="0" xfId="0" applyAlignment="1" applyBorder="1" applyFont="1">
      <alignment horizontal="center" shrinkToFit="0" vertical="center" wrapText="0"/>
    </xf>
    <xf borderId="18" fillId="7" fontId="44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curs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quip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yec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tivida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acida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posito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_ro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4" displayName="Tabla_2" name="Tabla_2" id="1">
  <tableColumns count="9">
    <tableColumn name="nombre" id="1"/>
    <tableColumn name="email" id="2"/>
    <tableColumn name="id" id="3"/>
    <tableColumn name="departamento" id="4"/>
    <tableColumn name="rol" id="5"/>
    <tableColumn name="jefe" id="6"/>
    <tableColumn name="email_jefe" id="7"/>
    <tableColumn name="id_jefe" id="8"/>
    <tableColumn name="Progreso" id="9"/>
  </tableColumns>
  <tableStyleInfo name="cursos-style" showColumnStripes="0" showFirstColumn="1" showLastColumn="1" showRowStripes="1"/>
</table>
</file>

<file path=xl/tables/table2.xml><?xml version="1.0" encoding="utf-8"?>
<table xmlns="http://schemas.openxmlformats.org/spreadsheetml/2006/main" ref="A1:K35" displayName="Equipo" name="Equipo" id="2">
  <tableColumns count="11">
    <tableColumn name="id" id="1"/>
    <tableColumn name="nombre" id="2"/>
    <tableColumn name="email" id="3"/>
    <tableColumn name="tag" id="4"/>
    <tableColumn name="nickname" id="5"/>
    <tableColumn name="user" id="6"/>
    <tableColumn name="puesto" id="7"/>
    <tableColumn name="departamento" id="8"/>
    <tableColumn name="rol" id="9"/>
    <tableColumn name="jefe" id="10"/>
    <tableColumn name="jefe_id" id="11"/>
  </tableColumns>
  <tableStyleInfo name="equipo-style" showColumnStripes="0" showFirstColumn="1" showLastColumn="1" showRowStripes="1"/>
</table>
</file>

<file path=xl/tables/table3.xml><?xml version="1.0" encoding="utf-8"?>
<table xmlns="http://schemas.openxmlformats.org/spreadsheetml/2006/main" ref="A1:AH60" displayName="Proyectos" name="Proyectos" id="3">
  <autoFilter ref="$A$1:$AH$60">
    <filterColumn colId="8">
      <filters>
        <filter val="On Track"/>
        <filter val="Upcoming"/>
        <filter val="Blocked / Critical"/>
        <filter val="At Risk"/>
      </filters>
    </filterColumn>
    <filterColumn colId="22">
      <filters>
        <filter val="Dave"/>
      </filters>
    </filterColumn>
  </autoFilter>
  <tableColumns count="34">
    <tableColumn name="id" id="1"/>
    <tableColumn name="URL" id="2"/>
    <tableColumn name="folio" id="3"/>
    <tableColumn name="nombre" id="4"/>
    <tableColumn name="tipo" id="5"/>
    <tableColumn name="producto" id="6"/>
    <tableColumn name="servicio" id="7"/>
    <tableColumn name="aliado" id="8"/>
    <tableColumn name="estatus" id="9"/>
    <tableColumn name="salud" id="10"/>
    <tableColumn name="progreso" id="11"/>
    <tableColumn name="prioridad" id="12"/>
    <tableColumn name="Épica (Producto)" id="13"/>
    <tableColumn name="cuatrimestre" id="14"/>
    <tableColumn name="sprint" id="15"/>
    <tableColumn name="Puntos" id="16"/>
    <tableColumn name="Registro" id="17"/>
    <tableColumn name="Fecha inicio" id="18"/>
    <tableColumn name="Fin estimado" id="19"/>
    <tableColumn name="Fin real" id="20"/>
    <tableColumn name="PO" id="21"/>
    <tableColumn name="PO_ID" id="22"/>
    <tableColumn name="PM" id="23"/>
    <tableColumn name="PM_ID" id="24"/>
    <tableColumn name="Arquitecto" id="25"/>
    <tableColumn name="Arquitecto_ID" id="26"/>
    <tableColumn name="DEVs" id="27"/>
    <tableColumn name="DEVs_ID" id="28"/>
    <tableColumn name="SQA" id="29"/>
    <tableColumn name="SQA_ID" id="30"/>
    <tableColumn name="Requiere de" id="31"/>
    <tableColumn name="Requiere_ID" id="32"/>
    <tableColumn name="Accion requerida" id="33"/>
    <tableColumn name="Fecha de accion" id="34"/>
  </tableColumns>
  <tableStyleInfo name="proyectos-style" showColumnStripes="0" showFirstColumn="1" showLastColumn="1" showRowStripes="1"/>
</table>
</file>

<file path=xl/tables/table4.xml><?xml version="1.0" encoding="utf-8"?>
<table xmlns="http://schemas.openxmlformats.org/spreadsheetml/2006/main" ref="A1:Z86" displayName="Tabla_4" name="Tabla_4" id="4">
  <autoFilter ref="$A$1:$Z$86">
    <filterColumn colId="3">
      <filters>
        <filter val="S17"/>
        <filter val="S16"/>
      </filters>
    </filterColumn>
  </autoFilter>
  <tableColumns count="26">
    <tableColumn name="Proyecto" id="1"/>
    <tableColumn name="ProyectoId" id="2"/>
    <tableColumn name="Producto" id="3"/>
    <tableColumn name="sprint" id="4"/>
    <tableColumn name="Folio" id="5"/>
    <tableColumn name="URL" id="6"/>
    <tableColumn name="Actividad" id="7"/>
    <tableColumn name="Asignado" id="8"/>
    <tableColumn name="AsignadoId" id="9"/>
    <tableColumn name="Estatus" id="10"/>
    <tableColumn name="Salud" id="11"/>
    <tableColumn name="Fase" id="12"/>
    <tableColumn name="Tipo" id="13"/>
    <tableColumn name="Prioridad" id="14"/>
    <tableColumn name="Dificultad" id="15"/>
    <tableColumn name="Épica" id="16"/>
    <tableColumn name="Hito" id="17"/>
    <tableColumn name="Cuenta" id="18"/>
    <tableColumn name="Puntos" id="19"/>
    <tableColumn name="Traking" id="20"/>
    <tableColumn name="avance" id="21"/>
    <tableColumn name="Registro" id="22"/>
    <tableColumn name="Fecha inicio" id="23"/>
    <tableColumn name="Fin estimado" id="24"/>
    <tableColumn name="Fin real" id="25"/>
    <tableColumn name="Rol" id="26"/>
  </tableColumns>
  <tableStyleInfo name="actividades-style" showColumnStripes="0" showFirstColumn="1" showLastColumn="1" showRowStripes="1"/>
</table>
</file>

<file path=xl/tables/table5.xml><?xml version="1.0" encoding="utf-8"?>
<table xmlns="http://schemas.openxmlformats.org/spreadsheetml/2006/main" ref="A1:K9" displayName="Tabla_5" name="Tabla_5" id="5">
  <tableColumns count="11">
    <tableColumn name="Sprint" id="1"/>
    <tableColumn name="Mes" id="2"/>
    <tableColumn name="Año" id="3"/>
    <tableColumn name="Dias" id="4"/>
    <tableColumn name="Inicio estimado" id="5"/>
    <tableColumn name="inicio real" id="6"/>
    <tableColumn name="Fin estimado" id="7"/>
    <tableColumn name="Fin real" id="8"/>
    <tableColumn name="Desfase" id="9"/>
    <tableColumn name="Capacidad / HRS" id="10"/>
    <tableColumn name="Pts" id="11"/>
  </tableColumns>
  <tableStyleInfo name="sprint-style" showColumnStripes="0" showFirstColumn="1" showLastColumn="1" showRowStripes="1"/>
</table>
</file>

<file path=xl/tables/table6.xml><?xml version="1.0" encoding="utf-8"?>
<table xmlns="http://schemas.openxmlformats.org/spreadsheetml/2006/main" ref="A1:F19" displayName="capacidades" name="capacidades" id="6">
  <tableColumns count="6">
    <tableColumn name="id_team" id="1"/>
    <tableColumn name="Nombre" id="2"/>
    <tableColumn name="user_id" id="3"/>
    <tableColumn name="id_sprint" id="4"/>
    <tableColumn name="vacaciones" id="5"/>
    <tableColumn name="capacidad" id="6"/>
  </tableColumns>
  <tableStyleInfo name="capacidades-style" showColumnStripes="0" showFirstColumn="1" showLastColumn="1" showRowStripes="1"/>
</table>
</file>

<file path=xl/tables/table7.xml><?xml version="1.0" encoding="utf-8"?>
<table xmlns="http://schemas.openxmlformats.org/spreadsheetml/2006/main" ref="A1:K21" displayName="Tabla_6" name="Tabla_6" id="7">
  <tableColumns count="11">
    <tableColumn name="Nombre común" id="1"/>
    <tableColumn name="Ambientes" id="2"/>
    <tableColumn name="Estatus" id="3"/>
    <tableColumn name="Dpto" id="4"/>
    <tableColumn name="Producto" id="5"/>
    <tableColumn name="GITHub Repositorio" id="6"/>
    <tableColumn name="Administrador" id="7"/>
    <tableColumn name="Arquitecto" id="8"/>
    <tableColumn name="Colaborador" id="9"/>
    <tableColumn name="Visualizador" id="10"/>
    <tableColumn name="Deploy" id="11"/>
  </tableColumns>
  <tableStyleInfo name="repositorios-style" showColumnStripes="0" showFirstColumn="1" showLastColumn="1" showRowStripes="1"/>
</table>
</file>

<file path=xl/tables/table8.xml><?xml version="1.0" encoding="utf-8"?>
<table xmlns="http://schemas.openxmlformats.org/spreadsheetml/2006/main" ref="A1:AE33" displayName="users" name="users" id="8">
  <autoFilter ref="$A$1:$AE$33"/>
  <tableColumns count="31">
    <tableColumn name="id" id="1"/>
    <tableColumn name="departamento" id="2"/>
    <tableColumn name="nombre" id="3"/>
    <tableColumn name="email" id="4"/>
    <tableColumn name="rol" id="5"/>
    <tableColumn name="jefe" id="6"/>
    <tableColumn name="nickname" id="7"/>
    <tableColumn name="user" id="8"/>
    <tableColumn name="puesto" id="9"/>
    <tableColumn name="tag" id="10"/>
    <tableColumn name="APIs App Academic" id="11"/>
    <tableColumn name="Academic Web" id="12"/>
    <tableColumn name="APIs Basic Procesos" id="13"/>
    <tableColumn name="Academic App Movil" id="14"/>
    <tableColumn name="Paginador Academic Web" id="15"/>
    <tableColumn name="Caja rápida" id="16"/>
    <tableColumn name="Motor de procesamiento - Academic" id="17"/>
    <tableColumn name="Academic Portal (Landpage intgerado)" id="18"/>
    <tableColumn name="Motor de envío de correos" id="19"/>
    <tableColumn name="API Facturacion" id="20"/>
    <tableColumn name="API de conversión de reportes a PDF" id="21"/>
    <tableColumn name="Motor de facturación" id="22"/>
    <tableColumn name="API de generación de reportes" id="23"/>
    <tableColumn name="Motor de titulos digitales" id="24"/>
    <tableColumn name="APIs Bearer Personales" id="25"/>
    <tableColumn name="Academic DevHub" id="26"/>
    <tableColumn name="Academic asistencia por dactilar" id="27"/>
    <tableColumn name="Academic Admin Site" id="28"/>
    <tableColumn name="APIs Academic Portal" id="29"/>
    <tableColumn name="Backoffice" id="30"/>
    <tableColumn name="Columna 31" id="31"/>
  </tableColumns>
  <tableStyleInfo name="user_ro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mailto:czamudio@bit.lat" TargetMode="External"/><Relationship Id="rId22" Type="http://schemas.openxmlformats.org/officeDocument/2006/relationships/hyperlink" Target="mailto:hloredo@bit.lat" TargetMode="External"/><Relationship Id="rId21" Type="http://schemas.openxmlformats.org/officeDocument/2006/relationships/hyperlink" Target="mailto:dgonzalez@bit.lat" TargetMode="External"/><Relationship Id="rId24" Type="http://schemas.openxmlformats.org/officeDocument/2006/relationships/hyperlink" Target="mailto:emontano@bit.lat" TargetMode="External"/><Relationship Id="rId23" Type="http://schemas.openxmlformats.org/officeDocument/2006/relationships/hyperlink" Target="mailto:eramirez@bit.lat" TargetMode="External"/><Relationship Id="rId1" Type="http://schemas.openxmlformats.org/officeDocument/2006/relationships/hyperlink" Target="mailto:aserrano@bit.lat" TargetMode="External"/><Relationship Id="rId2" Type="http://schemas.openxmlformats.org/officeDocument/2006/relationships/hyperlink" Target="mailto:alara@bit.lat" TargetMode="External"/><Relationship Id="rId3" Type="http://schemas.openxmlformats.org/officeDocument/2006/relationships/hyperlink" Target="mailto:aaguilar@bit.lat" TargetMode="External"/><Relationship Id="rId4" Type="http://schemas.openxmlformats.org/officeDocument/2006/relationships/hyperlink" Target="mailto:dperez@bit.lat" TargetMode="External"/><Relationship Id="rId9" Type="http://schemas.openxmlformats.org/officeDocument/2006/relationships/hyperlink" Target="mailto:henriquez@bit.lat" TargetMode="External"/><Relationship Id="rId26" Type="http://schemas.openxmlformats.org/officeDocument/2006/relationships/hyperlink" Target="mailto:lolvera@bit.lat" TargetMode="External"/><Relationship Id="rId25" Type="http://schemas.openxmlformats.org/officeDocument/2006/relationships/hyperlink" Target="mailto:egonzalez@bit.lat" TargetMode="External"/><Relationship Id="rId28" Type="http://schemas.openxmlformats.org/officeDocument/2006/relationships/hyperlink" Target="mailto:rescobar@bit.lat" TargetMode="External"/><Relationship Id="rId27" Type="http://schemas.openxmlformats.org/officeDocument/2006/relationships/hyperlink" Target="mailto:nmejia@bit.lat" TargetMode="External"/><Relationship Id="rId5" Type="http://schemas.openxmlformats.org/officeDocument/2006/relationships/hyperlink" Target="mailto:etorres@bit.lat" TargetMode="External"/><Relationship Id="rId6" Type="http://schemas.openxmlformats.org/officeDocument/2006/relationships/hyperlink" Target="mailto:econtreras@bit.lat" TargetMode="External"/><Relationship Id="rId29" Type="http://schemas.openxmlformats.org/officeDocument/2006/relationships/hyperlink" Target="mailto:rcuevas@bit.lat" TargetMode="External"/><Relationship Id="rId7" Type="http://schemas.openxmlformats.org/officeDocument/2006/relationships/hyperlink" Target="mailto:gmartinez@bit.lat" TargetMode="External"/><Relationship Id="rId8" Type="http://schemas.openxmlformats.org/officeDocument/2006/relationships/hyperlink" Target="mailto:gguadarrama@bit.lat" TargetMode="External"/><Relationship Id="rId31" Type="http://schemas.openxmlformats.org/officeDocument/2006/relationships/hyperlink" Target="mailto:fgonzalez@bit.lat" TargetMode="External"/><Relationship Id="rId30" Type="http://schemas.openxmlformats.org/officeDocument/2006/relationships/hyperlink" Target="mailto:jenriquez@bit.lat" TargetMode="External"/><Relationship Id="rId11" Type="http://schemas.openxmlformats.org/officeDocument/2006/relationships/hyperlink" Target="mailto:asierra@bit.lat" TargetMode="External"/><Relationship Id="rId33" Type="http://schemas.openxmlformats.org/officeDocument/2006/relationships/hyperlink" Target="mailto:mhernandez@bit.lat" TargetMode="External"/><Relationship Id="rId10" Type="http://schemas.openxmlformats.org/officeDocument/2006/relationships/hyperlink" Target="mailto:jlopez@bit.lat" TargetMode="External"/><Relationship Id="rId32" Type="http://schemas.openxmlformats.org/officeDocument/2006/relationships/hyperlink" Target="mailto:fgonzalezr@bit.lat" TargetMode="External"/><Relationship Id="rId13" Type="http://schemas.openxmlformats.org/officeDocument/2006/relationships/hyperlink" Target="mailto:jpatino@bit.lat" TargetMode="External"/><Relationship Id="rId35" Type="http://schemas.openxmlformats.org/officeDocument/2006/relationships/drawing" Target="../drawings/drawing3.xml"/><Relationship Id="rId12" Type="http://schemas.openxmlformats.org/officeDocument/2006/relationships/hyperlink" Target="mailto:ameza@bit.lat" TargetMode="External"/><Relationship Id="rId34" Type="http://schemas.openxmlformats.org/officeDocument/2006/relationships/hyperlink" Target="mailto:earzate@bit.lat" TargetMode="External"/><Relationship Id="rId15" Type="http://schemas.openxmlformats.org/officeDocument/2006/relationships/hyperlink" Target="mailto:lbernal@bit.lat" TargetMode="External"/><Relationship Id="rId37" Type="http://schemas.openxmlformats.org/officeDocument/2006/relationships/table" Target="../tables/table2.xml"/><Relationship Id="rId14" Type="http://schemas.openxmlformats.org/officeDocument/2006/relationships/hyperlink" Target="mailto:jrojas@bit.lat" TargetMode="External"/><Relationship Id="rId17" Type="http://schemas.openxmlformats.org/officeDocument/2006/relationships/hyperlink" Target="mailto:rbernal@bit.lat" TargetMode="External"/><Relationship Id="rId16" Type="http://schemas.openxmlformats.org/officeDocument/2006/relationships/hyperlink" Target="mailto:mramirez@bit.lat" TargetMode="External"/><Relationship Id="rId19" Type="http://schemas.openxmlformats.org/officeDocument/2006/relationships/hyperlink" Target="mailto:amorales@bit.lat" TargetMode="External"/><Relationship Id="rId18" Type="http://schemas.openxmlformats.org/officeDocument/2006/relationships/hyperlink" Target="mailto:avazquez@bit.lat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samva.io/PnlCliente/ListarClientesColasProyectosDetalle.aspx?ID=411193&amp;P=11242" TargetMode="External"/><Relationship Id="rId42" Type="http://schemas.openxmlformats.org/officeDocument/2006/relationships/hyperlink" Target="https://app.samva.io/PnlCliente/ListarClientesColasProyectosDetalle.aspx?ID=411157&amp;P=11242" TargetMode="External"/><Relationship Id="rId41" Type="http://schemas.openxmlformats.org/officeDocument/2006/relationships/hyperlink" Target="https://app.samva.io/PnlCliente/ListarClientesColasProyectosDetalle.aspx?ID=411156&amp;P=11242" TargetMode="External"/><Relationship Id="rId44" Type="http://schemas.openxmlformats.org/officeDocument/2006/relationships/hyperlink" Target="https://app.samva.io/PnlCliente/ListarClientesColasProyectosDetalle.aspx?ID=417738&amp;P=11242" TargetMode="External"/><Relationship Id="rId43" Type="http://schemas.openxmlformats.org/officeDocument/2006/relationships/hyperlink" Target="https://app.samva.io/PnlCliente/ListarClientesColasProyectosDetalle.aspx?ID=411276&amp;P=11242" TargetMode="External"/><Relationship Id="rId46" Type="http://schemas.openxmlformats.org/officeDocument/2006/relationships/hyperlink" Target="https://app.samva.io/PnlCliente/ListarClientesColasProyectosDetalle.aspx?ID=411209&amp;P=11242" TargetMode="External"/><Relationship Id="rId45" Type="http://schemas.openxmlformats.org/officeDocument/2006/relationships/hyperlink" Target="https://app.samva.io/PnlCliente/ListarClientesColasProyectosDetalle.aspx?eSUQ9NDE1MDA1JlA9MTEyNDI=" TargetMode="External"/><Relationship Id="rId1" Type="http://schemas.openxmlformats.org/officeDocument/2006/relationships/hyperlink" Target="https://app.samva.io/PnlCliente/ListarClientesColasProyectosDetalle.aspx?eSUQ9NDE0ODQ3JlA9MTEyNDI=" TargetMode="External"/><Relationship Id="rId2" Type="http://schemas.openxmlformats.org/officeDocument/2006/relationships/hyperlink" Target="https://app.samva.io/PnlCliente/ListarClientesColasProyectosDetalle.aspx?ID=411556&amp;P=11242" TargetMode="External"/><Relationship Id="rId3" Type="http://schemas.openxmlformats.org/officeDocument/2006/relationships/hyperlink" Target="https://app.samva.io/PnlCliente/ListarClientesColasProyectosDetalle.aspx?eSUQ9NDE4MDk0JlA9MTEyNDI=" TargetMode="External"/><Relationship Id="rId4" Type="http://schemas.openxmlformats.org/officeDocument/2006/relationships/hyperlink" Target="https://app.samva.io/PnlCliente/ListarClientesColasProyectosDetalle.aspx?ID=414269&amp;P=11242" TargetMode="External"/><Relationship Id="rId9" Type="http://schemas.openxmlformats.org/officeDocument/2006/relationships/hyperlink" Target="https://app.samva.io/PnlCliente/ListarClientesColasProyectosDetalle.aspx?ID=411231&amp;P=11242" TargetMode="External"/><Relationship Id="rId48" Type="http://schemas.openxmlformats.org/officeDocument/2006/relationships/hyperlink" Target="https://app.samva.io/PnlCliente/ListarClientesColasProyectosDetalle.aspx?ID=411220&amp;P=11242" TargetMode="External"/><Relationship Id="rId47" Type="http://schemas.openxmlformats.org/officeDocument/2006/relationships/hyperlink" Target="https://app.samva.io/PnlCliente/ListarClientesColasProyectosDetalle.aspx?ID=411211&amp;P=11242" TargetMode="External"/><Relationship Id="rId49" Type="http://schemas.openxmlformats.org/officeDocument/2006/relationships/drawing" Target="../drawings/drawing4.xml"/><Relationship Id="rId5" Type="http://schemas.openxmlformats.org/officeDocument/2006/relationships/hyperlink" Target="https://app.samva.io/PnlCliente/ListarClientesColasProyectosDetalle.aspx?ID=411158&amp;P=11242" TargetMode="External"/><Relationship Id="rId6" Type="http://schemas.openxmlformats.org/officeDocument/2006/relationships/hyperlink" Target="https://app.samva.io/PnlCliente/ListarClientesColasProyectosDetalle.aspx?ID=411210&amp;P=11242" TargetMode="External"/><Relationship Id="rId7" Type="http://schemas.openxmlformats.org/officeDocument/2006/relationships/hyperlink" Target="https://app.samva.io/PnlCliente/ListarClientesColasProyectosDetalle.aspx?ID=411217&amp;P=11242" TargetMode="External"/><Relationship Id="rId8" Type="http://schemas.openxmlformats.org/officeDocument/2006/relationships/hyperlink" Target="https://app.samva.io/PnlCliente/ListarClientesColasProyectosDetalle.aspx?ID=411225&amp;P=11242" TargetMode="External"/><Relationship Id="rId31" Type="http://schemas.openxmlformats.org/officeDocument/2006/relationships/hyperlink" Target="https://app.samva.io/PnlCliente/ListarClientesColasProyectosDetalle.aspx?ID=413032&amp;P=11242" TargetMode="External"/><Relationship Id="rId30" Type="http://schemas.openxmlformats.org/officeDocument/2006/relationships/hyperlink" Target="https://app.samva.io/PnlCliente/ListarClientesColasProyectosDetalle.aspx?ID=411361&amp;P=11242" TargetMode="External"/><Relationship Id="rId33" Type="http://schemas.openxmlformats.org/officeDocument/2006/relationships/hyperlink" Target="https://app.samva.io/PnlCliente/ListarClientesColasProyectosDetalle.aspx?ID=411213&amp;P=11242" TargetMode="External"/><Relationship Id="rId32" Type="http://schemas.openxmlformats.org/officeDocument/2006/relationships/hyperlink" Target="https://app.samva.io/PnlCliente/ListarClientesColasProyectosDetalle.aspx?eSUQ9NDE0ODUyJlA9MTEyNDI=" TargetMode="External"/><Relationship Id="rId35" Type="http://schemas.openxmlformats.org/officeDocument/2006/relationships/hyperlink" Target="https://app.samva.io/PnlCliente/ListarClientesColasProyectosDetalle.aspx?ID=411223&amp;P=11242" TargetMode="External"/><Relationship Id="rId34" Type="http://schemas.openxmlformats.org/officeDocument/2006/relationships/hyperlink" Target="https://app.samva.io/PnlCliente/ListarClientesColasProyectosDetalle.aspx?ID=411218&amp;P=11242" TargetMode="External"/><Relationship Id="rId37" Type="http://schemas.openxmlformats.org/officeDocument/2006/relationships/hyperlink" Target="https://app.samva.io/PnlCliente/ListarClientesColasProyectosDetalle.aspx?eSUQ9NDIwMTUwJlA9MTEyNDI=" TargetMode="External"/><Relationship Id="rId36" Type="http://schemas.openxmlformats.org/officeDocument/2006/relationships/hyperlink" Target="https://app.samva.io/PnlCliente/ListarClientesColasProyectosDetalle.aspx?eSUQ9NDE5MzQzJlA9MTEyNDI=" TargetMode="External"/><Relationship Id="rId39" Type="http://schemas.openxmlformats.org/officeDocument/2006/relationships/hyperlink" Target="https://app.samva.io/PnlCliente/ListarClientesColasProyectosDetalle.aspx?ID=411191&amp;P=11242" TargetMode="External"/><Relationship Id="rId38" Type="http://schemas.openxmlformats.org/officeDocument/2006/relationships/hyperlink" Target="https://app.samva.io/PnlCliente/ListarClientesColasProyectosDetalle.aspx?ID=411191&amp;P=11242" TargetMode="External"/><Relationship Id="rId20" Type="http://schemas.openxmlformats.org/officeDocument/2006/relationships/hyperlink" Target="https://app.samva.io/PnlCliente/ListarClientesColasProyectosDetalle.aspx?ID=411273&amp;P=11242" TargetMode="External"/><Relationship Id="rId22" Type="http://schemas.openxmlformats.org/officeDocument/2006/relationships/hyperlink" Target="https://app.samva.io/PnlCliente/ListarClientesColasProyectosDetalle.aspx?ID=412534&amp;P=11242" TargetMode="External"/><Relationship Id="rId21" Type="http://schemas.openxmlformats.org/officeDocument/2006/relationships/hyperlink" Target="https://app.samva.io/PnlCliente/ListarClientesColasProyectosDetalle.aspx?ID=411365&amp;P=11242" TargetMode="External"/><Relationship Id="rId24" Type="http://schemas.openxmlformats.org/officeDocument/2006/relationships/hyperlink" Target="https://app.samva.io/PnlCliente/ListarClientesColasProyectosDetalle.aspx?eSUQ9NDE1MDA0JlA9MTEyNDI=" TargetMode="External"/><Relationship Id="rId23" Type="http://schemas.openxmlformats.org/officeDocument/2006/relationships/hyperlink" Target="https://app.samva.io/PnlCliente/ListarClientesColasProyectosDetalle.aspx?ID=414780&amp;P=11242" TargetMode="External"/><Relationship Id="rId26" Type="http://schemas.openxmlformats.org/officeDocument/2006/relationships/hyperlink" Target="https://app.samva.io/PnlCliente/ListarClientesColasProyectosDetalle.aspx?ID=411219&amp;P=11242" TargetMode="External"/><Relationship Id="rId25" Type="http://schemas.openxmlformats.org/officeDocument/2006/relationships/hyperlink" Target="https://app.samva.io/PnlCliente/ListarClientesColasProyectosDetalle.aspx?ID=414744&amp;P=11242" TargetMode="External"/><Relationship Id="rId28" Type="http://schemas.openxmlformats.org/officeDocument/2006/relationships/hyperlink" Target="https://app.samva.io/PnlCliente/ListarClientesColasProyectosDetalle.aspx?ID=411228&amp;P=11242" TargetMode="External"/><Relationship Id="rId27" Type="http://schemas.openxmlformats.org/officeDocument/2006/relationships/hyperlink" Target="https://app.samva.io/PnlCliente/ListarClientesColasProyectosDetalle.aspx?ID=411227&amp;P=11242" TargetMode="External"/><Relationship Id="rId29" Type="http://schemas.openxmlformats.org/officeDocument/2006/relationships/hyperlink" Target="https://app.samva.io/PnlCliente/ListarClientesColasProyectosDetalle.aspx?ID=411229&amp;P=11242" TargetMode="External"/><Relationship Id="rId51" Type="http://schemas.openxmlformats.org/officeDocument/2006/relationships/table" Target="../tables/table3.xml"/><Relationship Id="rId11" Type="http://schemas.openxmlformats.org/officeDocument/2006/relationships/hyperlink" Target="https://app.samva.io/PnlCliente/ListarClientesColasProyectosDetalle.aspx?ID=412550&amp;P=11242" TargetMode="External"/><Relationship Id="rId10" Type="http://schemas.openxmlformats.org/officeDocument/2006/relationships/hyperlink" Target="https://app.samva.io/PnlCliente/ListarClientesColasProyectosDetalle.aspx?ID=411159&amp;P=11242" TargetMode="External"/><Relationship Id="rId13" Type="http://schemas.openxmlformats.org/officeDocument/2006/relationships/hyperlink" Target="https://app.samva.io/PnlCliente/ListarClientesColasProyectosDetalle.aspx?ID=411159&amp;P=11242" TargetMode="External"/><Relationship Id="rId12" Type="http://schemas.openxmlformats.org/officeDocument/2006/relationships/hyperlink" Target="https://app.samva.io/PnlCliente/ListarClientesColasProyectosDetalle.aspx?ID=414779&amp;P=11242" TargetMode="External"/><Relationship Id="rId15" Type="http://schemas.openxmlformats.org/officeDocument/2006/relationships/hyperlink" Target="https://app.samva.io/PnlCliente/ListarClientesColasProyectosDetalle.aspx?ID=411160&amp;P=11242" TargetMode="External"/><Relationship Id="rId14" Type="http://schemas.openxmlformats.org/officeDocument/2006/relationships/hyperlink" Target="https://app.samva.io/PnlCliente/ListarClientesColasProyectosDetalle.aspx?ID=412309&amp;P=11242" TargetMode="External"/><Relationship Id="rId17" Type="http://schemas.openxmlformats.org/officeDocument/2006/relationships/hyperlink" Target="https://app.samva.io/PnlCliente/ListarClientesColasProyectosDetalle.aspx?ID=411263&amp;P=11242" TargetMode="External"/><Relationship Id="rId16" Type="http://schemas.openxmlformats.org/officeDocument/2006/relationships/hyperlink" Target="https://app.samva.io/PnlCliente/ListarClientesColasProyectosDetalle.aspx?eSUQ9NDE4MDk2JlA9MTEyNDI=" TargetMode="External"/><Relationship Id="rId19" Type="http://schemas.openxmlformats.org/officeDocument/2006/relationships/hyperlink" Target="https://app.samva.io/PnlCliente/ListarClientesColasProyectosDetalle.aspx?ID=411226&amp;P=11242" TargetMode="External"/><Relationship Id="rId18" Type="http://schemas.openxmlformats.org/officeDocument/2006/relationships/hyperlink" Target="https://app.samva.io/PnlCliente/ListarClientesColasProyectosDetalle.aspx?ID=411224&amp;P=11242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pp.samva.io/PnlCliente/ListarClientesColasProyectosDetalle.aspx?ID=418105&amp;P=617" TargetMode="External"/><Relationship Id="rId2" Type="http://schemas.openxmlformats.org/officeDocument/2006/relationships/hyperlink" Target="https://app.samva.io/PnlCliente/ListarClientesColasProyectosDetalle.aspx?ID=419194&amp;P=617" TargetMode="External"/><Relationship Id="rId3" Type="http://schemas.openxmlformats.org/officeDocument/2006/relationships/hyperlink" Target="https://app.samva.io/PnlCliente/ListarClientesColasProyectosDetalle.aspx?ID=418336&amp;P=617" TargetMode="External"/><Relationship Id="rId4" Type="http://schemas.openxmlformats.org/officeDocument/2006/relationships/hyperlink" Target="https://app.samva.io/PnlCliente/ListarClientesColasProyectosDetalle.aspx?ID=418106&amp;P=617" TargetMode="External"/><Relationship Id="rId9" Type="http://schemas.openxmlformats.org/officeDocument/2006/relationships/hyperlink" Target="https://app.samva.io/PnlCliente/ListarClientesColasProyectosDetalle.aspx?ID=419192&amp;P=617" TargetMode="External"/><Relationship Id="rId5" Type="http://schemas.openxmlformats.org/officeDocument/2006/relationships/hyperlink" Target="https://app.samva.io/PnlCliente/ListarClientesColasProyectosDetalle.aspx?ID=418474&amp;P=617" TargetMode="External"/><Relationship Id="rId6" Type="http://schemas.openxmlformats.org/officeDocument/2006/relationships/hyperlink" Target="https://app.samva.io/PnlCliente/ListarClientesColasProyectosDetalle.aspx?ID=418220&amp;P=617" TargetMode="External"/><Relationship Id="rId7" Type="http://schemas.openxmlformats.org/officeDocument/2006/relationships/hyperlink" Target="https://app.samva.io/PnlCliente/ListarClientesColasProyectosDetalle.aspx?ID=419116&amp;P=617" TargetMode="External"/><Relationship Id="rId8" Type="http://schemas.openxmlformats.org/officeDocument/2006/relationships/hyperlink" Target="https://app.samva.io/PnlCliente/ListarClientesColasProyectosDetalle.aspx?ID=418465&amp;P=617" TargetMode="External"/><Relationship Id="rId30" Type="http://schemas.openxmlformats.org/officeDocument/2006/relationships/drawing" Target="../drawings/drawing5.xml"/><Relationship Id="rId32" Type="http://schemas.openxmlformats.org/officeDocument/2006/relationships/table" Target="../tables/table4.xml"/><Relationship Id="rId20" Type="http://schemas.openxmlformats.org/officeDocument/2006/relationships/hyperlink" Target="https://app.samva.io/PnlCliente/ListarClientesColasProyectosDetalle.aspx?ID=419143&amp;P=617" TargetMode="External"/><Relationship Id="rId22" Type="http://schemas.openxmlformats.org/officeDocument/2006/relationships/hyperlink" Target="https://app.samva.io/PnlCliente/ListarClientesColasProyectosDetalle.aspx?ID=418108&amp;P=617" TargetMode="External"/><Relationship Id="rId21" Type="http://schemas.openxmlformats.org/officeDocument/2006/relationships/hyperlink" Target="https://app.samva.io/PnlCliente/ListarClientesColasProyectosDetalle.aspx?ID=419166&amp;P=617" TargetMode="External"/><Relationship Id="rId24" Type="http://schemas.openxmlformats.org/officeDocument/2006/relationships/hyperlink" Target="https://app.samva.io/PnlCliente/ListarClientesColasProyectosDetalle.aspx?ID=419167&amp;P=617" TargetMode="External"/><Relationship Id="rId23" Type="http://schemas.openxmlformats.org/officeDocument/2006/relationships/hyperlink" Target="https://app.samva.io/PnlCliente/ListarClientesColasProyectosDetalle.aspx?ID=418107&amp;P=617" TargetMode="External"/><Relationship Id="rId26" Type="http://schemas.openxmlformats.org/officeDocument/2006/relationships/hyperlink" Target="https://app.samva.io/PnlCliente/ListarClientesColasProyectosDetalle.aspx?ID=418111&amp;P=617" TargetMode="External"/><Relationship Id="rId25" Type="http://schemas.openxmlformats.org/officeDocument/2006/relationships/hyperlink" Target="https://app.samva.io/PnlCliente/ListarClientesColasProyectosDetalle.aspx?ID=419171&amp;P=617" TargetMode="External"/><Relationship Id="rId28" Type="http://schemas.openxmlformats.org/officeDocument/2006/relationships/hyperlink" Target="https://app.samva.io/PnlCliente/ListarClientesColasProyectosDetalle.aspx?ID=419189&amp;P=617" TargetMode="External"/><Relationship Id="rId27" Type="http://schemas.openxmlformats.org/officeDocument/2006/relationships/hyperlink" Target="https://app.samva.io/PnlCliente/ListarClientesColasProyectosDetalle.aspx?ID=419188&amp;P=617" TargetMode="External"/><Relationship Id="rId29" Type="http://schemas.openxmlformats.org/officeDocument/2006/relationships/hyperlink" Target="https://app.samva.io/PnlCliente/ListarClientesColasProyectosDetalle.aspx?ID=419190&amp;P=617" TargetMode="External"/><Relationship Id="rId11" Type="http://schemas.openxmlformats.org/officeDocument/2006/relationships/hyperlink" Target="https://app.samva.io/PnlCliente/ListarClientesColasProyectosDetalle.aspx?ID=418104&amp;P=617" TargetMode="External"/><Relationship Id="rId10" Type="http://schemas.openxmlformats.org/officeDocument/2006/relationships/hyperlink" Target="https://app.samva.io/PnlCliente/ListarClientesColasProyectosDetalle.aspx?ID=418109&amp;P=617" TargetMode="External"/><Relationship Id="rId13" Type="http://schemas.openxmlformats.org/officeDocument/2006/relationships/hyperlink" Target="https://app.samva.io/PnlCliente/ListarClientesColasProyectosDetalle.aspx?eSUQ9NDE5MjA1JlA9MTExMzY=" TargetMode="External"/><Relationship Id="rId12" Type="http://schemas.openxmlformats.org/officeDocument/2006/relationships/hyperlink" Target="https://app.samva.io/PnlCliente/ListarClientesProyectosHitosDetalle.aspx?eUD02MTcmSUQ9MzQzNzE=" TargetMode="External"/><Relationship Id="rId15" Type="http://schemas.openxmlformats.org/officeDocument/2006/relationships/hyperlink" Target="https://app.samva.io/PnlCliente/ListarClientesColasProyectosDetalle.aspx?ID=419142&amp;P=617" TargetMode="External"/><Relationship Id="rId14" Type="http://schemas.openxmlformats.org/officeDocument/2006/relationships/hyperlink" Target="https://app.samva.io/PnlCliente/ListarClientesColasProyectosDetalle.aspx?ID=419193&amp;P=617" TargetMode="External"/><Relationship Id="rId17" Type="http://schemas.openxmlformats.org/officeDocument/2006/relationships/hyperlink" Target="https://app.samva.io/PnlCliente/ListarClientesColasProyectosDetalle.aspx?ID=416896&amp;P=617" TargetMode="External"/><Relationship Id="rId16" Type="http://schemas.openxmlformats.org/officeDocument/2006/relationships/hyperlink" Target="https://app.samva.io/PnlCliente/ListarClientesColasProyectosDetalle.aspx?ID=413918&amp;P=617" TargetMode="External"/><Relationship Id="rId19" Type="http://schemas.openxmlformats.org/officeDocument/2006/relationships/hyperlink" Target="https://app.samva.io/PnlCliente/ListarClientesColasProyectosDetalle.aspx?ID=419195&amp;P=617" TargetMode="External"/><Relationship Id="rId18" Type="http://schemas.openxmlformats.org/officeDocument/2006/relationships/hyperlink" Target="https://app.samva.io/PnlCliente/ListarClientesColasProyectosDetalle.aspx?eSUQ9NDE5MjA5JlA9NjE3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lbernal@bit.lat" TargetMode="External"/><Relationship Id="rId2" Type="http://schemas.openxmlformats.org/officeDocument/2006/relationships/hyperlink" Target="mailto:alara@bit.lat" TargetMode="External"/><Relationship Id="rId3" Type="http://schemas.openxmlformats.org/officeDocument/2006/relationships/hyperlink" Target="mailto:etorres@bit.lat" TargetMode="External"/><Relationship Id="rId4" Type="http://schemas.openxmlformats.org/officeDocument/2006/relationships/hyperlink" Target="mailto:jlopez@bit.lat" TargetMode="External"/><Relationship Id="rId9" Type="http://schemas.openxmlformats.org/officeDocument/2006/relationships/hyperlink" Target="mailto:avazquez@bit.lat" TargetMode="External"/><Relationship Id="rId5" Type="http://schemas.openxmlformats.org/officeDocument/2006/relationships/hyperlink" Target="mailto:ameza@bit.lat" TargetMode="External"/><Relationship Id="rId6" Type="http://schemas.openxmlformats.org/officeDocument/2006/relationships/hyperlink" Target="mailto:lolvera@bit.lat" TargetMode="External"/><Relationship Id="rId7" Type="http://schemas.openxmlformats.org/officeDocument/2006/relationships/hyperlink" Target="mailto:asierra@bit.lat" TargetMode="External"/><Relationship Id="rId8" Type="http://schemas.openxmlformats.org/officeDocument/2006/relationships/hyperlink" Target="mailto:mramirez@bit.lat" TargetMode="External"/><Relationship Id="rId21" Type="http://schemas.openxmlformats.org/officeDocument/2006/relationships/table" Target="../tables/table6.xml"/><Relationship Id="rId11" Type="http://schemas.openxmlformats.org/officeDocument/2006/relationships/hyperlink" Target="mailto:gguadarrama@bit.lat" TargetMode="External"/><Relationship Id="rId10" Type="http://schemas.openxmlformats.org/officeDocument/2006/relationships/hyperlink" Target="mailto:econtreras@bit.lat" TargetMode="External"/><Relationship Id="rId13" Type="http://schemas.openxmlformats.org/officeDocument/2006/relationships/hyperlink" Target="mailto:dperez@bit.lat" TargetMode="External"/><Relationship Id="rId12" Type="http://schemas.openxmlformats.org/officeDocument/2006/relationships/hyperlink" Target="mailto:rescobar@bit.lat" TargetMode="External"/><Relationship Id="rId15" Type="http://schemas.openxmlformats.org/officeDocument/2006/relationships/hyperlink" Target="mailto:czamudio@bit.lat" TargetMode="External"/><Relationship Id="rId14" Type="http://schemas.openxmlformats.org/officeDocument/2006/relationships/hyperlink" Target="mailto:hloredo@bit.lat" TargetMode="External"/><Relationship Id="rId17" Type="http://schemas.openxmlformats.org/officeDocument/2006/relationships/hyperlink" Target="mailto:egonzalez@bit.lat" TargetMode="External"/><Relationship Id="rId16" Type="http://schemas.openxmlformats.org/officeDocument/2006/relationships/hyperlink" Target="mailto:dgonzalez@bit.lat" TargetMode="External"/><Relationship Id="rId19" Type="http://schemas.openxmlformats.org/officeDocument/2006/relationships/drawing" Target="../drawings/drawing7.xml"/><Relationship Id="rId18" Type="http://schemas.openxmlformats.org/officeDocument/2006/relationships/hyperlink" Target="mailto:eramirez@bit.lat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mailto:lbernal@bit.lat" TargetMode="External"/><Relationship Id="rId84" Type="http://schemas.openxmlformats.org/officeDocument/2006/relationships/hyperlink" Target="mailto:jenriquez@bit.lat" TargetMode="External"/><Relationship Id="rId83" Type="http://schemas.openxmlformats.org/officeDocument/2006/relationships/hyperlink" Target="https://github.com/bit-mx/lms-proxy" TargetMode="External"/><Relationship Id="rId42" Type="http://schemas.openxmlformats.org/officeDocument/2006/relationships/hyperlink" Target="mailto:jenriquez@bit.lat" TargetMode="External"/><Relationship Id="rId86" Type="http://schemas.openxmlformats.org/officeDocument/2006/relationships/hyperlink" Target="mailto:dgonzalez@bit.lat" TargetMode="External"/><Relationship Id="rId41" Type="http://schemas.openxmlformats.org/officeDocument/2006/relationships/hyperlink" Target="mailto:lbernal@bit.lat" TargetMode="External"/><Relationship Id="rId85" Type="http://schemas.openxmlformats.org/officeDocument/2006/relationships/hyperlink" Target="mailto:avazquez@bit.lat" TargetMode="External"/><Relationship Id="rId44" Type="http://schemas.openxmlformats.org/officeDocument/2006/relationships/hyperlink" Target="mailto:lbernal@bit.lat" TargetMode="External"/><Relationship Id="rId88" Type="http://schemas.openxmlformats.org/officeDocument/2006/relationships/hyperlink" Target="mailto:dgonzalez@bit.lat" TargetMode="External"/><Relationship Id="rId43" Type="http://schemas.openxmlformats.org/officeDocument/2006/relationships/hyperlink" Target="mailto:lbernal@bit.lat" TargetMode="External"/><Relationship Id="rId87" Type="http://schemas.openxmlformats.org/officeDocument/2006/relationships/hyperlink" Target="mailto:dgonzalez@bit.lat" TargetMode="External"/><Relationship Id="rId46" Type="http://schemas.openxmlformats.org/officeDocument/2006/relationships/hyperlink" Target="mailto:jenriquez@bit.lat" TargetMode="External"/><Relationship Id="rId45" Type="http://schemas.openxmlformats.org/officeDocument/2006/relationships/hyperlink" Target="mailto:lbernal@bit.lat" TargetMode="External"/><Relationship Id="rId89" Type="http://schemas.openxmlformats.org/officeDocument/2006/relationships/drawing" Target="../drawings/drawing8.xml"/><Relationship Id="rId80" Type="http://schemas.openxmlformats.org/officeDocument/2006/relationships/hyperlink" Target="mailto:lbernal@bit.lat" TargetMode="External"/><Relationship Id="rId82" Type="http://schemas.openxmlformats.org/officeDocument/2006/relationships/hyperlink" Target="mailto:lbernal@bit.lat" TargetMode="External"/><Relationship Id="rId81" Type="http://schemas.openxmlformats.org/officeDocument/2006/relationships/hyperlink" Target="mailto:lbernal@bit.lat" TargetMode="External"/><Relationship Id="rId1" Type="http://schemas.openxmlformats.org/officeDocument/2006/relationships/hyperlink" Target="mailto:jenriquez@bit.lat" TargetMode="External"/><Relationship Id="rId2" Type="http://schemas.openxmlformats.org/officeDocument/2006/relationships/hyperlink" Target="mailto:lbernal@bit.lat" TargetMode="External"/><Relationship Id="rId3" Type="http://schemas.openxmlformats.org/officeDocument/2006/relationships/hyperlink" Target="mailto:lolvera@bit.lat" TargetMode="External"/><Relationship Id="rId4" Type="http://schemas.openxmlformats.org/officeDocument/2006/relationships/hyperlink" Target="mailto:dgonzalez@bit.lat" TargetMode="External"/><Relationship Id="rId9" Type="http://schemas.openxmlformats.org/officeDocument/2006/relationships/hyperlink" Target="mailto:lbernal@bit.lat" TargetMode="External"/><Relationship Id="rId48" Type="http://schemas.openxmlformats.org/officeDocument/2006/relationships/hyperlink" Target="mailto:lbernal@bit.lat" TargetMode="External"/><Relationship Id="rId47" Type="http://schemas.openxmlformats.org/officeDocument/2006/relationships/hyperlink" Target="mailto:lbernal@bit.lat" TargetMode="External"/><Relationship Id="rId49" Type="http://schemas.openxmlformats.org/officeDocument/2006/relationships/hyperlink" Target="mailto:lbernal@bit.lat" TargetMode="External"/><Relationship Id="rId5" Type="http://schemas.openxmlformats.org/officeDocument/2006/relationships/hyperlink" Target="mailto:jenriquez@bit.lat" TargetMode="External"/><Relationship Id="rId6" Type="http://schemas.openxmlformats.org/officeDocument/2006/relationships/hyperlink" Target="mailto:lbernal@bit.lat" TargetMode="External"/><Relationship Id="rId7" Type="http://schemas.openxmlformats.org/officeDocument/2006/relationships/hyperlink" Target="mailto:gguadarrama@bit.lat" TargetMode="External"/><Relationship Id="rId8" Type="http://schemas.openxmlformats.org/officeDocument/2006/relationships/hyperlink" Target="mailto:dgonzalez@bit.lat" TargetMode="External"/><Relationship Id="rId73" Type="http://schemas.openxmlformats.org/officeDocument/2006/relationships/hyperlink" Target="mailto:henriquez@bit.lat" TargetMode="External"/><Relationship Id="rId72" Type="http://schemas.openxmlformats.org/officeDocument/2006/relationships/hyperlink" Target="mailto:lbernal@bit.lat" TargetMode="External"/><Relationship Id="rId31" Type="http://schemas.openxmlformats.org/officeDocument/2006/relationships/hyperlink" Target="mailto:lbernal@bit.lat" TargetMode="External"/><Relationship Id="rId75" Type="http://schemas.openxmlformats.org/officeDocument/2006/relationships/hyperlink" Target="mailto:jenriquez@bit.lat" TargetMode="External"/><Relationship Id="rId30" Type="http://schemas.openxmlformats.org/officeDocument/2006/relationships/hyperlink" Target="mailto:jenriquez@bit.lat" TargetMode="External"/><Relationship Id="rId74" Type="http://schemas.openxmlformats.org/officeDocument/2006/relationships/hyperlink" Target="mailto:lbernal@bit.lat" TargetMode="External"/><Relationship Id="rId33" Type="http://schemas.openxmlformats.org/officeDocument/2006/relationships/hyperlink" Target="mailto:lbernal@bit.lat" TargetMode="External"/><Relationship Id="rId77" Type="http://schemas.openxmlformats.org/officeDocument/2006/relationships/hyperlink" Target="mailto:lbernal@bit.lat" TargetMode="External"/><Relationship Id="rId32" Type="http://schemas.openxmlformats.org/officeDocument/2006/relationships/hyperlink" Target="mailto:lbernal@bit.lat" TargetMode="External"/><Relationship Id="rId76" Type="http://schemas.openxmlformats.org/officeDocument/2006/relationships/hyperlink" Target="mailto:lbernal@bit.lat" TargetMode="External"/><Relationship Id="rId35" Type="http://schemas.openxmlformats.org/officeDocument/2006/relationships/hyperlink" Target="mailto:lbernal@bit.lat" TargetMode="External"/><Relationship Id="rId79" Type="http://schemas.openxmlformats.org/officeDocument/2006/relationships/hyperlink" Target="mailto:jenriquez@bit.lat" TargetMode="External"/><Relationship Id="rId34" Type="http://schemas.openxmlformats.org/officeDocument/2006/relationships/hyperlink" Target="mailto:jenriquez@bit.lat" TargetMode="External"/><Relationship Id="rId78" Type="http://schemas.openxmlformats.org/officeDocument/2006/relationships/hyperlink" Target="mailto:lbernal@bit.lat" TargetMode="External"/><Relationship Id="rId71" Type="http://schemas.openxmlformats.org/officeDocument/2006/relationships/hyperlink" Target="mailto:jenriquez@bit.lat" TargetMode="External"/><Relationship Id="rId70" Type="http://schemas.openxmlformats.org/officeDocument/2006/relationships/hyperlink" Target="mailto:lbernal@bit.lat" TargetMode="External"/><Relationship Id="rId37" Type="http://schemas.openxmlformats.org/officeDocument/2006/relationships/hyperlink" Target="mailto:lbernal@bit.lat" TargetMode="External"/><Relationship Id="rId36" Type="http://schemas.openxmlformats.org/officeDocument/2006/relationships/hyperlink" Target="mailto:lbernal@bit.lat" TargetMode="External"/><Relationship Id="rId39" Type="http://schemas.openxmlformats.org/officeDocument/2006/relationships/hyperlink" Target="mailto:lbernal@bit.lat" TargetMode="External"/><Relationship Id="rId38" Type="http://schemas.openxmlformats.org/officeDocument/2006/relationships/hyperlink" Target="mailto:jenriquez@bit.lat" TargetMode="External"/><Relationship Id="rId62" Type="http://schemas.openxmlformats.org/officeDocument/2006/relationships/hyperlink" Target="mailto:jenriquez@bit.lat" TargetMode="External"/><Relationship Id="rId61" Type="http://schemas.openxmlformats.org/officeDocument/2006/relationships/hyperlink" Target="mailto:lbernal@bit.lat" TargetMode="External"/><Relationship Id="rId20" Type="http://schemas.openxmlformats.org/officeDocument/2006/relationships/hyperlink" Target="mailto:jenriquez@bit.lat" TargetMode="External"/><Relationship Id="rId64" Type="http://schemas.openxmlformats.org/officeDocument/2006/relationships/hyperlink" Target="mailto:lbernal@bit.lat" TargetMode="External"/><Relationship Id="rId63" Type="http://schemas.openxmlformats.org/officeDocument/2006/relationships/hyperlink" Target="mailto:lbernal@bit.lat" TargetMode="External"/><Relationship Id="rId22" Type="http://schemas.openxmlformats.org/officeDocument/2006/relationships/hyperlink" Target="mailto:lbernal@bit.lat" TargetMode="External"/><Relationship Id="rId66" Type="http://schemas.openxmlformats.org/officeDocument/2006/relationships/hyperlink" Target="mailto:jenriquez@bit.lat" TargetMode="External"/><Relationship Id="rId21" Type="http://schemas.openxmlformats.org/officeDocument/2006/relationships/hyperlink" Target="mailto:lbernal@bit.lat" TargetMode="External"/><Relationship Id="rId65" Type="http://schemas.openxmlformats.org/officeDocument/2006/relationships/hyperlink" Target="mailto:lbernal@bit.lat" TargetMode="External"/><Relationship Id="rId24" Type="http://schemas.openxmlformats.org/officeDocument/2006/relationships/hyperlink" Target="mailto:lbernal@bit.lat" TargetMode="External"/><Relationship Id="rId68" Type="http://schemas.openxmlformats.org/officeDocument/2006/relationships/hyperlink" Target="mailto:lbernal@bit.lat" TargetMode="External"/><Relationship Id="rId23" Type="http://schemas.openxmlformats.org/officeDocument/2006/relationships/hyperlink" Target="mailto:gguadarrama@bit.lat" TargetMode="External"/><Relationship Id="rId67" Type="http://schemas.openxmlformats.org/officeDocument/2006/relationships/hyperlink" Target="mailto:rcuevas@bit.lat" TargetMode="External"/><Relationship Id="rId60" Type="http://schemas.openxmlformats.org/officeDocument/2006/relationships/hyperlink" Target="mailto:henriquez@bit.lat" TargetMode="External"/><Relationship Id="rId26" Type="http://schemas.openxmlformats.org/officeDocument/2006/relationships/hyperlink" Target="mailto:emontano@bit.lat" TargetMode="External"/><Relationship Id="rId25" Type="http://schemas.openxmlformats.org/officeDocument/2006/relationships/hyperlink" Target="mailto:jenriquez@bit.lat" TargetMode="External"/><Relationship Id="rId69" Type="http://schemas.openxmlformats.org/officeDocument/2006/relationships/hyperlink" Target="mailto:dgonzalez@bit.lat" TargetMode="External"/><Relationship Id="rId28" Type="http://schemas.openxmlformats.org/officeDocument/2006/relationships/hyperlink" Target="mailto:asierra@bit.lat" TargetMode="External"/><Relationship Id="rId27" Type="http://schemas.openxmlformats.org/officeDocument/2006/relationships/hyperlink" Target="mailto:jlopez@bit.lat" TargetMode="External"/><Relationship Id="rId29" Type="http://schemas.openxmlformats.org/officeDocument/2006/relationships/hyperlink" Target="mailto:emontano@bit.lat" TargetMode="External"/><Relationship Id="rId51" Type="http://schemas.openxmlformats.org/officeDocument/2006/relationships/hyperlink" Target="mailto:lbernal@bit.lat" TargetMode="External"/><Relationship Id="rId50" Type="http://schemas.openxmlformats.org/officeDocument/2006/relationships/hyperlink" Target="mailto:jenriquez@bit.lat" TargetMode="External"/><Relationship Id="rId53" Type="http://schemas.openxmlformats.org/officeDocument/2006/relationships/hyperlink" Target="mailto:lbernal@bit.lat" TargetMode="External"/><Relationship Id="rId52" Type="http://schemas.openxmlformats.org/officeDocument/2006/relationships/hyperlink" Target="mailto:henriquez@bit.lat" TargetMode="External"/><Relationship Id="rId11" Type="http://schemas.openxmlformats.org/officeDocument/2006/relationships/hyperlink" Target="mailto:lbernal@bit.lat" TargetMode="External"/><Relationship Id="rId55" Type="http://schemas.openxmlformats.org/officeDocument/2006/relationships/hyperlink" Target="mailto:lbernal@bit.lat" TargetMode="External"/><Relationship Id="rId10" Type="http://schemas.openxmlformats.org/officeDocument/2006/relationships/hyperlink" Target="mailto:jenriquez@bit.lat" TargetMode="External"/><Relationship Id="rId54" Type="http://schemas.openxmlformats.org/officeDocument/2006/relationships/hyperlink" Target="mailto:jenriquez@bit.lat" TargetMode="External"/><Relationship Id="rId13" Type="http://schemas.openxmlformats.org/officeDocument/2006/relationships/hyperlink" Target="mailto:dgonzalez@bit.lat" TargetMode="External"/><Relationship Id="rId57" Type="http://schemas.openxmlformats.org/officeDocument/2006/relationships/hyperlink" Target="mailto:lbernal@bit.lat" TargetMode="External"/><Relationship Id="rId12" Type="http://schemas.openxmlformats.org/officeDocument/2006/relationships/hyperlink" Target="mailto:lolvera@bit.lat" TargetMode="External"/><Relationship Id="rId56" Type="http://schemas.openxmlformats.org/officeDocument/2006/relationships/hyperlink" Target="mailto:lbernal@bit.lat" TargetMode="External"/><Relationship Id="rId91" Type="http://schemas.openxmlformats.org/officeDocument/2006/relationships/table" Target="../tables/table7.xml"/><Relationship Id="rId15" Type="http://schemas.openxmlformats.org/officeDocument/2006/relationships/hyperlink" Target="mailto:jenriquez@bit.lat" TargetMode="External"/><Relationship Id="rId59" Type="http://schemas.openxmlformats.org/officeDocument/2006/relationships/hyperlink" Target="mailto:lbernal@bit.lat" TargetMode="External"/><Relationship Id="rId14" Type="http://schemas.openxmlformats.org/officeDocument/2006/relationships/hyperlink" Target="mailto:lbernal@bit.lat" TargetMode="External"/><Relationship Id="rId58" Type="http://schemas.openxmlformats.org/officeDocument/2006/relationships/hyperlink" Target="mailto:jenriquez@bit.lat" TargetMode="External"/><Relationship Id="rId17" Type="http://schemas.openxmlformats.org/officeDocument/2006/relationships/hyperlink" Target="mailto:ameza@bit.lat" TargetMode="External"/><Relationship Id="rId16" Type="http://schemas.openxmlformats.org/officeDocument/2006/relationships/hyperlink" Target="mailto:etorres@bit.lat" TargetMode="External"/><Relationship Id="rId19" Type="http://schemas.openxmlformats.org/officeDocument/2006/relationships/hyperlink" Target="mailto:etorres@bit.lat" TargetMode="External"/><Relationship Id="rId18" Type="http://schemas.openxmlformats.org/officeDocument/2006/relationships/hyperlink" Target="mailto:dgonzalez@bit.lat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mailto:dperez@bit.lat" TargetMode="External"/><Relationship Id="rId2" Type="http://schemas.openxmlformats.org/officeDocument/2006/relationships/hyperlink" Target="mailto:gmartinez@bit.lat" TargetMode="External"/><Relationship Id="rId3" Type="http://schemas.openxmlformats.org/officeDocument/2006/relationships/hyperlink" Target="mailto:fgonzalezr@bit.lat" TargetMode="External"/><Relationship Id="rId4" Type="http://schemas.openxmlformats.org/officeDocument/2006/relationships/hyperlink" Target="mailto:hloredo@bit.lat" TargetMode="External"/><Relationship Id="rId9" Type="http://schemas.openxmlformats.org/officeDocument/2006/relationships/hyperlink" Target="mailto:fgonzalez@bit.lat" TargetMode="External"/><Relationship Id="rId5" Type="http://schemas.openxmlformats.org/officeDocument/2006/relationships/hyperlink" Target="mailto:aaguilar@bit.lat" TargetMode="External"/><Relationship Id="rId6" Type="http://schemas.openxmlformats.org/officeDocument/2006/relationships/hyperlink" Target="mailto:czamudio@bit.lat" TargetMode="External"/><Relationship Id="rId7" Type="http://schemas.openxmlformats.org/officeDocument/2006/relationships/hyperlink" Target="mailto:dgonzalez@bit.lat" TargetMode="External"/><Relationship Id="rId8" Type="http://schemas.openxmlformats.org/officeDocument/2006/relationships/hyperlink" Target="mailto:nmejia@bit.lat" TargetMode="External"/><Relationship Id="rId31" Type="http://schemas.openxmlformats.org/officeDocument/2006/relationships/hyperlink" Target="mailto:rescobar@bit.lat" TargetMode="External"/><Relationship Id="rId30" Type="http://schemas.openxmlformats.org/officeDocument/2006/relationships/hyperlink" Target="mailto:henriquez@bit.lat" TargetMode="External"/><Relationship Id="rId33" Type="http://schemas.openxmlformats.org/officeDocument/2006/relationships/drawing" Target="../drawings/drawing9.xml"/><Relationship Id="rId32" Type="http://schemas.openxmlformats.org/officeDocument/2006/relationships/hyperlink" Target="mailto:egonzalez@bit.lat" TargetMode="External"/><Relationship Id="rId35" Type="http://schemas.openxmlformats.org/officeDocument/2006/relationships/table" Target="../tables/table8.xml"/><Relationship Id="rId20" Type="http://schemas.openxmlformats.org/officeDocument/2006/relationships/hyperlink" Target="mailto:etorres@bit.lat" TargetMode="External"/><Relationship Id="rId22" Type="http://schemas.openxmlformats.org/officeDocument/2006/relationships/hyperlink" Target="mailto:jrojas@bit.lat" TargetMode="External"/><Relationship Id="rId21" Type="http://schemas.openxmlformats.org/officeDocument/2006/relationships/hyperlink" Target="mailto:ameza@bit.lat" TargetMode="External"/><Relationship Id="rId24" Type="http://schemas.openxmlformats.org/officeDocument/2006/relationships/hyperlink" Target="mailto:lolvera@bit.lat" TargetMode="External"/><Relationship Id="rId23" Type="http://schemas.openxmlformats.org/officeDocument/2006/relationships/hyperlink" Target="mailto:amorales@bit.lat" TargetMode="External"/><Relationship Id="rId26" Type="http://schemas.openxmlformats.org/officeDocument/2006/relationships/hyperlink" Target="mailto:mramirez@bit.lat" TargetMode="External"/><Relationship Id="rId25" Type="http://schemas.openxmlformats.org/officeDocument/2006/relationships/hyperlink" Target="mailto:asierra@bit.lat" TargetMode="External"/><Relationship Id="rId28" Type="http://schemas.openxmlformats.org/officeDocument/2006/relationships/hyperlink" Target="mailto:econtreras@bit.lat" TargetMode="External"/><Relationship Id="rId27" Type="http://schemas.openxmlformats.org/officeDocument/2006/relationships/hyperlink" Target="mailto:avazquez@bit.lat" TargetMode="External"/><Relationship Id="rId29" Type="http://schemas.openxmlformats.org/officeDocument/2006/relationships/hyperlink" Target="mailto:gguadarrama@bit.lat" TargetMode="External"/><Relationship Id="rId11" Type="http://schemas.openxmlformats.org/officeDocument/2006/relationships/hyperlink" Target="mailto:jpatino@bit.lat" TargetMode="External"/><Relationship Id="rId10" Type="http://schemas.openxmlformats.org/officeDocument/2006/relationships/hyperlink" Target="mailto:eramirez@bit.lat" TargetMode="External"/><Relationship Id="rId13" Type="http://schemas.openxmlformats.org/officeDocument/2006/relationships/hyperlink" Target="mailto:rbernal@bit.lat" TargetMode="External"/><Relationship Id="rId12" Type="http://schemas.openxmlformats.org/officeDocument/2006/relationships/hyperlink" Target="mailto:lbernal@bit.lat" TargetMode="External"/><Relationship Id="rId15" Type="http://schemas.openxmlformats.org/officeDocument/2006/relationships/hyperlink" Target="mailto:rcuevas@bit.lat" TargetMode="External"/><Relationship Id="rId14" Type="http://schemas.openxmlformats.org/officeDocument/2006/relationships/hyperlink" Target="mailto:emontano@bit.lat" TargetMode="External"/><Relationship Id="rId17" Type="http://schemas.openxmlformats.org/officeDocument/2006/relationships/hyperlink" Target="mailto:aserrano@bit.lat" TargetMode="External"/><Relationship Id="rId16" Type="http://schemas.openxmlformats.org/officeDocument/2006/relationships/hyperlink" Target="mailto:jenriquez@bit.lat" TargetMode="External"/><Relationship Id="rId19" Type="http://schemas.openxmlformats.org/officeDocument/2006/relationships/hyperlink" Target="mailto:alara@bit.lat" TargetMode="External"/><Relationship Id="rId18" Type="http://schemas.openxmlformats.org/officeDocument/2006/relationships/hyperlink" Target="mailto:jlopez@bit.l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>
        <v>1.0</v>
      </c>
      <c r="C2" s="5">
        <v>1.0</v>
      </c>
      <c r="D2" s="6">
        <v>50000.0</v>
      </c>
      <c r="E2" s="6">
        <f t="shared" ref="E2:E13" si="1">D2/160</f>
        <v>312.5</v>
      </c>
      <c r="F2" s="5">
        <f t="shared" ref="F2:F13" si="2">B2*C2</f>
        <v>1</v>
      </c>
      <c r="G2" s="7">
        <f t="shared" ref="G2:G13" si="3">E2*(F2*B2)</f>
        <v>312.5</v>
      </c>
    </row>
    <row r="3">
      <c r="A3" s="3" t="s">
        <v>8</v>
      </c>
      <c r="B3" s="4">
        <v>1.0</v>
      </c>
      <c r="C3" s="5">
        <v>1.0</v>
      </c>
      <c r="D3" s="6">
        <v>50000.0</v>
      </c>
      <c r="E3" s="6">
        <f t="shared" si="1"/>
        <v>312.5</v>
      </c>
      <c r="F3" s="5">
        <f t="shared" si="2"/>
        <v>1</v>
      </c>
      <c r="G3" s="7">
        <f t="shared" si="3"/>
        <v>312.5</v>
      </c>
    </row>
    <row r="4">
      <c r="A4" s="3" t="s">
        <v>9</v>
      </c>
      <c r="B4" s="4">
        <v>1.0</v>
      </c>
      <c r="C4" s="5">
        <v>1.0</v>
      </c>
      <c r="D4" s="6">
        <v>50000.0</v>
      </c>
      <c r="E4" s="6">
        <f t="shared" si="1"/>
        <v>312.5</v>
      </c>
      <c r="F4" s="5">
        <f t="shared" si="2"/>
        <v>1</v>
      </c>
      <c r="G4" s="7">
        <f t="shared" si="3"/>
        <v>312.5</v>
      </c>
    </row>
    <row r="5">
      <c r="A5" s="3" t="s">
        <v>10</v>
      </c>
      <c r="B5" s="4">
        <v>1.0</v>
      </c>
      <c r="C5" s="5">
        <v>1.0</v>
      </c>
      <c r="D5" s="6">
        <v>45000.0</v>
      </c>
      <c r="E5" s="6">
        <f t="shared" si="1"/>
        <v>281.25</v>
      </c>
      <c r="F5" s="5">
        <f t="shared" si="2"/>
        <v>1</v>
      </c>
      <c r="G5" s="7">
        <f t="shared" si="3"/>
        <v>281.25</v>
      </c>
    </row>
    <row r="6">
      <c r="A6" s="3" t="s">
        <v>11</v>
      </c>
      <c r="B6" s="4">
        <v>1.0</v>
      </c>
      <c r="C6" s="5">
        <v>1.0</v>
      </c>
      <c r="D6" s="6">
        <v>25000.0</v>
      </c>
      <c r="E6" s="6">
        <f t="shared" si="1"/>
        <v>156.25</v>
      </c>
      <c r="F6" s="5">
        <f t="shared" si="2"/>
        <v>1</v>
      </c>
      <c r="G6" s="7">
        <f t="shared" si="3"/>
        <v>156.25</v>
      </c>
    </row>
    <row r="7">
      <c r="A7" s="3" t="s">
        <v>12</v>
      </c>
      <c r="B7" s="4">
        <v>1.0</v>
      </c>
      <c r="C7" s="5">
        <v>1.0</v>
      </c>
      <c r="D7" s="6">
        <v>25000.0</v>
      </c>
      <c r="E7" s="6">
        <f t="shared" si="1"/>
        <v>156.25</v>
      </c>
      <c r="F7" s="5">
        <f t="shared" si="2"/>
        <v>1</v>
      </c>
      <c r="G7" s="7">
        <f t="shared" si="3"/>
        <v>156.25</v>
      </c>
    </row>
    <row r="8">
      <c r="A8" s="3" t="s">
        <v>13</v>
      </c>
      <c r="B8" s="4">
        <v>1.0</v>
      </c>
      <c r="C8" s="5">
        <v>1.0</v>
      </c>
      <c r="D8" s="6">
        <v>32000.0</v>
      </c>
      <c r="E8" s="6">
        <f t="shared" si="1"/>
        <v>200</v>
      </c>
      <c r="F8" s="5">
        <f t="shared" si="2"/>
        <v>1</v>
      </c>
      <c r="G8" s="7">
        <f t="shared" si="3"/>
        <v>200</v>
      </c>
    </row>
    <row r="9">
      <c r="A9" s="3" t="s">
        <v>14</v>
      </c>
      <c r="B9" s="4">
        <v>1.0</v>
      </c>
      <c r="C9" s="5">
        <v>1.0</v>
      </c>
      <c r="D9" s="6">
        <v>25000.0</v>
      </c>
      <c r="E9" s="6">
        <f t="shared" si="1"/>
        <v>156.25</v>
      </c>
      <c r="F9" s="5">
        <f t="shared" si="2"/>
        <v>1</v>
      </c>
      <c r="G9" s="7">
        <f t="shared" si="3"/>
        <v>156.25</v>
      </c>
    </row>
    <row r="10">
      <c r="A10" s="3" t="s">
        <v>15</v>
      </c>
      <c r="B10" s="4">
        <v>1.0</v>
      </c>
      <c r="C10" s="5">
        <v>1.0</v>
      </c>
      <c r="D10" s="6">
        <v>18000.0</v>
      </c>
      <c r="E10" s="6">
        <f t="shared" si="1"/>
        <v>112.5</v>
      </c>
      <c r="F10" s="5">
        <f t="shared" si="2"/>
        <v>1</v>
      </c>
      <c r="G10" s="7">
        <f t="shared" si="3"/>
        <v>112.5</v>
      </c>
    </row>
    <row r="11">
      <c r="A11" s="3" t="s">
        <v>16</v>
      </c>
      <c r="B11" s="4">
        <v>1.0</v>
      </c>
      <c r="C11" s="5">
        <v>1.0</v>
      </c>
      <c r="D11" s="6">
        <v>18000.0</v>
      </c>
      <c r="E11" s="6">
        <f t="shared" si="1"/>
        <v>112.5</v>
      </c>
      <c r="F11" s="5">
        <f t="shared" si="2"/>
        <v>1</v>
      </c>
      <c r="G11" s="7">
        <f t="shared" si="3"/>
        <v>112.5</v>
      </c>
    </row>
    <row r="12">
      <c r="A12" s="3" t="s">
        <v>17</v>
      </c>
      <c r="B12" s="4">
        <v>1.0</v>
      </c>
      <c r="C12" s="5">
        <v>1.0</v>
      </c>
      <c r="D12" s="6">
        <v>18000.0</v>
      </c>
      <c r="E12" s="6">
        <f t="shared" si="1"/>
        <v>112.5</v>
      </c>
      <c r="F12" s="5">
        <f t="shared" si="2"/>
        <v>1</v>
      </c>
      <c r="G12" s="7">
        <f t="shared" si="3"/>
        <v>112.5</v>
      </c>
    </row>
    <row r="13">
      <c r="A13" s="3" t="s">
        <v>18</v>
      </c>
      <c r="B13" s="4">
        <v>1.0</v>
      </c>
      <c r="C13" s="5">
        <v>1.0</v>
      </c>
      <c r="D13" s="8">
        <v>18000.0</v>
      </c>
      <c r="E13" s="8">
        <f t="shared" si="1"/>
        <v>112.5</v>
      </c>
      <c r="F13" s="9">
        <f t="shared" si="2"/>
        <v>1</v>
      </c>
      <c r="G13" s="7">
        <f t="shared" si="3"/>
        <v>112.5</v>
      </c>
    </row>
    <row r="14">
      <c r="A14" s="10"/>
      <c r="B14" s="10"/>
      <c r="C14" s="10"/>
      <c r="D14" s="11" t="s">
        <v>19</v>
      </c>
      <c r="E14" s="12"/>
      <c r="F14" s="13">
        <f t="shared" ref="F14:G14" si="4">SUM(F2:F13)</f>
        <v>12</v>
      </c>
      <c r="G14" s="14">
        <f t="shared" si="4"/>
        <v>2337.5</v>
      </c>
    </row>
    <row r="15">
      <c r="A15" s="10"/>
      <c r="B15" s="10"/>
      <c r="C15" s="15"/>
      <c r="D15" s="16" t="s">
        <v>20</v>
      </c>
      <c r="E15" s="12"/>
      <c r="F15" s="17">
        <v>0.4</v>
      </c>
      <c r="G15" s="18">
        <f>G14*F15</f>
        <v>935</v>
      </c>
    </row>
    <row r="16">
      <c r="A16" s="10"/>
      <c r="B16" s="10"/>
      <c r="C16" s="15"/>
      <c r="D16" s="19" t="s">
        <v>21</v>
      </c>
      <c r="E16" s="20"/>
      <c r="F16" s="12"/>
      <c r="G16" s="14">
        <f>SUM($H$3:$H$14)+G15</f>
        <v>935</v>
      </c>
    </row>
    <row r="17">
      <c r="A17" s="10"/>
      <c r="B17" s="10"/>
      <c r="C17" s="15"/>
      <c r="D17" s="16" t="s">
        <v>22</v>
      </c>
      <c r="E17" s="12"/>
      <c r="F17" s="17">
        <v>0.3</v>
      </c>
      <c r="G17" s="18">
        <f>G16*F17</f>
        <v>280.5</v>
      </c>
    </row>
    <row r="18">
      <c r="A18" s="10"/>
      <c r="B18" s="15"/>
      <c r="C18" s="15"/>
      <c r="D18" s="19" t="s">
        <v>23</v>
      </c>
      <c r="E18" s="20"/>
      <c r="F18" s="12"/>
      <c r="G18" s="14">
        <f>G16+G17</f>
        <v>1215.5</v>
      </c>
    </row>
    <row r="19">
      <c r="A19" s="10"/>
      <c r="B19" s="10"/>
      <c r="C19" s="10"/>
      <c r="D19" s="21" t="s">
        <v>24</v>
      </c>
      <c r="E19" s="12"/>
      <c r="F19" s="22">
        <v>0.6</v>
      </c>
      <c r="G19" s="18">
        <f>G18*F19</f>
        <v>729.3</v>
      </c>
    </row>
    <row r="20">
      <c r="A20" s="10"/>
      <c r="B20" s="15"/>
      <c r="C20" s="15"/>
      <c r="D20" s="23" t="s">
        <v>25</v>
      </c>
      <c r="G20" s="24">
        <f>G18+G19</f>
        <v>1944.8</v>
      </c>
    </row>
    <row r="21">
      <c r="A21" s="10"/>
      <c r="B21" s="10"/>
      <c r="C21" s="10"/>
      <c r="D21" s="10"/>
      <c r="E21" s="10"/>
      <c r="F21" s="25" t="s">
        <v>26</v>
      </c>
      <c r="G21" s="7">
        <f>G20*0.16</f>
        <v>311.168</v>
      </c>
    </row>
    <row r="22">
      <c r="A22" s="10"/>
      <c r="B22" s="10"/>
      <c r="C22" s="10"/>
      <c r="D22" s="10"/>
      <c r="E22" s="10"/>
      <c r="F22" s="26" t="s">
        <v>6</v>
      </c>
      <c r="G22" s="27">
        <f>G20+G21</f>
        <v>2255.968</v>
      </c>
    </row>
  </sheetData>
  <mergeCells count="7">
    <mergeCell ref="D14:E14"/>
    <mergeCell ref="D15:E15"/>
    <mergeCell ref="D16:F16"/>
    <mergeCell ref="D17:E17"/>
    <mergeCell ref="D18:F18"/>
    <mergeCell ref="D19:E19"/>
    <mergeCell ref="D20:F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" max="2" width="19.25"/>
    <col customWidth="1" hidden="1" min="3" max="3" width="18.0"/>
    <col customWidth="1" min="4" max="4" width="18.0"/>
    <col customWidth="1" min="5" max="5" width="37.63"/>
    <col customWidth="1" min="6" max="6" width="25.5"/>
    <col customWidth="1" min="7" max="7" width="18.75"/>
    <col hidden="1" min="8" max="8" width="12.63"/>
  </cols>
  <sheetData>
    <row r="1" ht="22.5" customHeight="1">
      <c r="A1" s="28" t="s">
        <v>27</v>
      </c>
      <c r="B1" s="28" t="s">
        <v>28</v>
      </c>
      <c r="C1" s="28" t="s">
        <v>29</v>
      </c>
      <c r="D1" s="28" t="s">
        <v>30</v>
      </c>
      <c r="E1" s="28" t="s">
        <v>31</v>
      </c>
      <c r="F1" s="28" t="s">
        <v>32</v>
      </c>
      <c r="G1" s="28" t="s">
        <v>33</v>
      </c>
      <c r="H1" s="28" t="s">
        <v>34</v>
      </c>
      <c r="I1" s="28" t="s">
        <v>35</v>
      </c>
    </row>
    <row r="2" ht="22.5" customHeight="1">
      <c r="A2" s="29" t="s">
        <v>36</v>
      </c>
      <c r="B2" s="29" t="s">
        <v>37</v>
      </c>
      <c r="C2" s="29" t="str">
        <f t="array" ref="C2">IF(EXACT(B2, ""), "", XLOOKUP(B2, Equipo[email], Equipo[user]))</f>
        <v>dperez</v>
      </c>
      <c r="D2" s="29" t="s">
        <v>38</v>
      </c>
      <c r="E2" s="29" t="s">
        <v>39</v>
      </c>
      <c r="F2" s="29" t="s">
        <v>40</v>
      </c>
      <c r="G2" s="29" t="s">
        <v>41</v>
      </c>
      <c r="H2" s="30" t="str">
        <f t="array" ref="H2">IF(EXACT(G2, ""), "", XLOOKUP(G2, Equipo[email], Equipo[user]))</f>
        <v>fgonzalez</v>
      </c>
      <c r="I2" s="30">
        <v>100.0</v>
      </c>
    </row>
    <row r="3" ht="22.5" customHeight="1">
      <c r="A3" s="29" t="s">
        <v>42</v>
      </c>
      <c r="B3" s="29" t="s">
        <v>43</v>
      </c>
      <c r="C3" s="29" t="str">
        <f t="array" ref="C3">IF(EXACT(B3, ""), "", XLOOKUP(B3, Equipo[email], Equipo[user]))</f>
        <v>gmartinez</v>
      </c>
      <c r="D3" s="29" t="s">
        <v>44</v>
      </c>
      <c r="E3" s="29" t="s">
        <v>45</v>
      </c>
      <c r="F3" s="29" t="s">
        <v>40</v>
      </c>
      <c r="G3" s="29" t="s">
        <v>41</v>
      </c>
      <c r="H3" s="30" t="str">
        <f t="array" ref="H3">IF(EXACT(G3, ""), "", XLOOKUP(G3, Equipo[email], Equipo[user]))</f>
        <v>fgonzalez</v>
      </c>
      <c r="I3" s="30">
        <v>100.0</v>
      </c>
    </row>
    <row r="4" ht="22.5" customHeight="1">
      <c r="A4" s="29" t="s">
        <v>46</v>
      </c>
      <c r="B4" s="29" t="s">
        <v>47</v>
      </c>
      <c r="C4" s="29" t="str">
        <f t="array" ref="C4">IF(EXACT(B4, ""), "", XLOOKUP(B4, Equipo[email], Equipo[user]))</f>
        <v>aaguilar</v>
      </c>
      <c r="D4" s="29" t="s">
        <v>48</v>
      </c>
      <c r="E4" s="29" t="s">
        <v>49</v>
      </c>
      <c r="F4" s="29" t="s">
        <v>40</v>
      </c>
      <c r="G4" s="29" t="s">
        <v>41</v>
      </c>
      <c r="H4" s="31" t="str">
        <f t="array" ref="H4">IF(EXACT(G4, ""), "", XLOOKUP(G4, Equipo[email], Equipo[user]))</f>
        <v>fgonzalez</v>
      </c>
      <c r="I4" s="31">
        <v>90.0</v>
      </c>
    </row>
    <row r="5" ht="22.5" customHeight="1">
      <c r="A5" s="32" t="s">
        <v>50</v>
      </c>
      <c r="B5" s="32" t="s">
        <v>51</v>
      </c>
      <c r="C5" s="32" t="str">
        <f t="array" ref="C5">IF(EXACT(B5, ""), "", XLOOKUP(B5, Equipo[email], Equipo[user]))</f>
        <v>hloredo</v>
      </c>
      <c r="D5" s="32" t="s">
        <v>48</v>
      </c>
      <c r="E5" s="32" t="s">
        <v>52</v>
      </c>
      <c r="F5" s="32" t="s">
        <v>53</v>
      </c>
      <c r="G5" s="32" t="s">
        <v>54</v>
      </c>
      <c r="H5" s="33" t="str">
        <f t="array" ref="H5">IF(EXACT(G5, ""), "", XLOOKUP(G5, Equipo[email], Equipo[user]))</f>
        <v>fgonzalezr</v>
      </c>
      <c r="I5" s="33">
        <v>50.0</v>
      </c>
    </row>
    <row r="6" ht="22.5" customHeight="1">
      <c r="A6" s="34" t="s">
        <v>55</v>
      </c>
      <c r="B6" s="34" t="s">
        <v>56</v>
      </c>
      <c r="C6" s="34" t="str">
        <f t="array" ref="C6">IF(EXACT(B6, ""), "", XLOOKUP(B6, Equipo[email], Equipo[user]))</f>
        <v>dgonzalez</v>
      </c>
      <c r="D6" s="34" t="s">
        <v>48</v>
      </c>
      <c r="E6" s="34" t="s">
        <v>49</v>
      </c>
      <c r="F6" s="34" t="s">
        <v>57</v>
      </c>
      <c r="G6" s="34" t="s">
        <v>58</v>
      </c>
      <c r="H6" s="35" t="str">
        <f t="array" ref="H6">IF(EXACT(G6, ""), "", XLOOKUP(G6, Equipo[email], Equipo[user]))</f>
        <v>rcuevas</v>
      </c>
      <c r="I6" s="35">
        <v>100.0</v>
      </c>
    </row>
    <row r="7" ht="22.5" customHeight="1">
      <c r="A7" s="29" t="s">
        <v>59</v>
      </c>
      <c r="B7" s="29" t="s">
        <v>60</v>
      </c>
      <c r="C7" s="29" t="str">
        <f t="array" ref="C7">IF(EXACT(B7, ""), "", XLOOKUP(B7, Equipo[email], Equipo[user]))</f>
        <v>egonzalez</v>
      </c>
      <c r="D7" s="29" t="s">
        <v>61</v>
      </c>
      <c r="E7" s="29" t="s">
        <v>62</v>
      </c>
      <c r="F7" s="29" t="s">
        <v>40</v>
      </c>
      <c r="G7" s="29" t="s">
        <v>41</v>
      </c>
      <c r="H7" s="30" t="str">
        <f t="array" ref="H7">IF(EXACT(G7, ""), "", XLOOKUP(G7, Equipo[email], Equipo[user]))</f>
        <v>fgonzalez</v>
      </c>
      <c r="I7" s="30">
        <v>70.0</v>
      </c>
    </row>
    <row r="8" ht="22.5" customHeight="1">
      <c r="A8" s="32" t="s">
        <v>63</v>
      </c>
      <c r="B8" s="32" t="s">
        <v>64</v>
      </c>
      <c r="C8" s="32" t="str">
        <f t="array" ref="C8">IF(EXACT(B8, ""), "", XLOOKUP(B8, Equipo[email], Equipo[user]))</f>
        <v>emontano</v>
      </c>
      <c r="D8" s="32" t="s">
        <v>61</v>
      </c>
      <c r="E8" s="32" t="s">
        <v>65</v>
      </c>
      <c r="F8" s="32" t="s">
        <v>53</v>
      </c>
      <c r="G8" s="32" t="s">
        <v>54</v>
      </c>
      <c r="H8" s="33" t="str">
        <f t="array" ref="H8">IF(EXACT(G8, ""), "", XLOOKUP(G8, Equipo[email], Equipo[user]))</f>
        <v>fgonzalezr</v>
      </c>
      <c r="I8" s="33">
        <v>80.0</v>
      </c>
    </row>
    <row r="9" ht="22.5" customHeight="1">
      <c r="A9" s="34" t="s">
        <v>66</v>
      </c>
      <c r="B9" s="34" t="s">
        <v>67</v>
      </c>
      <c r="C9" s="34" t="str">
        <f t="array" ref="C9">IF(EXACT(B9, ""), "", XLOOKUP(B9, Equipo[email], Equipo[user]))</f>
        <v>rbernal</v>
      </c>
      <c r="D9" s="34" t="s">
        <v>61</v>
      </c>
      <c r="E9" s="34" t="s">
        <v>68</v>
      </c>
      <c r="F9" s="34" t="s">
        <v>69</v>
      </c>
      <c r="G9" s="34" t="s">
        <v>70</v>
      </c>
      <c r="H9" s="35" t="str">
        <f t="array" ref="H9">IF(EXACT(G9, ""), "", XLOOKUP(G9, Equipo[email], Equipo[user]))</f>
        <v>jenriquez</v>
      </c>
      <c r="I9" s="35">
        <v>45.0</v>
      </c>
    </row>
    <row r="10" ht="22.5" customHeight="1">
      <c r="A10" s="34" t="s">
        <v>71</v>
      </c>
      <c r="B10" s="34" t="s">
        <v>72</v>
      </c>
      <c r="C10" s="34" t="str">
        <f t="array" ref="C10">IF(EXACT(B10, ""), "", XLOOKUP(B10, Equipo[email], Equipo[user]))</f>
        <v>aserrano</v>
      </c>
      <c r="D10" s="34" t="s">
        <v>61</v>
      </c>
      <c r="E10" s="34" t="s">
        <v>73</v>
      </c>
      <c r="F10" s="34" t="s">
        <v>69</v>
      </c>
      <c r="G10" s="34" t="s">
        <v>70</v>
      </c>
      <c r="H10" s="36" t="str">
        <f t="array" ref="H10">IF(EXACT(G10, ""), "", XLOOKUP(G10, Equipo[email], Equipo[user]))</f>
        <v>jenriquez</v>
      </c>
      <c r="I10" s="36">
        <v>90.0</v>
      </c>
    </row>
    <row r="11" ht="22.5" customHeight="1">
      <c r="A11" s="34" t="s">
        <v>74</v>
      </c>
      <c r="B11" s="34" t="s">
        <v>75</v>
      </c>
      <c r="C11" s="34" t="str">
        <f t="array" ref="C11">IF(EXACT(B11, ""), "", XLOOKUP(B11, Equipo[email], Equipo[user]))</f>
        <v>lolvera</v>
      </c>
      <c r="D11" s="34" t="s">
        <v>61</v>
      </c>
      <c r="E11" s="34" t="s">
        <v>76</v>
      </c>
      <c r="F11" s="34" t="s">
        <v>69</v>
      </c>
      <c r="G11" s="34" t="s">
        <v>70</v>
      </c>
      <c r="H11" s="35" t="str">
        <f t="array" ref="H11">IF(EXACT(G11, ""), "", XLOOKUP(G11, Equipo[email], Equipo[user]))</f>
        <v>jenriquez</v>
      </c>
      <c r="I11" s="35">
        <v>100.0</v>
      </c>
    </row>
    <row r="12" ht="22.5" customHeight="1">
      <c r="A12" s="34" t="s">
        <v>77</v>
      </c>
      <c r="B12" s="34" t="s">
        <v>78</v>
      </c>
      <c r="C12" s="34" t="str">
        <f t="array" ref="C12">IF(EXACT(B12, ""), "", XLOOKUP(B12, Equipo[email], Equipo[user]))</f>
        <v>mramirez</v>
      </c>
      <c r="D12" s="34" t="s">
        <v>61</v>
      </c>
      <c r="E12" s="34" t="s">
        <v>79</v>
      </c>
      <c r="F12" s="34" t="s">
        <v>69</v>
      </c>
      <c r="G12" s="34" t="s">
        <v>70</v>
      </c>
      <c r="H12" s="35" t="str">
        <f t="array" ref="H12">IF(EXACT(G12, ""), "", XLOOKUP(G12, Equipo[email], Equipo[user]))</f>
        <v>jenriquez</v>
      </c>
      <c r="I12" s="35">
        <v>100.0</v>
      </c>
    </row>
    <row r="13" ht="22.5" customHeight="1">
      <c r="A13" s="34" t="s">
        <v>80</v>
      </c>
      <c r="B13" s="34" t="s">
        <v>81</v>
      </c>
      <c r="C13" s="34" t="str">
        <f t="array" ref="C13">IF(EXACT(B13, ""), "", XLOOKUP(B13, Equipo[email], Equipo[user]))</f>
        <v>gguadarrama</v>
      </c>
      <c r="D13" s="34" t="s">
        <v>61</v>
      </c>
      <c r="E13" s="34" t="s">
        <v>82</v>
      </c>
      <c r="F13" s="34" t="s">
        <v>69</v>
      </c>
      <c r="G13" s="34" t="s">
        <v>70</v>
      </c>
      <c r="H13" s="35" t="str">
        <f t="array" ref="H13">IF(EXACT(G13, ""), "", XLOOKUP(G13, Equipo[email], Equipo[user]))</f>
        <v>jenriquez</v>
      </c>
      <c r="I13" s="35">
        <v>100.0</v>
      </c>
    </row>
    <row r="14" ht="22.5" customHeight="1">
      <c r="A14" s="34" t="s">
        <v>83</v>
      </c>
      <c r="B14" s="34" t="s">
        <v>84</v>
      </c>
      <c r="C14" s="34" t="str">
        <f t="array" ref="C14">IF(EXACT(B14, ""), "", XLOOKUP(B14, Equipo[email], Equipo[user]))</f>
        <v>alara</v>
      </c>
      <c r="D14" s="34" t="s">
        <v>61</v>
      </c>
      <c r="E14" s="34" t="s">
        <v>73</v>
      </c>
      <c r="F14" s="34" t="s">
        <v>69</v>
      </c>
      <c r="G14" s="34" t="s">
        <v>70</v>
      </c>
      <c r="H14" s="36" t="str">
        <f t="array" ref="H14">IF(EXACT(G14, ""), "", XLOOKUP(G14, Equipo[email], Equipo[user]))</f>
        <v>jenriquez</v>
      </c>
      <c r="I14" s="36">
        <v>100.0</v>
      </c>
    </row>
    <row r="15" ht="22.5" customHeight="1">
      <c r="A15" s="34" t="s">
        <v>85</v>
      </c>
      <c r="B15" s="34" t="s">
        <v>86</v>
      </c>
      <c r="C15" s="34" t="str">
        <f t="array" ref="C15">IF(EXACT(B15, ""), "", XLOOKUP(B15, Equipo[email], Equipo[user]))</f>
        <v>econtreras</v>
      </c>
      <c r="D15" s="34" t="s">
        <v>61</v>
      </c>
      <c r="E15" s="34" t="s">
        <v>82</v>
      </c>
      <c r="F15" s="34" t="s">
        <v>69</v>
      </c>
      <c r="G15" s="34" t="s">
        <v>70</v>
      </c>
      <c r="H15" s="35" t="str">
        <f t="array" ref="H15">IF(EXACT(G15, ""), "", XLOOKUP(G15, Equipo[email], Equipo[user]))</f>
        <v>jenriquez</v>
      </c>
      <c r="I15" s="35">
        <v>0.0</v>
      </c>
    </row>
    <row r="16" ht="22.5" customHeight="1">
      <c r="A16" s="34" t="s">
        <v>87</v>
      </c>
      <c r="B16" s="34" t="s">
        <v>88</v>
      </c>
      <c r="C16" s="34" t="str">
        <f t="array" ref="C16">IF(EXACT(B16, ""), "", XLOOKUP(B16, Equipo[email], Equipo[user]))</f>
        <v>henriquez</v>
      </c>
      <c r="D16" s="34" t="s">
        <v>61</v>
      </c>
      <c r="E16" s="34" t="s">
        <v>82</v>
      </c>
      <c r="F16" s="34" t="s">
        <v>69</v>
      </c>
      <c r="G16" s="34" t="s">
        <v>70</v>
      </c>
      <c r="H16" s="36" t="str">
        <f t="array" ref="H16">IF(EXACT(G16, ""), "", XLOOKUP(G16, Equipo[email], Equipo[user]))</f>
        <v>jenriquez</v>
      </c>
      <c r="I16" s="36">
        <v>20.0</v>
      </c>
    </row>
    <row r="17" ht="22.5" customHeight="1">
      <c r="A17" s="37" t="s">
        <v>89</v>
      </c>
      <c r="B17" s="34" t="s">
        <v>90</v>
      </c>
      <c r="C17" s="34" t="str">
        <f t="array" ref="C17">IF(EXACT(B17, ""), "", XLOOKUP(B17, Equipo[email], Equipo[user]))</f>
        <v>ameza</v>
      </c>
      <c r="D17" s="34" t="s">
        <v>61</v>
      </c>
      <c r="E17" s="34" t="s">
        <v>91</v>
      </c>
      <c r="F17" s="34" t="s">
        <v>69</v>
      </c>
      <c r="G17" s="34" t="s">
        <v>70</v>
      </c>
      <c r="H17" s="35" t="str">
        <f t="array" ref="H17">IF(EXACT(G17, ""), "", XLOOKUP(G17, Equipo[email], Equipo[user]))</f>
        <v>jenriquez</v>
      </c>
      <c r="I17" s="35">
        <v>100.0</v>
      </c>
    </row>
    <row r="18" ht="22.5" customHeight="1">
      <c r="A18" s="34" t="s">
        <v>92</v>
      </c>
      <c r="B18" s="34" t="s">
        <v>93</v>
      </c>
      <c r="C18" s="34" t="str">
        <f t="array" ref="C18">IF(EXACT(B18, ""), "", XLOOKUP(B18, Equipo[email], Equipo[user]))</f>
        <v>lbernal</v>
      </c>
      <c r="D18" s="34" t="s">
        <v>61</v>
      </c>
      <c r="E18" s="34" t="s">
        <v>68</v>
      </c>
      <c r="F18" s="34" t="s">
        <v>69</v>
      </c>
      <c r="G18" s="34" t="s">
        <v>70</v>
      </c>
      <c r="H18" s="36" t="str">
        <f t="array" ref="H18">IF(EXACT(G18, ""), "", XLOOKUP(G18, Equipo[email], Equipo[user]))</f>
        <v>jenriquez</v>
      </c>
      <c r="I18" s="36">
        <v>80.0</v>
      </c>
    </row>
    <row r="19" ht="22.5" customHeight="1">
      <c r="A19" s="34" t="s">
        <v>94</v>
      </c>
      <c r="B19" s="34" t="s">
        <v>95</v>
      </c>
      <c r="C19" s="34" t="str">
        <f t="array" ref="C19">IF(EXACT(B19, ""), "", XLOOKUP(B19, Equipo[email], Equipo[user]))</f>
        <v>jlopez</v>
      </c>
      <c r="D19" s="34" t="s">
        <v>61</v>
      </c>
      <c r="E19" s="34" t="s">
        <v>73</v>
      </c>
      <c r="F19" s="34" t="s">
        <v>69</v>
      </c>
      <c r="G19" s="34" t="s">
        <v>70</v>
      </c>
      <c r="H19" s="35" t="str">
        <f t="array" ref="H19">IF(EXACT(G19, ""), "", XLOOKUP(G19, Equipo[email], Equipo[user]))</f>
        <v>jenriquez</v>
      </c>
      <c r="I19" s="35">
        <v>100.0</v>
      </c>
    </row>
    <row r="20" ht="22.5" customHeight="1">
      <c r="A20" s="34" t="s">
        <v>96</v>
      </c>
      <c r="B20" s="34" t="s">
        <v>97</v>
      </c>
      <c r="C20" s="34" t="str">
        <f t="array" ref="C20">IF(EXACT(B20, ""), "", XLOOKUP(B20, Equipo[email], Equipo[user]))</f>
        <v>jrojas</v>
      </c>
      <c r="D20" s="34" t="s">
        <v>61</v>
      </c>
      <c r="E20" s="34" t="s">
        <v>73</v>
      </c>
      <c r="F20" s="34" t="s">
        <v>69</v>
      </c>
      <c r="G20" s="34" t="s">
        <v>70</v>
      </c>
      <c r="H20" s="36" t="str">
        <f t="array" ref="H20">IF(EXACT(G20, ""), "", XLOOKUP(G20, Equipo[email], Equipo[user]))</f>
        <v>jenriquez</v>
      </c>
      <c r="I20" s="36">
        <v>90.0</v>
      </c>
    </row>
    <row r="21" ht="22.5" customHeight="1">
      <c r="A21" s="34" t="s">
        <v>98</v>
      </c>
      <c r="B21" s="34" t="s">
        <v>99</v>
      </c>
      <c r="C21" s="34" t="str">
        <f t="array" ref="C21">IF(EXACT(B21, ""), "", XLOOKUP(B21, Equipo[email], Equipo[user]))</f>
        <v>etorres</v>
      </c>
      <c r="D21" s="34" t="s">
        <v>61</v>
      </c>
      <c r="E21" s="34" t="s">
        <v>91</v>
      </c>
      <c r="F21" s="34" t="s">
        <v>69</v>
      </c>
      <c r="G21" s="34" t="s">
        <v>70</v>
      </c>
      <c r="H21" s="36" t="str">
        <f t="array" ref="H21">IF(EXACT(G21, ""), "", XLOOKUP(G21, Equipo[email], Equipo[user]))</f>
        <v>jenriquez</v>
      </c>
      <c r="I21" s="36">
        <v>100.0</v>
      </c>
    </row>
    <row r="22" ht="22.5" customHeight="1">
      <c r="A22" s="34" t="s">
        <v>100</v>
      </c>
      <c r="B22" s="34" t="s">
        <v>101</v>
      </c>
      <c r="C22" s="34" t="str">
        <f t="array" ref="C22">IF(EXACT(B22, ""), "", XLOOKUP(B22, Equipo[email], Equipo[user]))</f>
        <v>avazquez</v>
      </c>
      <c r="D22" s="34" t="s">
        <v>61</v>
      </c>
      <c r="E22" s="34" t="s">
        <v>73</v>
      </c>
      <c r="F22" s="34" t="s">
        <v>69</v>
      </c>
      <c r="G22" s="34" t="s">
        <v>70</v>
      </c>
      <c r="H22" s="36" t="str">
        <f t="array" ref="H22">IF(EXACT(G22, ""), "", XLOOKUP(G22, Equipo[email], Equipo[user]))</f>
        <v>jenriquez</v>
      </c>
      <c r="I22" s="36">
        <v>100.0</v>
      </c>
    </row>
    <row r="23" ht="22.5" customHeight="1">
      <c r="A23" s="34" t="s">
        <v>102</v>
      </c>
      <c r="B23" s="34" t="s">
        <v>103</v>
      </c>
      <c r="C23" s="34" t="str">
        <f t="array" ref="C23">IF(EXACT(B23, ""), "", XLOOKUP(B23, Equipo[email], Equipo[user]))</f>
        <v>asierra</v>
      </c>
      <c r="D23" s="34" t="s">
        <v>61</v>
      </c>
      <c r="E23" s="34" t="s">
        <v>104</v>
      </c>
      <c r="F23" s="34" t="s">
        <v>69</v>
      </c>
      <c r="G23" s="34" t="s">
        <v>70</v>
      </c>
      <c r="H23" s="35" t="str">
        <f t="array" ref="H23">IF(EXACT(G23, ""), "", XLOOKUP(G23, Equipo[email], Equipo[user]))</f>
        <v>jenriquez</v>
      </c>
      <c r="I23" s="35">
        <v>100.0</v>
      </c>
    </row>
    <row r="24" ht="22.5" customHeight="1">
      <c r="A24" s="34" t="s">
        <v>105</v>
      </c>
      <c r="B24" s="34" t="s">
        <v>106</v>
      </c>
      <c r="C24" s="34" t="str">
        <f t="array" ref="C24">IF(EXACT(B24, ""), "", XLOOKUP(B24, Equipo[email], Equipo[user]))</f>
        <v>jpatino</v>
      </c>
      <c r="D24" s="34" t="s">
        <v>61</v>
      </c>
      <c r="E24" s="34" t="s">
        <v>65</v>
      </c>
      <c r="F24" s="34" t="s">
        <v>69</v>
      </c>
      <c r="G24" s="34" t="s">
        <v>70</v>
      </c>
      <c r="H24" s="35" t="str">
        <f t="array" ref="H24">IF(EXACT(G24, ""), "", XLOOKUP(G24, Equipo[email], Equipo[user]))</f>
        <v>jenriquez</v>
      </c>
      <c r="I24" s="35">
        <v>100.0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29.13"/>
    <col customWidth="1" min="3" max="3" width="17.88"/>
    <col customWidth="1" min="4" max="4" width="19.63"/>
    <col customWidth="1" min="5" max="5" width="12.75"/>
    <col customWidth="1" min="6" max="6" width="12.13"/>
    <col customWidth="1" min="7" max="7" width="19.5"/>
    <col customWidth="1" min="8" max="8" width="20.63"/>
    <col customWidth="1" min="9" max="9" width="15.63"/>
    <col customWidth="1" min="10" max="10" width="25.88"/>
    <col customWidth="1" hidden="1" min="11" max="11" width="25.88"/>
  </cols>
  <sheetData>
    <row r="1" ht="22.5" customHeight="1">
      <c r="A1" s="38" t="s">
        <v>29</v>
      </c>
      <c r="B1" s="39" t="s">
        <v>27</v>
      </c>
      <c r="C1" s="38" t="s">
        <v>28</v>
      </c>
      <c r="D1" s="38" t="s">
        <v>107</v>
      </c>
      <c r="E1" s="40" t="s">
        <v>108</v>
      </c>
      <c r="F1" s="38" t="s">
        <v>109</v>
      </c>
      <c r="G1" s="39" t="s">
        <v>110</v>
      </c>
      <c r="H1" s="38" t="s">
        <v>30</v>
      </c>
      <c r="I1" s="38" t="s">
        <v>31</v>
      </c>
      <c r="J1" s="39" t="s">
        <v>32</v>
      </c>
      <c r="K1" s="39" t="s">
        <v>111</v>
      </c>
    </row>
    <row r="2" ht="22.5" customHeight="1">
      <c r="A2" s="41">
        <v>1.0</v>
      </c>
      <c r="B2" s="42" t="s">
        <v>71</v>
      </c>
      <c r="C2" s="41" t="s">
        <v>72</v>
      </c>
      <c r="D2" s="43" t="s">
        <v>112</v>
      </c>
      <c r="E2" s="42" t="s">
        <v>113</v>
      </c>
      <c r="F2" s="41" t="str">
        <f t="shared" ref="F2:F35" si="1">SUBSTITUTE(C2, "@bit.lat", "")</f>
        <v>aserrano</v>
      </c>
      <c r="G2" s="42" t="s">
        <v>73</v>
      </c>
      <c r="H2" s="44" t="s">
        <v>61</v>
      </c>
      <c r="I2" s="41" t="s">
        <v>114</v>
      </c>
      <c r="J2" s="42" t="s">
        <v>69</v>
      </c>
      <c r="K2" s="42" t="str">
        <f>IFERROR(__xludf.DUMMYFUNCTION("IF(EXACT(J2, """"), """", XLOOKUP(TRIM(SPLIT(J2, "","")), Equipo[nombre], Equipo[user], """"))"),"jenriquez")</f>
        <v>jenriquez</v>
      </c>
    </row>
    <row r="3" ht="22.5" customHeight="1">
      <c r="A3" s="41">
        <v>2.0</v>
      </c>
      <c r="B3" s="42" t="s">
        <v>83</v>
      </c>
      <c r="C3" s="41" t="s">
        <v>84</v>
      </c>
      <c r="D3" s="43" t="s">
        <v>115</v>
      </c>
      <c r="E3" s="42" t="s">
        <v>116</v>
      </c>
      <c r="F3" s="41" t="str">
        <f t="shared" si="1"/>
        <v>alara</v>
      </c>
      <c r="G3" s="42" t="s">
        <v>73</v>
      </c>
      <c r="H3" s="44" t="s">
        <v>61</v>
      </c>
      <c r="I3" s="41" t="s">
        <v>114</v>
      </c>
      <c r="J3" s="42" t="s">
        <v>69</v>
      </c>
      <c r="K3" s="42" t="str">
        <f>IFERROR(__xludf.DUMMYFUNCTION("IF(EXACT(J3, """"), """", XLOOKUP(TRIM(SPLIT(J3, "","")), Equipo[nombre], Equipo[user], """"))"),"jenriquez")</f>
        <v>jenriquez</v>
      </c>
    </row>
    <row r="4" ht="22.5" customHeight="1">
      <c r="A4" s="41">
        <v>3.0</v>
      </c>
      <c r="B4" s="42" t="s">
        <v>46</v>
      </c>
      <c r="C4" s="41" t="s">
        <v>47</v>
      </c>
      <c r="D4" s="43" t="s">
        <v>117</v>
      </c>
      <c r="E4" s="42" t="s">
        <v>118</v>
      </c>
      <c r="F4" s="41" t="str">
        <f t="shared" si="1"/>
        <v>aaguilar</v>
      </c>
      <c r="G4" s="42" t="s">
        <v>49</v>
      </c>
      <c r="H4" s="44" t="s">
        <v>48</v>
      </c>
      <c r="I4" s="41" t="s">
        <v>119</v>
      </c>
      <c r="J4" s="42" t="s">
        <v>40</v>
      </c>
      <c r="K4" s="42" t="str">
        <f>IFERROR(__xludf.DUMMYFUNCTION("IF(EXACT(J4, """"), """", XLOOKUP(TRIM(SPLIT(J4, "","")), Equipo[nombre], Equipo[user], """"))"),"fgonzalez")</f>
        <v>fgonzalez</v>
      </c>
    </row>
    <row r="5" ht="22.5" customHeight="1">
      <c r="A5" s="41">
        <v>4.0</v>
      </c>
      <c r="B5" s="42" t="s">
        <v>36</v>
      </c>
      <c r="C5" s="41" t="s">
        <v>37</v>
      </c>
      <c r="D5" s="43" t="s">
        <v>120</v>
      </c>
      <c r="E5" s="42" t="str">
        <f t="shared" ref="E5:E7" si="2">LEFT(B5,FIND(" ",B5) - 1)</f>
        <v>Dulce</v>
      </c>
      <c r="F5" s="41" t="str">
        <f t="shared" si="1"/>
        <v>dperez</v>
      </c>
      <c r="G5" s="42" t="s">
        <v>39</v>
      </c>
      <c r="H5" s="44" t="s">
        <v>38</v>
      </c>
      <c r="I5" s="41" t="s">
        <v>121</v>
      </c>
      <c r="J5" s="42" t="s">
        <v>40</v>
      </c>
      <c r="K5" s="42" t="str">
        <f>IFERROR(__xludf.DUMMYFUNCTION("IF(EXACT(J5, """"), """", XLOOKUP(TRIM(SPLIT(J5, "","")), Equipo[nombre], Equipo[user], """"))"),"fgonzalez")</f>
        <v>fgonzalez</v>
      </c>
    </row>
    <row r="6" ht="22.5" customHeight="1">
      <c r="A6" s="41">
        <v>5.0</v>
      </c>
      <c r="B6" s="42" t="s">
        <v>98</v>
      </c>
      <c r="C6" s="41" t="s">
        <v>99</v>
      </c>
      <c r="D6" s="43" t="s">
        <v>122</v>
      </c>
      <c r="E6" s="42" t="str">
        <f t="shared" si="2"/>
        <v>Edgar</v>
      </c>
      <c r="F6" s="41" t="str">
        <f t="shared" si="1"/>
        <v>etorres</v>
      </c>
      <c r="G6" s="42" t="s">
        <v>91</v>
      </c>
      <c r="H6" s="44" t="s">
        <v>61</v>
      </c>
      <c r="I6" s="41" t="s">
        <v>114</v>
      </c>
      <c r="J6" s="42" t="s">
        <v>69</v>
      </c>
      <c r="K6" s="42" t="str">
        <f>IFERROR(__xludf.DUMMYFUNCTION("IF(EXACT(J6, """"), """", XLOOKUP(TRIM(SPLIT(J6, "","")), Equipo[nombre], Equipo[user], """"))"),"jenriquez")</f>
        <v>jenriquez</v>
      </c>
    </row>
    <row r="7" ht="22.5" customHeight="1">
      <c r="A7" s="41">
        <v>6.0</v>
      </c>
      <c r="B7" s="42" t="s">
        <v>85</v>
      </c>
      <c r="C7" s="41" t="s">
        <v>86</v>
      </c>
      <c r="D7" s="43" t="s">
        <v>123</v>
      </c>
      <c r="E7" s="42" t="str">
        <f t="shared" si="2"/>
        <v>Emilio</v>
      </c>
      <c r="F7" s="41" t="str">
        <f t="shared" si="1"/>
        <v>econtreras</v>
      </c>
      <c r="G7" s="42" t="s">
        <v>82</v>
      </c>
      <c r="H7" s="44" t="s">
        <v>61</v>
      </c>
      <c r="I7" s="41" t="s">
        <v>124</v>
      </c>
      <c r="J7" s="42" t="s">
        <v>69</v>
      </c>
      <c r="K7" s="42" t="str">
        <f>IFERROR(__xludf.DUMMYFUNCTION("IF(EXACT(J7, """"), """", XLOOKUP(TRIM(SPLIT(J7, "","")), Equipo[nombre], Equipo[user], """"))"),"jenriquez")</f>
        <v>jenriquez</v>
      </c>
    </row>
    <row r="8" ht="22.5" customHeight="1">
      <c r="A8" s="41">
        <v>7.0</v>
      </c>
      <c r="B8" s="42" t="s">
        <v>42</v>
      </c>
      <c r="C8" s="41" t="s">
        <v>43</v>
      </c>
      <c r="D8" s="43" t="s">
        <v>125</v>
      </c>
      <c r="E8" s="42" t="s">
        <v>126</v>
      </c>
      <c r="F8" s="41" t="str">
        <f t="shared" si="1"/>
        <v>gmartinez</v>
      </c>
      <c r="G8" s="42" t="s">
        <v>45</v>
      </c>
      <c r="H8" s="44" t="s">
        <v>44</v>
      </c>
      <c r="I8" s="41" t="s">
        <v>127</v>
      </c>
      <c r="J8" s="42" t="s">
        <v>40</v>
      </c>
      <c r="K8" s="42" t="str">
        <f>IFERROR(__xludf.DUMMYFUNCTION("IF(EXACT(J8, """"), """", XLOOKUP(TRIM(SPLIT(J8, "","")), Equipo[nombre], Equipo[user], """"))"),"fgonzalez")</f>
        <v>fgonzalez</v>
      </c>
    </row>
    <row r="9" ht="22.5" customHeight="1">
      <c r="A9" s="41">
        <v>8.0</v>
      </c>
      <c r="B9" s="42" t="s">
        <v>80</v>
      </c>
      <c r="C9" s="41" t="s">
        <v>81</v>
      </c>
      <c r="D9" s="43" t="s">
        <v>128</v>
      </c>
      <c r="E9" s="42" t="str">
        <f>LEFT(B9,FIND(" ",B9) - 1)</f>
        <v>Gregorio</v>
      </c>
      <c r="F9" s="41" t="str">
        <f t="shared" si="1"/>
        <v>gguadarrama</v>
      </c>
      <c r="G9" s="42" t="s">
        <v>82</v>
      </c>
      <c r="H9" s="44" t="s">
        <v>61</v>
      </c>
      <c r="I9" s="41" t="s">
        <v>124</v>
      </c>
      <c r="J9" s="42" t="s">
        <v>69</v>
      </c>
      <c r="K9" s="42" t="str">
        <f>IFERROR(__xludf.DUMMYFUNCTION("IF(EXACT(J9, """"), """", XLOOKUP(TRIM(SPLIT(J9, "","")), Equipo[nombre], Equipo[user], """"))"),"jenriquez")</f>
        <v>jenriquez</v>
      </c>
    </row>
    <row r="10" ht="22.5" customHeight="1">
      <c r="A10" s="41">
        <v>9.0</v>
      </c>
      <c r="B10" s="42" t="s">
        <v>87</v>
      </c>
      <c r="C10" s="41" t="s">
        <v>88</v>
      </c>
      <c r="D10" s="43" t="s">
        <v>129</v>
      </c>
      <c r="E10" s="42" t="s">
        <v>130</v>
      </c>
      <c r="F10" s="41" t="str">
        <f t="shared" si="1"/>
        <v>henriquez</v>
      </c>
      <c r="G10" s="42" t="s">
        <v>82</v>
      </c>
      <c r="H10" s="44" t="s">
        <v>61</v>
      </c>
      <c r="I10" s="41" t="s">
        <v>124</v>
      </c>
      <c r="J10" s="42" t="s">
        <v>69</v>
      </c>
      <c r="K10" s="42" t="str">
        <f>IFERROR(__xludf.DUMMYFUNCTION("IF(EXACT(J10, """"), """", XLOOKUP(TRIM(SPLIT(J10, "","")), Equipo[nombre], Equipo[user], """"))"),"jenriquez")</f>
        <v>jenriquez</v>
      </c>
    </row>
    <row r="11" ht="22.5" customHeight="1">
      <c r="A11" s="41">
        <v>10.0</v>
      </c>
      <c r="B11" s="42" t="s">
        <v>94</v>
      </c>
      <c r="C11" s="41" t="s">
        <v>95</v>
      </c>
      <c r="D11" s="43" t="s">
        <v>131</v>
      </c>
      <c r="E11" s="42" t="str">
        <f>LEFT(B11,FIND(" ",B11) - 1)</f>
        <v>Jasiel</v>
      </c>
      <c r="F11" s="41" t="str">
        <f t="shared" si="1"/>
        <v>jlopez</v>
      </c>
      <c r="G11" s="42" t="s">
        <v>73</v>
      </c>
      <c r="H11" s="44" t="s">
        <v>61</v>
      </c>
      <c r="I11" s="41" t="s">
        <v>114</v>
      </c>
      <c r="J11" s="42" t="s">
        <v>69</v>
      </c>
      <c r="K11" s="42" t="str">
        <f>IFERROR(__xludf.DUMMYFUNCTION("IF(EXACT(J11, """"), """", XLOOKUP(TRIM(SPLIT(J11, "","")), Equipo[nombre], Equipo[user], """"))"),"jenriquez")</f>
        <v>jenriquez</v>
      </c>
    </row>
    <row r="12" ht="22.5" customHeight="1">
      <c r="A12" s="41">
        <v>11.0</v>
      </c>
      <c r="B12" s="42" t="s">
        <v>102</v>
      </c>
      <c r="C12" s="41" t="s">
        <v>103</v>
      </c>
      <c r="D12" s="43" t="s">
        <v>132</v>
      </c>
      <c r="E12" s="42" t="s">
        <v>133</v>
      </c>
      <c r="F12" s="41" t="str">
        <f t="shared" si="1"/>
        <v>asierra</v>
      </c>
      <c r="G12" s="42" t="s">
        <v>104</v>
      </c>
      <c r="H12" s="44" t="s">
        <v>61</v>
      </c>
      <c r="I12" s="41" t="s">
        <v>127</v>
      </c>
      <c r="J12" s="42" t="s">
        <v>69</v>
      </c>
      <c r="K12" s="42" t="str">
        <f>IFERROR(__xludf.DUMMYFUNCTION("IF(EXACT(J12, """"), """", XLOOKUP(TRIM(SPLIT(J12, "","")), Equipo[nombre], Equipo[user], """"))"),"jenriquez")</f>
        <v>jenriquez</v>
      </c>
    </row>
    <row r="13" ht="22.5" customHeight="1">
      <c r="A13" s="41">
        <v>12.0</v>
      </c>
      <c r="B13" s="42" t="s">
        <v>89</v>
      </c>
      <c r="C13" s="41" t="s">
        <v>90</v>
      </c>
      <c r="D13" s="43" t="s">
        <v>134</v>
      </c>
      <c r="E13" s="42" t="s">
        <v>135</v>
      </c>
      <c r="F13" s="41" t="str">
        <f t="shared" si="1"/>
        <v>ameza</v>
      </c>
      <c r="G13" s="42" t="s">
        <v>91</v>
      </c>
      <c r="H13" s="44" t="s">
        <v>61</v>
      </c>
      <c r="I13" s="41" t="s">
        <v>114</v>
      </c>
      <c r="J13" s="42" t="s">
        <v>69</v>
      </c>
      <c r="K13" s="42" t="str">
        <f>IFERROR(__xludf.DUMMYFUNCTION("IF(EXACT(J13, """"), """", XLOOKUP(TRIM(SPLIT(J13, "","")), Equipo[nombre], Equipo[user], """"))"),"jenriquez")</f>
        <v>jenriquez</v>
      </c>
    </row>
    <row r="14" ht="22.5" customHeight="1">
      <c r="A14" s="41">
        <v>13.0</v>
      </c>
      <c r="B14" s="42" t="s">
        <v>105</v>
      </c>
      <c r="C14" s="41" t="s">
        <v>106</v>
      </c>
      <c r="D14" s="43" t="s">
        <v>136</v>
      </c>
      <c r="E14" s="42" t="str">
        <f>LEFT(B14,FIND(" ",B14) - 1)</f>
        <v>Josue</v>
      </c>
      <c r="F14" s="41" t="str">
        <f t="shared" si="1"/>
        <v>jpatino</v>
      </c>
      <c r="G14" s="42" t="s">
        <v>65</v>
      </c>
      <c r="H14" s="44" t="s">
        <v>61</v>
      </c>
      <c r="I14" s="41" t="s">
        <v>137</v>
      </c>
      <c r="J14" s="42" t="s">
        <v>69</v>
      </c>
      <c r="K14" s="42" t="str">
        <f>IFERROR(__xludf.DUMMYFUNCTION("IF(EXACT(J14, """"), """", XLOOKUP(TRIM(SPLIT(J14, "","")), Equipo[nombre], Equipo[user], """"))"),"jenriquez")</f>
        <v>jenriquez</v>
      </c>
    </row>
    <row r="15" ht="22.5" customHeight="1">
      <c r="A15" s="41">
        <v>14.0</v>
      </c>
      <c r="B15" s="42" t="s">
        <v>96</v>
      </c>
      <c r="C15" s="41" t="s">
        <v>97</v>
      </c>
      <c r="D15" s="43" t="s">
        <v>138</v>
      </c>
      <c r="E15" s="42" t="s">
        <v>139</v>
      </c>
      <c r="F15" s="41" t="str">
        <f t="shared" si="1"/>
        <v>jrojas</v>
      </c>
      <c r="G15" s="42" t="s">
        <v>73</v>
      </c>
      <c r="H15" s="44" t="s">
        <v>61</v>
      </c>
      <c r="I15" s="41" t="s">
        <v>114</v>
      </c>
      <c r="J15" s="42" t="s">
        <v>69</v>
      </c>
      <c r="K15" s="42" t="str">
        <f>IFERROR(__xludf.DUMMYFUNCTION("IF(EXACT(J15, """"), """", XLOOKUP(TRIM(SPLIT(J15, "","")), Equipo[nombre], Equipo[user], """"))"),"jenriquez")</f>
        <v>jenriquez</v>
      </c>
    </row>
    <row r="16" ht="22.5" customHeight="1">
      <c r="A16" s="41">
        <v>15.0</v>
      </c>
      <c r="B16" s="42" t="s">
        <v>92</v>
      </c>
      <c r="C16" s="41" t="s">
        <v>93</v>
      </c>
      <c r="D16" s="43" t="s">
        <v>140</v>
      </c>
      <c r="E16" s="42" t="str">
        <f t="shared" ref="E16:E21" si="3">LEFT(B16,FIND(" ",B16) - 1)</f>
        <v>Luis</v>
      </c>
      <c r="F16" s="41" t="str">
        <f t="shared" si="1"/>
        <v>lbernal</v>
      </c>
      <c r="G16" s="42" t="s">
        <v>68</v>
      </c>
      <c r="H16" s="44" t="s">
        <v>61</v>
      </c>
      <c r="I16" s="41" t="s">
        <v>137</v>
      </c>
      <c r="J16" s="42" t="s">
        <v>69</v>
      </c>
      <c r="K16" s="42" t="str">
        <f>IFERROR(__xludf.DUMMYFUNCTION("IF(EXACT(J16, """"), """", XLOOKUP(TRIM(SPLIT(J16, "","")), Equipo[nombre], Equipo[user], """"))"),"jenriquez")</f>
        <v>jenriquez</v>
      </c>
    </row>
    <row r="17" ht="22.5" customHeight="1">
      <c r="A17" s="41">
        <v>16.0</v>
      </c>
      <c r="B17" s="42" t="s">
        <v>77</v>
      </c>
      <c r="C17" s="41" t="s">
        <v>78</v>
      </c>
      <c r="D17" s="43" t="s">
        <v>141</v>
      </c>
      <c r="E17" s="42" t="str">
        <f t="shared" si="3"/>
        <v>Mario</v>
      </c>
      <c r="F17" s="41" t="str">
        <f t="shared" si="1"/>
        <v>mramirez</v>
      </c>
      <c r="G17" s="42" t="s">
        <v>79</v>
      </c>
      <c r="H17" s="44" t="s">
        <v>61</v>
      </c>
      <c r="I17" s="41" t="s">
        <v>127</v>
      </c>
      <c r="J17" s="42" t="s">
        <v>69</v>
      </c>
      <c r="K17" s="42" t="str">
        <f>IFERROR(__xludf.DUMMYFUNCTION("IF(EXACT(J17, """"), """", XLOOKUP(TRIM(SPLIT(J17, "","")), Equipo[nombre], Equipo[user], """"))"),"jenriquez")</f>
        <v>jenriquez</v>
      </c>
    </row>
    <row r="18" ht="22.5" customHeight="1">
      <c r="A18" s="41">
        <v>17.0</v>
      </c>
      <c r="B18" s="42" t="s">
        <v>66</v>
      </c>
      <c r="C18" s="41" t="s">
        <v>67</v>
      </c>
      <c r="D18" s="43" t="s">
        <v>142</v>
      </c>
      <c r="E18" s="42" t="str">
        <f t="shared" si="3"/>
        <v>Raúl</v>
      </c>
      <c r="F18" s="41" t="str">
        <f t="shared" si="1"/>
        <v>rbernal</v>
      </c>
      <c r="G18" s="42" t="s">
        <v>68</v>
      </c>
      <c r="H18" s="44" t="s">
        <v>61</v>
      </c>
      <c r="I18" s="41" t="s">
        <v>137</v>
      </c>
      <c r="J18" s="42" t="s">
        <v>69</v>
      </c>
      <c r="K18" s="42" t="str">
        <f>IFERROR(__xludf.DUMMYFUNCTION("IF(EXACT(J18, """"), """", XLOOKUP(TRIM(SPLIT(J18, "","")), Equipo[nombre], Equipo[user], """"))"),"jenriquez")</f>
        <v>jenriquez</v>
      </c>
    </row>
    <row r="19" ht="22.5" customHeight="1">
      <c r="A19" s="41">
        <v>18.0</v>
      </c>
      <c r="B19" s="42" t="s">
        <v>100</v>
      </c>
      <c r="C19" s="41" t="s">
        <v>101</v>
      </c>
      <c r="D19" s="43" t="s">
        <v>143</v>
      </c>
      <c r="E19" s="42" t="str">
        <f t="shared" si="3"/>
        <v>Alejandro</v>
      </c>
      <c r="F19" s="41" t="str">
        <f t="shared" si="1"/>
        <v>avazquez</v>
      </c>
      <c r="G19" s="42" t="s">
        <v>73</v>
      </c>
      <c r="H19" s="44" t="s">
        <v>61</v>
      </c>
      <c r="I19" s="41" t="s">
        <v>127</v>
      </c>
      <c r="J19" s="42" t="s">
        <v>69</v>
      </c>
      <c r="K19" s="42" t="str">
        <f>IFERROR(__xludf.DUMMYFUNCTION("IF(EXACT(J19, """"), """", XLOOKUP(TRIM(SPLIT(J19, "","")), Equipo[nombre], Equipo[user], """"))"),"jenriquez")</f>
        <v>jenriquez</v>
      </c>
    </row>
    <row r="20" ht="22.5" customHeight="1">
      <c r="A20" s="41">
        <v>19.0</v>
      </c>
      <c r="B20" s="42" t="s">
        <v>144</v>
      </c>
      <c r="C20" s="41" t="s">
        <v>145</v>
      </c>
      <c r="D20" s="43" t="s">
        <v>144</v>
      </c>
      <c r="E20" s="42" t="str">
        <f t="shared" si="3"/>
        <v>Angel</v>
      </c>
      <c r="F20" s="41" t="str">
        <f t="shared" si="1"/>
        <v>amorales</v>
      </c>
      <c r="G20" s="42" t="s">
        <v>73</v>
      </c>
      <c r="H20" s="44" t="s">
        <v>61</v>
      </c>
      <c r="I20" s="41" t="s">
        <v>114</v>
      </c>
      <c r="J20" s="42" t="s">
        <v>53</v>
      </c>
      <c r="K20" s="42" t="str">
        <f>IFERROR(__xludf.DUMMYFUNCTION("IF(EXACT(J20, """"), """", XLOOKUP(TRIM(SPLIT(J20, "","")), Equipo[nombre], Equipo[user], """"))"),"fgonzalezr")</f>
        <v>fgonzalezr</v>
      </c>
    </row>
    <row r="21" ht="22.5" customHeight="1">
      <c r="A21" s="41">
        <v>20.0</v>
      </c>
      <c r="B21" s="42" t="s">
        <v>146</v>
      </c>
      <c r="C21" s="41" t="s">
        <v>147</v>
      </c>
      <c r="D21" s="43" t="s">
        <v>146</v>
      </c>
      <c r="E21" s="42" t="str">
        <f t="shared" si="3"/>
        <v>Carlos</v>
      </c>
      <c r="F21" s="41" t="str">
        <f t="shared" si="1"/>
        <v>czamudio</v>
      </c>
      <c r="G21" s="42" t="s">
        <v>49</v>
      </c>
      <c r="H21" s="44" t="s">
        <v>48</v>
      </c>
      <c r="I21" s="41" t="s">
        <v>119</v>
      </c>
      <c r="J21" s="42" t="s">
        <v>50</v>
      </c>
      <c r="K21" s="42" t="str">
        <f>IFERROR(__xludf.DUMMYFUNCTION("IF(EXACT(J21, """"), """", XLOOKUP(TRIM(SPLIT(J21, "","")), Equipo[nombre], Equipo[user], """"))"),"hloredo")</f>
        <v>hloredo</v>
      </c>
    </row>
    <row r="22" ht="22.5" customHeight="1">
      <c r="A22" s="41">
        <v>21.0</v>
      </c>
      <c r="B22" s="42" t="s">
        <v>55</v>
      </c>
      <c r="C22" s="41" t="s">
        <v>56</v>
      </c>
      <c r="D22" s="43" t="s">
        <v>148</v>
      </c>
      <c r="E22" s="42" t="s">
        <v>149</v>
      </c>
      <c r="F22" s="41" t="str">
        <f t="shared" si="1"/>
        <v>dgonzalez</v>
      </c>
      <c r="G22" s="42" t="s">
        <v>49</v>
      </c>
      <c r="H22" s="44" t="s">
        <v>48</v>
      </c>
      <c r="I22" s="41" t="s">
        <v>119</v>
      </c>
      <c r="J22" s="42" t="s">
        <v>57</v>
      </c>
      <c r="K22" s="42" t="str">
        <f>IFERROR(__xludf.DUMMYFUNCTION("IF(EXACT(J22, """"), """", XLOOKUP(TRIM(SPLIT(J22, "","")), Equipo[nombre], Equipo[user], """"))"),"rcuevas")</f>
        <v>rcuevas</v>
      </c>
    </row>
    <row r="23" ht="22.5" customHeight="1">
      <c r="A23" s="41">
        <v>22.0</v>
      </c>
      <c r="B23" s="42" t="s">
        <v>50</v>
      </c>
      <c r="C23" s="41" t="s">
        <v>51</v>
      </c>
      <c r="D23" s="43" t="s">
        <v>150</v>
      </c>
      <c r="E23" s="42" t="s">
        <v>151</v>
      </c>
      <c r="F23" s="41" t="str">
        <f t="shared" si="1"/>
        <v>hloredo</v>
      </c>
      <c r="G23" s="42" t="s">
        <v>52</v>
      </c>
      <c r="H23" s="44" t="s">
        <v>48</v>
      </c>
      <c r="I23" s="41" t="s">
        <v>152</v>
      </c>
      <c r="J23" s="42" t="s">
        <v>53</v>
      </c>
      <c r="K23" s="42" t="str">
        <f>IFERROR(__xludf.DUMMYFUNCTION("IF(EXACT(J23, """"), """", XLOOKUP(TRIM(SPLIT(J23, "","")), Equipo[nombre], Equipo[user], """"))"),"fgonzalezr")</f>
        <v>fgonzalezr</v>
      </c>
    </row>
    <row r="24" ht="22.5" customHeight="1">
      <c r="A24" s="41">
        <v>23.0</v>
      </c>
      <c r="B24" s="42" t="s">
        <v>153</v>
      </c>
      <c r="C24" s="41" t="s">
        <v>154</v>
      </c>
      <c r="D24" s="43" t="s">
        <v>153</v>
      </c>
      <c r="E24" s="42" t="str">
        <f>LEFT(B24,FIND(" ",B24) - 1)</f>
        <v>Edin</v>
      </c>
      <c r="F24" s="41" t="str">
        <f t="shared" si="1"/>
        <v>eramirez</v>
      </c>
      <c r="G24" s="42" t="s">
        <v>155</v>
      </c>
      <c r="H24" s="44" t="s">
        <v>48</v>
      </c>
      <c r="I24" s="41" t="s">
        <v>156</v>
      </c>
      <c r="J24" s="42" t="s">
        <v>53</v>
      </c>
      <c r="K24" s="42" t="str">
        <f>IFERROR(__xludf.DUMMYFUNCTION("IF(EXACT(J24, """"), """", XLOOKUP(TRIM(SPLIT(J24, "","")), Equipo[nombre], Equipo[user], """"))"),"fgonzalezr")</f>
        <v>fgonzalezr</v>
      </c>
    </row>
    <row r="25" ht="22.5" customHeight="1">
      <c r="A25" s="41">
        <v>24.0</v>
      </c>
      <c r="B25" s="42" t="s">
        <v>63</v>
      </c>
      <c r="C25" s="41" t="s">
        <v>64</v>
      </c>
      <c r="D25" s="43" t="s">
        <v>157</v>
      </c>
      <c r="E25" s="42" t="s">
        <v>158</v>
      </c>
      <c r="F25" s="41" t="str">
        <f t="shared" si="1"/>
        <v>emontano</v>
      </c>
      <c r="G25" s="42" t="s">
        <v>65</v>
      </c>
      <c r="H25" s="44" t="s">
        <v>61</v>
      </c>
      <c r="I25" s="41" t="s">
        <v>137</v>
      </c>
      <c r="J25" s="42" t="s">
        <v>53</v>
      </c>
      <c r="K25" s="42" t="str">
        <f>IFERROR(__xludf.DUMMYFUNCTION("IF(EXACT(J25, """"), """", XLOOKUP(TRIM(SPLIT(J25, "","")), Equipo[nombre], Equipo[user], """"))"),"fgonzalezr")</f>
        <v>fgonzalezr</v>
      </c>
    </row>
    <row r="26" ht="22.5" customHeight="1">
      <c r="A26" s="41">
        <v>25.0</v>
      </c>
      <c r="B26" s="42" t="s">
        <v>59</v>
      </c>
      <c r="C26" s="41" t="s">
        <v>60</v>
      </c>
      <c r="D26" s="43" t="s">
        <v>159</v>
      </c>
      <c r="E26" s="42" t="str">
        <f>LEFT(B26,FIND(" ",B26) - 1)</f>
        <v>Erithan</v>
      </c>
      <c r="F26" s="41" t="str">
        <f t="shared" si="1"/>
        <v>egonzalez</v>
      </c>
      <c r="G26" s="42" t="s">
        <v>62</v>
      </c>
      <c r="H26" s="44" t="s">
        <v>61</v>
      </c>
      <c r="I26" s="41" t="s">
        <v>160</v>
      </c>
      <c r="J26" s="42" t="s">
        <v>40</v>
      </c>
      <c r="K26" s="42" t="str">
        <f>IFERROR(__xludf.DUMMYFUNCTION("IF(EXACT(J26, """"), """", XLOOKUP(TRIM(SPLIT(J26, "","")), Equipo[nombre], Equipo[user], """"))"),"fgonzalez")</f>
        <v>fgonzalez</v>
      </c>
    </row>
    <row r="27" ht="22.5" customHeight="1">
      <c r="A27" s="41">
        <v>26.0</v>
      </c>
      <c r="B27" s="42" t="s">
        <v>74</v>
      </c>
      <c r="C27" s="41" t="s">
        <v>75</v>
      </c>
      <c r="D27" s="43" t="s">
        <v>161</v>
      </c>
      <c r="E27" s="42" t="s">
        <v>162</v>
      </c>
      <c r="F27" s="41" t="str">
        <f t="shared" si="1"/>
        <v>lolvera</v>
      </c>
      <c r="G27" s="42" t="s">
        <v>76</v>
      </c>
      <c r="H27" s="44" t="s">
        <v>61</v>
      </c>
      <c r="I27" s="41" t="s">
        <v>114</v>
      </c>
      <c r="J27" s="42" t="s">
        <v>69</v>
      </c>
      <c r="K27" s="42" t="str">
        <f>IFERROR(__xludf.DUMMYFUNCTION("IF(EXACT(J27, """"), """", XLOOKUP(TRIM(SPLIT(J27, "","")), Equipo[nombre], Equipo[user], """"))"),"jenriquez")</f>
        <v>jenriquez</v>
      </c>
    </row>
    <row r="28" ht="22.5" customHeight="1">
      <c r="A28" s="41">
        <v>27.0</v>
      </c>
      <c r="B28" s="42" t="s">
        <v>163</v>
      </c>
      <c r="C28" s="41" t="s">
        <v>164</v>
      </c>
      <c r="D28" s="43" t="s">
        <v>165</v>
      </c>
      <c r="E28" s="42" t="s">
        <v>166</v>
      </c>
      <c r="F28" s="41" t="str">
        <f t="shared" si="1"/>
        <v>nmejia</v>
      </c>
      <c r="G28" s="42" t="s">
        <v>49</v>
      </c>
      <c r="H28" s="44" t="s">
        <v>48</v>
      </c>
      <c r="I28" s="41" t="s">
        <v>119</v>
      </c>
      <c r="J28" s="42" t="s">
        <v>57</v>
      </c>
      <c r="K28" s="42" t="str">
        <f>IFERROR(__xludf.DUMMYFUNCTION("IF(EXACT(J28, """"), """", XLOOKUP(TRIM(SPLIT(J28, "","")), Equipo[nombre], Equipo[user], """"))"),"rcuevas")</f>
        <v>rcuevas</v>
      </c>
    </row>
    <row r="29" ht="22.5" customHeight="1">
      <c r="A29" s="41">
        <v>28.0</v>
      </c>
      <c r="B29" s="42" t="s">
        <v>167</v>
      </c>
      <c r="C29" s="41" t="s">
        <v>168</v>
      </c>
      <c r="D29" s="43" t="s">
        <v>167</v>
      </c>
      <c r="E29" s="42" t="s">
        <v>169</v>
      </c>
      <c r="F29" s="41" t="str">
        <f t="shared" si="1"/>
        <v>rescobar</v>
      </c>
      <c r="G29" s="42" t="s">
        <v>91</v>
      </c>
      <c r="H29" s="44" t="s">
        <v>61</v>
      </c>
      <c r="I29" s="41" t="s">
        <v>170</v>
      </c>
      <c r="J29" s="42" t="s">
        <v>69</v>
      </c>
      <c r="K29" s="42" t="str">
        <f>IFERROR(__xludf.DUMMYFUNCTION("IF(EXACT(J29, """"), """", XLOOKUP(TRIM(SPLIT(J29, "","")), Equipo[nombre], Equipo[user], """"))"),"jenriquez")</f>
        <v>jenriquez</v>
      </c>
    </row>
    <row r="30" ht="22.5" customHeight="1">
      <c r="A30" s="41">
        <v>29.0</v>
      </c>
      <c r="B30" s="42" t="s">
        <v>57</v>
      </c>
      <c r="C30" s="41" t="s">
        <v>58</v>
      </c>
      <c r="D30" s="43" t="s">
        <v>171</v>
      </c>
      <c r="E30" s="42" t="s">
        <v>172</v>
      </c>
      <c r="F30" s="41" t="str">
        <f t="shared" si="1"/>
        <v>rcuevas</v>
      </c>
      <c r="G30" s="42" t="s">
        <v>65</v>
      </c>
      <c r="H30" s="44" t="s">
        <v>61</v>
      </c>
      <c r="I30" s="41" t="s">
        <v>137</v>
      </c>
      <c r="J30" s="42" t="s">
        <v>53</v>
      </c>
      <c r="K30" s="42" t="str">
        <f>IFERROR(__xludf.DUMMYFUNCTION("IF(EXACT(J30, """"), """", XLOOKUP(TRIM(SPLIT(J30, "","")), Equipo[nombre], Equipo[user], """"))"),"fgonzalezr")</f>
        <v>fgonzalezr</v>
      </c>
    </row>
    <row r="31" ht="22.5" customHeight="1">
      <c r="A31" s="41">
        <v>30.0</v>
      </c>
      <c r="B31" s="42" t="s">
        <v>69</v>
      </c>
      <c r="C31" s="41" t="s">
        <v>70</v>
      </c>
      <c r="D31" s="43" t="s">
        <v>173</v>
      </c>
      <c r="E31" s="42" t="s">
        <v>174</v>
      </c>
      <c r="F31" s="41" t="str">
        <f t="shared" si="1"/>
        <v>jenriquez</v>
      </c>
      <c r="G31" s="42" t="s">
        <v>65</v>
      </c>
      <c r="H31" s="44" t="s">
        <v>61</v>
      </c>
      <c r="I31" s="41" t="s">
        <v>137</v>
      </c>
      <c r="J31" s="42" t="s">
        <v>53</v>
      </c>
      <c r="K31" s="42" t="str">
        <f>IFERROR(__xludf.DUMMYFUNCTION("IF(EXACT(J31, """"), """", XLOOKUP(TRIM(SPLIT(J31, "","")), Equipo[nombre], Equipo[user], """"))"),"fgonzalezr")</f>
        <v>fgonzalezr</v>
      </c>
    </row>
    <row r="32" ht="22.5" customHeight="1">
      <c r="A32" s="41">
        <v>31.0</v>
      </c>
      <c r="B32" s="42" t="s">
        <v>40</v>
      </c>
      <c r="C32" s="41" t="s">
        <v>41</v>
      </c>
      <c r="D32" s="43" t="s">
        <v>175</v>
      </c>
      <c r="E32" s="42" t="str">
        <f t="shared" ref="E32:E34" si="4">LEFT(B32,FIND(" ",B32) - 1)</f>
        <v>Favio</v>
      </c>
      <c r="F32" s="41" t="str">
        <f t="shared" si="1"/>
        <v>fgonzalez</v>
      </c>
      <c r="G32" s="42" t="s">
        <v>176</v>
      </c>
      <c r="H32" s="44" t="s">
        <v>48</v>
      </c>
      <c r="I32" s="41" t="s">
        <v>177</v>
      </c>
      <c r="J32" s="42" t="s">
        <v>178</v>
      </c>
      <c r="K32" s="42" t="str">
        <f>IFERROR(__xludf.DUMMYFUNCTION("IF(EXACT(J32, """"), """", XLOOKUP(TRIM(SPLIT(J32, "","")), Equipo[nombre], Equipo[user], """"))"),"earzate")</f>
        <v>earzate</v>
      </c>
    </row>
    <row r="33" ht="22.5" customHeight="1">
      <c r="A33" s="41">
        <v>32.0</v>
      </c>
      <c r="B33" s="42" t="s">
        <v>53</v>
      </c>
      <c r="C33" s="41" t="s">
        <v>54</v>
      </c>
      <c r="D33" s="43" t="s">
        <v>179</v>
      </c>
      <c r="E33" s="42" t="str">
        <f t="shared" si="4"/>
        <v>Fabian</v>
      </c>
      <c r="F33" s="41" t="str">
        <f t="shared" si="1"/>
        <v>fgonzalezr</v>
      </c>
      <c r="G33" s="42" t="s">
        <v>180</v>
      </c>
      <c r="H33" s="44" t="s">
        <v>48</v>
      </c>
      <c r="I33" s="41" t="s">
        <v>181</v>
      </c>
      <c r="J33" s="42" t="s">
        <v>178</v>
      </c>
      <c r="K33" s="42" t="str">
        <f>IFERROR(__xludf.DUMMYFUNCTION("IF(EXACT(J33, """"), """", XLOOKUP(TRIM(SPLIT(J33, "","")), Equipo[nombre], Equipo[user], """"))"),"earzate")</f>
        <v>earzate</v>
      </c>
    </row>
    <row r="34" ht="22.5" customHeight="1">
      <c r="A34" s="41">
        <v>33.0</v>
      </c>
      <c r="B34" s="42" t="s">
        <v>182</v>
      </c>
      <c r="C34" s="41" t="s">
        <v>183</v>
      </c>
      <c r="D34" s="45" t="s">
        <v>182</v>
      </c>
      <c r="E34" s="42" t="str">
        <f t="shared" si="4"/>
        <v>Maricruz</v>
      </c>
      <c r="F34" s="41" t="str">
        <f t="shared" si="1"/>
        <v>mhernandez</v>
      </c>
      <c r="G34" s="42"/>
      <c r="H34" s="44"/>
      <c r="I34" s="41"/>
      <c r="J34" s="42"/>
      <c r="K34" s="42" t="str">
        <f>IFERROR(__xludf.DUMMYFUNCTION("IF(EXACT(J34, """"), """", XLOOKUP(TRIM(SPLIT(J34, "","")), Equipo[nombre], Equipo[user], """"))"),"")</f>
        <v/>
      </c>
    </row>
    <row r="35" ht="22.5" customHeight="1">
      <c r="A35" s="41">
        <v>34.0</v>
      </c>
      <c r="B35" s="42" t="s">
        <v>184</v>
      </c>
      <c r="C35" s="41" t="s">
        <v>185</v>
      </c>
      <c r="D35" s="45" t="s">
        <v>186</v>
      </c>
      <c r="E35" s="42" t="s">
        <v>187</v>
      </c>
      <c r="F35" s="41" t="str">
        <f t="shared" si="1"/>
        <v>earzate</v>
      </c>
      <c r="G35" s="42"/>
      <c r="H35" s="44"/>
      <c r="I35" s="41" t="s">
        <v>188</v>
      </c>
      <c r="J35" s="42"/>
      <c r="K35" s="42" t="str">
        <f>IFERROR(__xludf.DUMMYFUNCTION("IF(EXACT(J35, """"), """", XLOOKUP(TRIM(SPLIT(J35, "","")), Equipo[nombre], Equipo[user], """"))"),"")</f>
        <v/>
      </c>
    </row>
  </sheetData>
  <dataValidations>
    <dataValidation type="list" allowBlank="1" sqref="H2:H35">
      <formula1>"Tech Ambition,Growth Experiences,Allies Networking,Analytics Solutions"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</hyperlinks>
  <drawing r:id="rId35"/>
  <tableParts count="1"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hidden="1" min="1" max="1" width="6.88"/>
    <col customWidth="1" min="2" max="2" width="7.38"/>
    <col customWidth="1" min="3" max="3" width="14.0"/>
    <col customWidth="1" min="4" max="4" width="24.38"/>
    <col customWidth="1" hidden="1" min="5" max="5" width="8.88"/>
    <col customWidth="1" hidden="1" min="6" max="6" width="15.88"/>
    <col customWidth="1" min="7" max="7" width="15.88"/>
    <col hidden="1" min="8" max="8" width="12.63"/>
    <col customWidth="1" min="9" max="9" width="18.5"/>
    <col customWidth="1" min="10" max="10" width="19.25"/>
    <col customWidth="1" min="11" max="11" width="12.88"/>
    <col customWidth="1" min="12" max="12" width="15.63"/>
    <col customWidth="1" min="17" max="18" width="15.0"/>
    <col customWidth="1" min="19" max="19" width="18.38"/>
    <col hidden="1" min="22" max="22" width="12.63"/>
    <col customWidth="1" hidden="1" min="24" max="24" width="16.63"/>
    <col customWidth="1" min="25" max="25" width="16.63"/>
    <col customWidth="1" hidden="1" min="26" max="26" width="16.63"/>
    <col customWidth="1" min="27" max="27" width="28.88"/>
    <col customWidth="1" hidden="1" min="28" max="28" width="13.63"/>
    <col customWidth="1" min="29" max="29" width="8.75"/>
    <col customWidth="1" hidden="1" min="30" max="30" width="11.13"/>
    <col customWidth="1" min="31" max="31" width="31.25"/>
    <col customWidth="1" hidden="1" min="32" max="32" width="27.38"/>
    <col customWidth="1" min="33" max="33" width="27.38"/>
    <col customWidth="1" min="34" max="34" width="17.63"/>
  </cols>
  <sheetData>
    <row r="1" ht="22.5" customHeight="1">
      <c r="A1" s="46" t="s">
        <v>29</v>
      </c>
      <c r="B1" s="47" t="s">
        <v>189</v>
      </c>
      <c r="C1" s="41" t="s">
        <v>190</v>
      </c>
      <c r="D1" s="47" t="s">
        <v>27</v>
      </c>
      <c r="E1" s="47" t="s">
        <v>191</v>
      </c>
      <c r="F1" s="48" t="s">
        <v>192</v>
      </c>
      <c r="G1" s="48" t="s">
        <v>193</v>
      </c>
      <c r="H1" s="41" t="s">
        <v>194</v>
      </c>
      <c r="I1" s="41" t="s">
        <v>195</v>
      </c>
      <c r="J1" s="48" t="s">
        <v>196</v>
      </c>
      <c r="K1" s="48" t="s">
        <v>197</v>
      </c>
      <c r="L1" s="41" t="s">
        <v>198</v>
      </c>
      <c r="M1" s="41" t="s">
        <v>199</v>
      </c>
      <c r="N1" s="41" t="s">
        <v>200</v>
      </c>
      <c r="O1" s="48" t="s">
        <v>201</v>
      </c>
      <c r="P1" s="41" t="s">
        <v>202</v>
      </c>
      <c r="Q1" s="41" t="s">
        <v>203</v>
      </c>
      <c r="R1" s="48" t="s">
        <v>204</v>
      </c>
      <c r="S1" s="41" t="s">
        <v>205</v>
      </c>
      <c r="T1" s="47" t="s">
        <v>206</v>
      </c>
      <c r="U1" s="48" t="s">
        <v>207</v>
      </c>
      <c r="V1" s="48" t="s">
        <v>208</v>
      </c>
      <c r="W1" s="41" t="s">
        <v>209</v>
      </c>
      <c r="X1" s="48" t="s">
        <v>210</v>
      </c>
      <c r="Y1" s="41" t="s">
        <v>211</v>
      </c>
      <c r="Z1" s="48" t="s">
        <v>212</v>
      </c>
      <c r="AA1" s="48" t="s">
        <v>213</v>
      </c>
      <c r="AB1" s="48" t="s">
        <v>214</v>
      </c>
      <c r="AC1" s="48" t="s">
        <v>215</v>
      </c>
      <c r="AD1" s="48" t="s">
        <v>216</v>
      </c>
      <c r="AE1" s="48" t="s">
        <v>217</v>
      </c>
      <c r="AF1" s="49" t="s">
        <v>218</v>
      </c>
      <c r="AG1" s="49" t="s">
        <v>219</v>
      </c>
      <c r="AH1" s="48" t="s">
        <v>220</v>
      </c>
    </row>
    <row r="2" ht="22.5" customHeight="1">
      <c r="A2" s="41">
        <v>1002.0</v>
      </c>
      <c r="B2" s="50" t="s">
        <v>221</v>
      </c>
      <c r="C2" s="51" t="s">
        <v>222</v>
      </c>
      <c r="D2" s="52" t="s">
        <v>223</v>
      </c>
      <c r="E2" s="42" t="s">
        <v>224</v>
      </c>
      <c r="F2" s="41" t="s">
        <v>225</v>
      </c>
      <c r="G2" s="41" t="s">
        <v>226</v>
      </c>
      <c r="H2" s="41" t="s">
        <v>227</v>
      </c>
      <c r="I2" s="44" t="s">
        <v>228</v>
      </c>
      <c r="J2" s="44" t="s">
        <v>229</v>
      </c>
      <c r="K2" s="53">
        <v>0.5</v>
      </c>
      <c r="L2" s="44" t="s">
        <v>230</v>
      </c>
      <c r="M2" s="41" t="s">
        <v>225</v>
      </c>
      <c r="N2" s="44" t="s">
        <v>231</v>
      </c>
      <c r="O2" s="54" t="s">
        <v>232</v>
      </c>
      <c r="P2" s="41">
        <v>80.0</v>
      </c>
      <c r="Q2" s="55">
        <v>46082.0</v>
      </c>
      <c r="R2" s="55">
        <v>46113.0</v>
      </c>
      <c r="S2" s="55">
        <v>46142.0</v>
      </c>
      <c r="T2" s="42" t="s">
        <v>233</v>
      </c>
      <c r="U2" s="44" t="s">
        <v>151</v>
      </c>
      <c r="V2" s="56" t="str">
        <f t="array" ref="V2">IF(EXACT(U2, ""), "", XLOOKUP(U2, Equipo[nickname], Equipo[user]))</f>
        <v>hloredo</v>
      </c>
      <c r="W2" s="44" t="s">
        <v>149</v>
      </c>
      <c r="X2" s="56" t="str">
        <f t="array" ref="X2">IF(EXACT(W2, ""), "", XLOOKUP(W2, Equipo[nickname], Equipo[user]))</f>
        <v>dgonzalez</v>
      </c>
      <c r="Y2" s="56" t="s">
        <v>234</v>
      </c>
      <c r="Z2" s="56" t="str">
        <f>IFERROR(__xludf.DUMMYFUNCTION("IF(EXACT(Y2, """"), """", TEXTJOIN("", "", TRUE, ARRAYFORMULA(XLOOKUP(TRIM(SPLIT(Y2, "","")), Equipo[nickname], Equipo[user], """"))))"),"lbernal")</f>
        <v>lbernal</v>
      </c>
      <c r="AA2" s="56" t="s">
        <v>235</v>
      </c>
      <c r="AB2" s="41" t="str">
        <f>IFERROR(__xludf.DUMMYFUNCTION("IF(EXACT(AA2, """"), """", TEXTJOIN("", "", TRUE, ARRAYFORMULA(XLOOKUP(TRIM(SPLIT(AA2, "","")), Equipo[nickname], Equipo[user]))))"),"gguadarrama")</f>
        <v>gguadarrama</v>
      </c>
      <c r="AC2" s="41" t="s">
        <v>236</v>
      </c>
      <c r="AD2" s="41" t="str">
        <f>IFERROR(__xludf.DUMMYFUNCTION("IF(EXACT(AC2, """"), """", TEXTJOIN("", "", TRUE, ARRAYFORMULA(XLOOKUP(TRIM(SPLIT(AC2, "","")), Equipo[nickname], Equipo[user], """"))))"),"egonzalez")</f>
        <v>egonzalez</v>
      </c>
      <c r="AE2" s="56" t="s">
        <v>235</v>
      </c>
      <c r="AF2" s="57" t="str">
        <f>IFERROR(__xludf.DUMMYFUNCTION("IF(EXACT(AE2, """"), """", TEXTJOIN("", "", TRUE, ARRAYFORMULA(XLOOKUP(TRIM(SPLIT(AE2, "","")), Equipo[nickname], Equipo[user], """"))))"),"gguadarrama")</f>
        <v>gguadarrama</v>
      </c>
      <c r="AG2" s="57" t="s">
        <v>237</v>
      </c>
      <c r="AH2" s="58">
        <v>46162.0</v>
      </c>
    </row>
    <row r="3" ht="22.5" customHeight="1">
      <c r="A3" s="41">
        <v>1003.0</v>
      </c>
      <c r="B3" s="50" t="s">
        <v>238</v>
      </c>
      <c r="C3" s="41" t="s">
        <v>239</v>
      </c>
      <c r="D3" s="42" t="s">
        <v>240</v>
      </c>
      <c r="E3" s="42" t="s">
        <v>224</v>
      </c>
      <c r="F3" s="41" t="s">
        <v>225</v>
      </c>
      <c r="G3" s="41" t="s">
        <v>226</v>
      </c>
      <c r="H3" s="41" t="s">
        <v>227</v>
      </c>
      <c r="I3" s="44" t="s">
        <v>228</v>
      </c>
      <c r="J3" s="44" t="s">
        <v>241</v>
      </c>
      <c r="K3" s="53">
        <v>0.7</v>
      </c>
      <c r="L3" s="44" t="s">
        <v>242</v>
      </c>
      <c r="M3" s="41" t="s">
        <v>225</v>
      </c>
      <c r="N3" s="44" t="s">
        <v>243</v>
      </c>
      <c r="O3" s="54"/>
      <c r="P3" s="41">
        <v>1.0</v>
      </c>
      <c r="Q3" s="55">
        <v>46029.0</v>
      </c>
      <c r="R3" s="55">
        <v>46029.0</v>
      </c>
      <c r="S3" s="55">
        <v>46203.0</v>
      </c>
      <c r="T3" s="42" t="s">
        <v>233</v>
      </c>
      <c r="U3" s="44" t="s">
        <v>151</v>
      </c>
      <c r="V3" s="56" t="str">
        <f t="array" ref="V3">IF(EXACT(U3, ""), "", XLOOKUP(U3, Equipo[nickname], Equipo[user]))</f>
        <v>hloredo</v>
      </c>
      <c r="W3" s="44" t="s">
        <v>149</v>
      </c>
      <c r="X3" s="56" t="str">
        <f t="array" ref="X3">IF(EXACT(W3, ""), "", XLOOKUP(W3, Equipo[nickname], Equipo[user]))</f>
        <v>dgonzalez</v>
      </c>
      <c r="Y3" s="41" t="s">
        <v>234</v>
      </c>
      <c r="Z3" s="41" t="str">
        <f>IFERROR(__xludf.DUMMYFUNCTION("IF(EXACT(Y3, """"), """", TEXTJOIN("", "", TRUE, ARRAYFORMULA(XLOOKUP(TRIM(SPLIT(Y3, "","")), Equipo[nickname], Equipo[user], """"))))"),"lbernal")</f>
        <v>lbernal</v>
      </c>
      <c r="AA3" s="56" t="s">
        <v>133</v>
      </c>
      <c r="AB3" s="41" t="str">
        <f>IFERROR(__xludf.DUMMYFUNCTION("IF(EXACT(AA3, """"), """", TEXTJOIN("", "", TRUE, ARRAYFORMULA(XLOOKUP(TRIM(SPLIT(AA3, "","")), Equipo[nickname], Equipo[user]))))"),"asierra")</f>
        <v>asierra</v>
      </c>
      <c r="AC3" s="41" t="s">
        <v>236</v>
      </c>
      <c r="AD3" s="41" t="str">
        <f>IFERROR(__xludf.DUMMYFUNCTION("IF(EXACT(AC3, """"), """", TEXTJOIN("", "", TRUE, ARRAYFORMULA(XLOOKUP(TRIM(SPLIT(AC3, "","")), Equipo[nickname], Equipo[user], """"))))"),"egonzalez")</f>
        <v>egonzalez</v>
      </c>
      <c r="AE3" s="56" t="s">
        <v>244</v>
      </c>
      <c r="AF3" s="57" t="str">
        <f>IFERROR(__xludf.DUMMYFUNCTION("IF(EXACT(AE3, """"), """", TEXTJOIN("", "", TRUE, ARRAYFORMULA(XLOOKUP(TRIM(SPLIT(AE3, "","")), Equipo[nickname], Equipo[user], """"))))"),"lbernal, jlopez")</f>
        <v>lbernal, jlopez</v>
      </c>
      <c r="AG3" s="57" t="s">
        <v>245</v>
      </c>
      <c r="AH3" s="58">
        <v>46164.0</v>
      </c>
    </row>
    <row r="4" ht="22.5" customHeight="1">
      <c r="A4" s="41">
        <v>1004.0</v>
      </c>
      <c r="B4" s="50" t="s">
        <v>246</v>
      </c>
      <c r="C4" s="41" t="s">
        <v>247</v>
      </c>
      <c r="D4" s="42" t="s">
        <v>248</v>
      </c>
      <c r="E4" s="42" t="s">
        <v>224</v>
      </c>
      <c r="F4" s="41" t="s">
        <v>225</v>
      </c>
      <c r="G4" s="41" t="s">
        <v>226</v>
      </c>
      <c r="H4" s="41" t="s">
        <v>227</v>
      </c>
      <c r="I4" s="44" t="s">
        <v>228</v>
      </c>
      <c r="J4" s="44" t="s">
        <v>229</v>
      </c>
      <c r="K4" s="53">
        <v>0.05</v>
      </c>
      <c r="L4" s="44" t="s">
        <v>249</v>
      </c>
      <c r="M4" s="41" t="s">
        <v>225</v>
      </c>
      <c r="N4" s="44" t="s">
        <v>231</v>
      </c>
      <c r="O4" s="54"/>
      <c r="P4" s="41">
        <v>40.0</v>
      </c>
      <c r="Q4" s="55">
        <v>46126.0</v>
      </c>
      <c r="R4" s="55">
        <v>46134.0</v>
      </c>
      <c r="S4" s="55">
        <v>46171.0</v>
      </c>
      <c r="T4" s="42" t="s">
        <v>233</v>
      </c>
      <c r="U4" s="44" t="s">
        <v>151</v>
      </c>
      <c r="V4" s="56" t="str">
        <f t="array" ref="V4">IF(EXACT(U4, ""), "", XLOOKUP(U4, Equipo[nickname], Equipo[user]))</f>
        <v>hloredo</v>
      </c>
      <c r="W4" s="44" t="s">
        <v>149</v>
      </c>
      <c r="X4" s="56" t="str">
        <f t="array" ref="X4">IF(EXACT(W4, ""), "", XLOOKUP(W4, Equipo[nickname], Equipo[user]))</f>
        <v>dgonzalez</v>
      </c>
      <c r="Y4" s="41" t="s">
        <v>250</v>
      </c>
      <c r="Z4" s="41" t="str">
        <f>IFERROR(__xludf.DUMMYFUNCTION("IF(EXACT(Y4, """"), """", TEXTJOIN("", "", TRUE, ARRAYFORMULA(XLOOKUP(TRIM(SPLIT(Y4, "","")), Equipo[nickname], Equipo[user], """"))))"),"lbernal, jenriquez")</f>
        <v>lbernal, jenriquez</v>
      </c>
      <c r="AA4" s="56" t="s">
        <v>235</v>
      </c>
      <c r="AB4" s="41" t="str">
        <f>IFERROR(__xludf.DUMMYFUNCTION("IF(EXACT(AA4, """"), """", TEXTJOIN("", "", TRUE, ARRAYFORMULA(XLOOKUP(TRIM(SPLIT(AA4, "","")), Equipo[nickname], Equipo[user]))))"),"gguadarrama")</f>
        <v>gguadarrama</v>
      </c>
      <c r="AC4" s="41" t="s">
        <v>236</v>
      </c>
      <c r="AD4" s="41" t="str">
        <f>IFERROR(__xludf.DUMMYFUNCTION("IF(EXACT(AC4, """"), """", TEXTJOIN("", "", TRUE, ARRAYFORMULA(XLOOKUP(TRIM(SPLIT(AC4, "","")), Equipo[nickname], Equipo[user], """"))))"),"egonzalez")</f>
        <v>egonzalez</v>
      </c>
      <c r="AE4" s="56" t="s">
        <v>234</v>
      </c>
      <c r="AF4" s="57" t="str">
        <f>IFERROR(__xludf.DUMMYFUNCTION("IF(EXACT(AE4, """"), """", TEXTJOIN("", "", TRUE, ARRAYFORMULA(XLOOKUP(TRIM(SPLIT(AE4, "","")), Equipo[nickname], Equipo[user], """"))))"),"lbernal")</f>
        <v>lbernal</v>
      </c>
      <c r="AG4" s="57" t="s">
        <v>251</v>
      </c>
      <c r="AH4" s="58">
        <v>46133.0</v>
      </c>
    </row>
    <row r="5" ht="22.5" customHeight="1">
      <c r="A5" s="41">
        <v>1001.0</v>
      </c>
      <c r="B5" s="50" t="s">
        <v>252</v>
      </c>
      <c r="C5" s="41" t="s">
        <v>253</v>
      </c>
      <c r="D5" s="42" t="s">
        <v>254</v>
      </c>
      <c r="E5" s="42" t="s">
        <v>255</v>
      </c>
      <c r="F5" s="41" t="s">
        <v>225</v>
      </c>
      <c r="G5" s="41" t="s">
        <v>226</v>
      </c>
      <c r="H5" s="41" t="s">
        <v>256</v>
      </c>
      <c r="I5" s="44" t="s">
        <v>257</v>
      </c>
      <c r="J5" s="44" t="s">
        <v>241</v>
      </c>
      <c r="K5" s="53">
        <v>0.2</v>
      </c>
      <c r="L5" s="44" t="s">
        <v>249</v>
      </c>
      <c r="M5" s="41" t="s">
        <v>225</v>
      </c>
      <c r="N5" s="44" t="s">
        <v>231</v>
      </c>
      <c r="O5" s="54"/>
      <c r="P5" s="41">
        <v>40.0</v>
      </c>
      <c r="Q5" s="55">
        <v>46086.0</v>
      </c>
      <c r="R5" s="55">
        <v>46086.0</v>
      </c>
      <c r="S5" s="55">
        <v>46173.0</v>
      </c>
      <c r="T5" s="42" t="s">
        <v>233</v>
      </c>
      <c r="U5" s="44" t="s">
        <v>151</v>
      </c>
      <c r="V5" s="56" t="str">
        <f t="array" ref="V5">IF(EXACT(U5, ""), "", XLOOKUP(U5, Equipo[nickname], Equipo[user]))</f>
        <v>hloredo</v>
      </c>
      <c r="W5" s="44" t="s">
        <v>149</v>
      </c>
      <c r="X5" s="56" t="str">
        <f t="array" ref="X5">IF(EXACT(W5, ""), "", XLOOKUP(W5, Equipo[nickname], Equipo[user]))</f>
        <v>dgonzalez</v>
      </c>
      <c r="Y5" s="41" t="s">
        <v>234</v>
      </c>
      <c r="Z5" s="41" t="str">
        <f>IFERROR(__xludf.DUMMYFUNCTION("IF(EXACT(Y5, """"), """", TEXTJOIN("", "", TRUE, ARRAYFORMULA(XLOOKUP(TRIM(SPLIT(Y5, "","")), Equipo[nickname], Equipo[user], """"))))"),"lbernal")</f>
        <v>lbernal</v>
      </c>
      <c r="AA5" s="59" t="s">
        <v>258</v>
      </c>
      <c r="AB5" s="41" t="str">
        <f>IFERROR(__xludf.DUMMYFUNCTION("IF(EXACT(AA5, """"), """", TEXTJOIN("", "", TRUE, ARRAYFORMULA(XLOOKUP(TRIM(SPLIT(AA5, "","")), Equipo[nickname], Equipo[user]))))"),"avazquez")</f>
        <v>avazquez</v>
      </c>
      <c r="AC5" s="41" t="s">
        <v>236</v>
      </c>
      <c r="AD5" s="41" t="str">
        <f>IFERROR(__xludf.DUMMYFUNCTION("IF(EXACT(AC5, """"), """", TEXTJOIN("", "", TRUE, ARRAYFORMULA(XLOOKUP(TRIM(SPLIT(AC5, "","")), Equipo[nickname], Equipo[user], """"))))"),"egonzalez")</f>
        <v>egonzalez</v>
      </c>
      <c r="AE5" s="56" t="s">
        <v>151</v>
      </c>
      <c r="AF5" s="57" t="str">
        <f>IFERROR(__xludf.DUMMYFUNCTION("IF(EXACT(AE5, """"), """", TEXTJOIN("", "", TRUE, ARRAYFORMULA(XLOOKUP(TRIM(SPLIT(AE5, "","")), Equipo[nickname], Equipo[user], """"))))"),"hloredo")</f>
        <v>hloredo</v>
      </c>
      <c r="AG5" s="57" t="s">
        <v>259</v>
      </c>
      <c r="AH5" s="58">
        <v>46164.0</v>
      </c>
    </row>
    <row r="6" ht="22.5" hidden="1" customHeight="1">
      <c r="A6" s="60">
        <v>32.0</v>
      </c>
      <c r="B6" s="61" t="s">
        <v>260</v>
      </c>
      <c r="C6" s="51" t="s">
        <v>261</v>
      </c>
      <c r="D6" s="52" t="s">
        <v>262</v>
      </c>
      <c r="E6" s="52" t="s">
        <v>224</v>
      </c>
      <c r="F6" s="52" t="s">
        <v>263</v>
      </c>
      <c r="G6" s="41" t="s">
        <v>226</v>
      </c>
      <c r="H6" s="41" t="s">
        <v>227</v>
      </c>
      <c r="I6" s="62" t="s">
        <v>228</v>
      </c>
      <c r="J6" s="44" t="s">
        <v>229</v>
      </c>
      <c r="K6" s="53">
        <v>0.1</v>
      </c>
      <c r="L6" s="62" t="s">
        <v>264</v>
      </c>
      <c r="M6" s="52" t="s">
        <v>263</v>
      </c>
      <c r="N6" s="62" t="s">
        <v>243</v>
      </c>
      <c r="O6" s="63" t="s">
        <v>265</v>
      </c>
      <c r="P6" s="64">
        <v>21.0</v>
      </c>
      <c r="Q6" s="65">
        <v>46002.0</v>
      </c>
      <c r="R6" s="66">
        <v>46037.0</v>
      </c>
      <c r="S6" s="66">
        <v>46037.0</v>
      </c>
      <c r="T6" s="66">
        <v>46037.0</v>
      </c>
      <c r="U6" s="44" t="s">
        <v>172</v>
      </c>
      <c r="V6" s="56" t="str">
        <f t="array" ref="V6">IF(EXACT(U6, ""), "", XLOOKUP(U6, Equipo[nickname], Equipo[user]))</f>
        <v>rcuevas</v>
      </c>
      <c r="W6" s="44" t="s">
        <v>166</v>
      </c>
      <c r="X6" s="56" t="str">
        <f t="array" ref="X6">IF(EXACT(W6, ""), "", XLOOKUP(W6, Equipo[nickname], Equipo[user]))</f>
        <v>nmejia</v>
      </c>
      <c r="Y6" s="41" t="s">
        <v>174</v>
      </c>
      <c r="Z6" s="41" t="str">
        <f>IFERROR(__xludf.DUMMYFUNCTION("IF(EXACT(Y6, """"), """", TEXTJOIN("", "", TRUE, ARRAYFORMULA(XLOOKUP(TRIM(SPLIT(Y6, "","")), Equipo[nickname], Equipo[user], """"))))"),"jenriquez")</f>
        <v>jenriquez</v>
      </c>
      <c r="AA6" s="56" t="s">
        <v>174</v>
      </c>
      <c r="AB6" s="42" t="str">
        <f>IFERROR(__xludf.DUMMYFUNCTION("IF(EXACT(AA6, """"), """", TEXTJOIN("", "", TRUE, ARRAYFORMULA(XLOOKUP(TRIM(SPLIT(AA6, "","")), Equipo[nickname], Equipo[user]))))"),"jenriquez")</f>
        <v>jenriquez</v>
      </c>
      <c r="AC6" s="67" t="s">
        <v>266</v>
      </c>
      <c r="AD6" s="42" t="str">
        <f>IFERROR(__xludf.DUMMYFUNCTION("IF(EXACT(AC6, """"), """", TEXTJOIN("", "", TRUE, ARRAYFORMULA(XLOOKUP(TRIM(SPLIT(AC6, "","")), Equipo[nickname], Equipo[user], """"))))"),"")</f>
        <v/>
      </c>
      <c r="AE6" s="68"/>
      <c r="AF6" s="57" t="str">
        <f>IFERROR(__xludf.DUMMYFUNCTION("IF(EXACT(AE6, """"), """", TEXTJOIN("", "", TRUE, ARRAYFORMULA(XLOOKUP(TRIM(SPLIT(AE6, "","")), Equipo[nickname], Equipo[user], """"))))"),"")</f>
        <v/>
      </c>
      <c r="AG6" s="41" t="s">
        <v>267</v>
      </c>
      <c r="AH6" s="41" t="s">
        <v>267</v>
      </c>
    </row>
    <row r="7" ht="22.5" hidden="1" customHeight="1">
      <c r="A7" s="41">
        <v>1006.0</v>
      </c>
      <c r="B7" s="50" t="s">
        <v>268</v>
      </c>
      <c r="C7" s="41" t="s">
        <v>269</v>
      </c>
      <c r="D7" s="42" t="s">
        <v>270</v>
      </c>
      <c r="E7" s="42" t="s">
        <v>224</v>
      </c>
      <c r="F7" s="41" t="s">
        <v>225</v>
      </c>
      <c r="G7" s="41" t="s">
        <v>226</v>
      </c>
      <c r="H7" s="41" t="s">
        <v>227</v>
      </c>
      <c r="I7" s="69" t="s">
        <v>271</v>
      </c>
      <c r="J7" s="44" t="s">
        <v>272</v>
      </c>
      <c r="K7" s="53">
        <v>1.0</v>
      </c>
      <c r="L7" s="44" t="s">
        <v>242</v>
      </c>
      <c r="M7" s="42" t="s">
        <v>225</v>
      </c>
      <c r="N7" s="69" t="s">
        <v>243</v>
      </c>
      <c r="O7" s="63" t="s">
        <v>273</v>
      </c>
      <c r="P7" s="41">
        <v>2.0</v>
      </c>
      <c r="Q7" s="70">
        <v>46005.0</v>
      </c>
      <c r="R7" s="70">
        <v>46005.0</v>
      </c>
      <c r="S7" s="55">
        <v>46112.0</v>
      </c>
      <c r="T7" s="71">
        <v>46136.0</v>
      </c>
      <c r="U7" s="69" t="s">
        <v>151</v>
      </c>
      <c r="V7" s="56" t="str">
        <f t="array" ref="V7">IF(EXACT(U7, ""), "", XLOOKUP(U7, Equipo[nickname], Equipo[user]))</f>
        <v>hloredo</v>
      </c>
      <c r="W7" s="69" t="s">
        <v>149</v>
      </c>
      <c r="X7" s="68" t="str">
        <f t="array" ref="X7">IF(EXACT(W7, ""), "", XLOOKUP(W7, Equipo[nickname], Equipo[user]))</f>
        <v>dgonzalez</v>
      </c>
      <c r="Y7" s="42" t="s">
        <v>174</v>
      </c>
      <c r="Z7" s="42" t="str">
        <f>IFERROR(__xludf.DUMMYFUNCTION("IF(EXACT(Y7, """"), """", TEXTJOIN("", "", TRUE, ARRAYFORMULA(XLOOKUP(TRIM(SPLIT(Y7, "","")), Equipo[nickname], Equipo[user], """"))))"),"jenriquez")</f>
        <v>jenriquez</v>
      </c>
      <c r="AA7" s="68" t="s">
        <v>158</v>
      </c>
      <c r="AB7" s="42" t="str">
        <f>IFERROR(__xludf.DUMMYFUNCTION("IF(EXACT(AA7, """"), """", TEXTJOIN("", "", TRUE, ARRAYFORMULA(XLOOKUP(TRIM(SPLIT(AA7, "","")), Equipo[nickname], Equipo[user]))))"),"emontano")</f>
        <v>emontano</v>
      </c>
      <c r="AC7" s="42" t="s">
        <v>236</v>
      </c>
      <c r="AD7" s="42" t="str">
        <f>IFERROR(__xludf.DUMMYFUNCTION("IF(EXACT(AC7, """"), """", TEXTJOIN("", "", TRUE, ARRAYFORMULA(XLOOKUP(TRIM(SPLIT(AC7, "","")), Equipo[nickname], Equipo[user], """"))))"),"egonzalez")</f>
        <v>egonzalez</v>
      </c>
      <c r="AE7" s="68"/>
      <c r="AF7" s="57" t="str">
        <f>IFERROR(__xludf.DUMMYFUNCTION("IF(EXACT(AE7, """"), """", TEXTJOIN("", "", TRUE, ARRAYFORMULA(XLOOKUP(TRIM(SPLIT(AE7, "","")), Equipo[nickname], Equipo[user], """"))))"),"")</f>
        <v/>
      </c>
      <c r="AG7" s="41" t="s">
        <v>267</v>
      </c>
      <c r="AH7" s="58"/>
    </row>
    <row r="8" ht="22.5" hidden="1" customHeight="1">
      <c r="A8" s="41">
        <v>1007.0</v>
      </c>
      <c r="B8" s="50" t="s">
        <v>274</v>
      </c>
      <c r="C8" s="41" t="s">
        <v>275</v>
      </c>
      <c r="D8" s="42" t="s">
        <v>276</v>
      </c>
      <c r="E8" s="42" t="s">
        <v>224</v>
      </c>
      <c r="F8" s="41" t="s">
        <v>225</v>
      </c>
      <c r="G8" s="41" t="s">
        <v>277</v>
      </c>
      <c r="H8" s="41" t="s">
        <v>227</v>
      </c>
      <c r="I8" s="69" t="s">
        <v>271</v>
      </c>
      <c r="J8" s="44" t="s">
        <v>272</v>
      </c>
      <c r="K8" s="53">
        <v>1.0</v>
      </c>
      <c r="L8" s="44" t="s">
        <v>242</v>
      </c>
      <c r="M8" s="42" t="s">
        <v>225</v>
      </c>
      <c r="N8" s="69" t="s">
        <v>243</v>
      </c>
      <c r="O8" s="63" t="s">
        <v>273</v>
      </c>
      <c r="P8" s="41">
        <v>120.0</v>
      </c>
      <c r="Q8" s="70">
        <v>46005.0</v>
      </c>
      <c r="R8" s="70">
        <v>46055.0</v>
      </c>
      <c r="S8" s="55">
        <v>46112.0</v>
      </c>
      <c r="T8" s="71">
        <v>46081.0</v>
      </c>
      <c r="U8" s="69" t="s">
        <v>151</v>
      </c>
      <c r="V8" s="56" t="str">
        <f t="array" ref="V8">IF(EXACT(U8, ""), "", XLOOKUP(U8, Equipo[nickname], Equipo[user]))</f>
        <v>hloredo</v>
      </c>
      <c r="W8" s="69" t="s">
        <v>149</v>
      </c>
      <c r="X8" s="68" t="str">
        <f t="array" ref="X8">IF(EXACT(W8, ""), "", XLOOKUP(W8, Equipo[nickname], Equipo[user]))</f>
        <v>dgonzalez</v>
      </c>
      <c r="Y8" s="42" t="s">
        <v>234</v>
      </c>
      <c r="Z8" s="42" t="str">
        <f>IFERROR(__xludf.DUMMYFUNCTION("IF(EXACT(Y8, """"), """", TEXTJOIN("", "", TRUE, ARRAYFORMULA(XLOOKUP(TRIM(SPLIT(Y8, "","")), Equipo[nickname], Equipo[user], """"))))"),"lbernal")</f>
        <v>lbernal</v>
      </c>
      <c r="AA8" s="68" t="s">
        <v>278</v>
      </c>
      <c r="AB8" s="42" t="str">
        <f>IFERROR(__xludf.DUMMYFUNCTION("IF(EXACT(AA8, """"), """", TEXTJOIN("", "", TRUE, ARRAYFORMULA(XLOOKUP(TRIM(SPLIT(AA8, "","")), Equipo[nickname], Equipo[user]))))"),"etorres")</f>
        <v>etorres</v>
      </c>
      <c r="AC8" s="42" t="s">
        <v>236</v>
      </c>
      <c r="AD8" s="42" t="str">
        <f>IFERROR(__xludf.DUMMYFUNCTION("IF(EXACT(AC8, """"), """", TEXTJOIN("", "", TRUE, ARRAYFORMULA(XLOOKUP(TRIM(SPLIT(AC8, "","")), Equipo[nickname], Equipo[user], """"))))"),"egonzalez")</f>
        <v>egonzalez</v>
      </c>
      <c r="AE8" s="68"/>
      <c r="AF8" s="57" t="str">
        <f>IFERROR(__xludf.DUMMYFUNCTION("IF(EXACT(AE8, """"), """", TEXTJOIN("", "", TRUE, ARRAYFORMULA(XLOOKUP(TRIM(SPLIT(AE8, "","")), Equipo[nickname], Equipo[user], """"))))"),"")</f>
        <v/>
      </c>
      <c r="AG8" s="41" t="s">
        <v>267</v>
      </c>
      <c r="AH8" s="41"/>
    </row>
    <row r="9" ht="22.5" hidden="1" customHeight="1">
      <c r="A9" s="41">
        <v>1008.0</v>
      </c>
      <c r="B9" s="50" t="s">
        <v>279</v>
      </c>
      <c r="C9" s="41" t="s">
        <v>280</v>
      </c>
      <c r="D9" s="42" t="s">
        <v>281</v>
      </c>
      <c r="E9" s="42" t="s">
        <v>224</v>
      </c>
      <c r="F9" s="41" t="s">
        <v>225</v>
      </c>
      <c r="G9" s="41" t="s">
        <v>277</v>
      </c>
      <c r="H9" s="41" t="s">
        <v>227</v>
      </c>
      <c r="I9" s="69" t="s">
        <v>271</v>
      </c>
      <c r="J9" s="44" t="s">
        <v>272</v>
      </c>
      <c r="K9" s="53">
        <v>1.0</v>
      </c>
      <c r="L9" s="44" t="s">
        <v>249</v>
      </c>
      <c r="M9" s="42" t="s">
        <v>225</v>
      </c>
      <c r="N9" s="69" t="s">
        <v>282</v>
      </c>
      <c r="O9" s="63" t="s">
        <v>232</v>
      </c>
      <c r="P9" s="41">
        <v>40.0</v>
      </c>
      <c r="Q9" s="70">
        <v>46005.0</v>
      </c>
      <c r="R9" s="70">
        <v>46055.0</v>
      </c>
      <c r="S9" s="55">
        <v>46112.0</v>
      </c>
      <c r="T9" s="71">
        <v>46077.0</v>
      </c>
      <c r="U9" s="69" t="s">
        <v>151</v>
      </c>
      <c r="V9" s="56" t="str">
        <f t="array" ref="V9">IF(EXACT(U9, ""), "", XLOOKUP(U9, Equipo[nickname], Equipo[user]))</f>
        <v>hloredo</v>
      </c>
      <c r="W9" s="69" t="s">
        <v>149</v>
      </c>
      <c r="X9" s="68" t="str">
        <f t="array" ref="X9">IF(EXACT(W9, ""), "", XLOOKUP(W9, Equipo[nickname], Equipo[user]))</f>
        <v>dgonzalez</v>
      </c>
      <c r="Y9" s="42" t="s">
        <v>234</v>
      </c>
      <c r="Z9" s="42" t="str">
        <f>IFERROR(__xludf.DUMMYFUNCTION("IF(EXACT(Y9, """"), """", TEXTJOIN("", "", TRUE, ARRAYFORMULA(XLOOKUP(TRIM(SPLIT(Y9, "","")), Equipo[nickname], Equipo[user], """"))))"),"lbernal")</f>
        <v>lbernal</v>
      </c>
      <c r="AA9" s="68" t="s">
        <v>278</v>
      </c>
      <c r="AB9" s="42" t="str">
        <f>IFERROR(__xludf.DUMMYFUNCTION("IF(EXACT(AA9, """"), """", TEXTJOIN("", "", TRUE, ARRAYFORMULA(XLOOKUP(TRIM(SPLIT(AA9, "","")), Equipo[nickname], Equipo[user]))))"),"etorres")</f>
        <v>etorres</v>
      </c>
      <c r="AC9" s="42" t="s">
        <v>236</v>
      </c>
      <c r="AD9" s="42" t="str">
        <f>IFERROR(__xludf.DUMMYFUNCTION("IF(EXACT(AC9, """"), """", TEXTJOIN("", "", TRUE, ARRAYFORMULA(XLOOKUP(TRIM(SPLIT(AC9, "","")), Equipo[nickname], Equipo[user], """"))))"),"egonzalez")</f>
        <v>egonzalez</v>
      </c>
      <c r="AE9" s="68"/>
      <c r="AF9" s="57" t="str">
        <f>IFERROR(__xludf.DUMMYFUNCTION("IF(EXACT(AE9, """"), """", TEXTJOIN("", "", TRUE, ARRAYFORMULA(XLOOKUP(TRIM(SPLIT(AE9, "","")), Equipo[nickname], Equipo[user], """"))))"),"")</f>
        <v/>
      </c>
      <c r="AG9" s="41" t="s">
        <v>267</v>
      </c>
      <c r="AH9" s="41"/>
    </row>
    <row r="10" ht="22.5" hidden="1" customHeight="1">
      <c r="A10" s="41">
        <v>1009.0</v>
      </c>
      <c r="B10" s="50" t="s">
        <v>283</v>
      </c>
      <c r="C10" s="41" t="s">
        <v>284</v>
      </c>
      <c r="D10" s="42" t="s">
        <v>285</v>
      </c>
      <c r="E10" s="42" t="s">
        <v>224</v>
      </c>
      <c r="F10" s="41" t="s">
        <v>225</v>
      </c>
      <c r="G10" s="41" t="s">
        <v>277</v>
      </c>
      <c r="H10" s="41" t="s">
        <v>227</v>
      </c>
      <c r="I10" s="69" t="s">
        <v>271</v>
      </c>
      <c r="J10" s="44" t="s">
        <v>272</v>
      </c>
      <c r="K10" s="53">
        <v>1.0</v>
      </c>
      <c r="L10" s="44" t="s">
        <v>264</v>
      </c>
      <c r="M10" s="42" t="s">
        <v>225</v>
      </c>
      <c r="N10" s="69" t="s">
        <v>243</v>
      </c>
      <c r="O10" s="63" t="s">
        <v>273</v>
      </c>
      <c r="P10" s="41">
        <v>320.0</v>
      </c>
      <c r="Q10" s="70">
        <v>46005.0</v>
      </c>
      <c r="R10" s="70">
        <v>46055.0</v>
      </c>
      <c r="S10" s="55">
        <v>46112.0</v>
      </c>
      <c r="T10" s="71">
        <v>46142.0</v>
      </c>
      <c r="U10" s="69" t="s">
        <v>151</v>
      </c>
      <c r="V10" s="56" t="str">
        <f t="array" ref="V10">IF(EXACT(U10, ""), "", XLOOKUP(U10, Equipo[nickname], Equipo[user]))</f>
        <v>hloredo</v>
      </c>
      <c r="W10" s="69" t="s">
        <v>149</v>
      </c>
      <c r="X10" s="68" t="str">
        <f t="array" ref="X10">IF(EXACT(W10, ""), "", XLOOKUP(W10, Equipo[nickname], Equipo[user]))</f>
        <v>dgonzalez</v>
      </c>
      <c r="Y10" s="42" t="s">
        <v>234</v>
      </c>
      <c r="Z10" s="42" t="str">
        <f>IFERROR(__xludf.DUMMYFUNCTION("IF(EXACT(Y10, """"), """", TEXTJOIN("", "", TRUE, ARRAYFORMULA(XLOOKUP(TRIM(SPLIT(Y10, "","")), Equipo[nickname], Equipo[user], """"))))"),"lbernal")</f>
        <v>lbernal</v>
      </c>
      <c r="AA10" s="68" t="s">
        <v>286</v>
      </c>
      <c r="AB10" s="42" t="str">
        <f>IFERROR(__xludf.DUMMYFUNCTION("IF(EXACT(AA10, """"), """", TEXTJOIN("", "", TRUE, ARRAYFORMULA(XLOOKUP(TRIM(SPLIT(AA10, "","")), Equipo[nickname], Equipo[user]))))"),"etorres, ameza, lolvera")</f>
        <v>etorres, ameza, lolvera</v>
      </c>
      <c r="AC10" s="42" t="s">
        <v>236</v>
      </c>
      <c r="AD10" s="42" t="str">
        <f>IFERROR(__xludf.DUMMYFUNCTION("IF(EXACT(AC10, """"), """", TEXTJOIN("", "", TRUE, ARRAYFORMULA(XLOOKUP(TRIM(SPLIT(AC10, "","")), Equipo[nickname], Equipo[user], """"))))"),"egonzalez")</f>
        <v>egonzalez</v>
      </c>
      <c r="AE10" s="68"/>
      <c r="AF10" s="57" t="str">
        <f>IFERROR(__xludf.DUMMYFUNCTION("IF(EXACT(AE10, """"), """", TEXTJOIN("", "", TRUE, ARRAYFORMULA(XLOOKUP(TRIM(SPLIT(AE10, "","")), Equipo[nickname], Equipo[user], """"))))"),"")</f>
        <v/>
      </c>
      <c r="AG10" s="41" t="s">
        <v>267</v>
      </c>
      <c r="AH10" s="41"/>
    </row>
    <row r="11" ht="22.5" hidden="1" customHeight="1">
      <c r="A11" s="41">
        <v>1010.0</v>
      </c>
      <c r="B11" s="50" t="s">
        <v>287</v>
      </c>
      <c r="C11" s="41" t="s">
        <v>288</v>
      </c>
      <c r="D11" s="42" t="s">
        <v>289</v>
      </c>
      <c r="E11" s="42" t="s">
        <v>224</v>
      </c>
      <c r="F11" s="41" t="s">
        <v>225</v>
      </c>
      <c r="G11" s="41" t="s">
        <v>277</v>
      </c>
      <c r="H11" s="41" t="s">
        <v>227</v>
      </c>
      <c r="I11" s="69" t="s">
        <v>271</v>
      </c>
      <c r="J11" s="44" t="s">
        <v>272</v>
      </c>
      <c r="K11" s="53">
        <v>1.0</v>
      </c>
      <c r="L11" s="44" t="s">
        <v>230</v>
      </c>
      <c r="M11" s="42" t="s">
        <v>225</v>
      </c>
      <c r="N11" s="69" t="s">
        <v>243</v>
      </c>
      <c r="O11" s="63" t="s">
        <v>265</v>
      </c>
      <c r="P11" s="41">
        <v>3.0</v>
      </c>
      <c r="Q11" s="70">
        <v>46002.0</v>
      </c>
      <c r="R11" s="70">
        <v>46002.0</v>
      </c>
      <c r="S11" s="55">
        <v>46112.0</v>
      </c>
      <c r="T11" s="71">
        <v>46142.0</v>
      </c>
      <c r="U11" s="69" t="s">
        <v>151</v>
      </c>
      <c r="V11" s="56" t="str">
        <f t="array" ref="V11">IF(EXACT(U11, ""), "", XLOOKUP(U11, Equipo[nickname], Equipo[user]))</f>
        <v>hloredo</v>
      </c>
      <c r="W11" s="69" t="s">
        <v>149</v>
      </c>
      <c r="X11" s="68" t="str">
        <f t="array" ref="X11">IF(EXACT(W11, ""), "", XLOOKUP(W11, Equipo[nickname], Equipo[user]))</f>
        <v>dgonzalez</v>
      </c>
      <c r="Y11" s="42" t="s">
        <v>234</v>
      </c>
      <c r="Z11" s="42" t="str">
        <f>IFERROR(__xludf.DUMMYFUNCTION("IF(EXACT(Y11, """"), """", TEXTJOIN("", "", TRUE, ARRAYFORMULA(XLOOKUP(TRIM(SPLIT(Y11, "","")), Equipo[nickname], Equipo[user], """"))))"),"lbernal")</f>
        <v>lbernal</v>
      </c>
      <c r="AA11" s="68" t="s">
        <v>290</v>
      </c>
      <c r="AB11" s="42" t="str">
        <f>IFERROR(__xludf.DUMMYFUNCTION("IF(EXACT(AA11, """"), """", TEXTJOIN("", "", TRUE, ARRAYFORMULA(XLOOKUP(TRIM(SPLIT(AA11, "","")), Equipo[nickname], Equipo[user]))))"),"ameza, etorres, lolvera, rescobar")</f>
        <v>ameza, etorres, lolvera, rescobar</v>
      </c>
      <c r="AC11" s="42" t="s">
        <v>236</v>
      </c>
      <c r="AD11" s="42" t="str">
        <f>IFERROR(__xludf.DUMMYFUNCTION("IF(EXACT(AC11, """"), """", TEXTJOIN("", "", TRUE, ARRAYFORMULA(XLOOKUP(TRIM(SPLIT(AC11, "","")), Equipo[nickname], Equipo[user], """"))))"),"egonzalez")</f>
        <v>egonzalez</v>
      </c>
      <c r="AE11" s="68"/>
      <c r="AF11" s="57" t="str">
        <f>IFERROR(__xludf.DUMMYFUNCTION("IF(EXACT(AE11, """"), """", TEXTJOIN("", "", TRUE, ARRAYFORMULA(XLOOKUP(TRIM(SPLIT(AE11, "","")), Equipo[nickname], Equipo[user], """"))))"),"")</f>
        <v/>
      </c>
      <c r="AG11" s="41" t="s">
        <v>267</v>
      </c>
      <c r="AH11" s="58"/>
    </row>
    <row r="12" ht="22.5" hidden="1" customHeight="1">
      <c r="A12" s="41">
        <v>1011.0</v>
      </c>
      <c r="B12" s="50" t="s">
        <v>291</v>
      </c>
      <c r="C12" s="41" t="s">
        <v>292</v>
      </c>
      <c r="D12" s="42" t="s">
        <v>293</v>
      </c>
      <c r="E12" s="42" t="s">
        <v>224</v>
      </c>
      <c r="F12" s="41" t="s">
        <v>225</v>
      </c>
      <c r="G12" s="41" t="s">
        <v>226</v>
      </c>
      <c r="H12" s="41" t="s">
        <v>227</v>
      </c>
      <c r="I12" s="69" t="s">
        <v>271</v>
      </c>
      <c r="J12" s="44" t="s">
        <v>272</v>
      </c>
      <c r="K12" s="53">
        <v>1.0</v>
      </c>
      <c r="L12" s="44" t="s">
        <v>294</v>
      </c>
      <c r="M12" s="42" t="s">
        <v>225</v>
      </c>
      <c r="N12" s="69" t="s">
        <v>231</v>
      </c>
      <c r="O12" s="63" t="s">
        <v>295</v>
      </c>
      <c r="P12" s="41">
        <v>1.0</v>
      </c>
      <c r="Q12" s="70">
        <v>46058.0</v>
      </c>
      <c r="R12" s="70">
        <v>46023.0</v>
      </c>
      <c r="S12" s="55">
        <v>46094.0</v>
      </c>
      <c r="T12" s="55">
        <v>46094.0</v>
      </c>
      <c r="U12" s="69" t="s">
        <v>151</v>
      </c>
      <c r="V12" s="56" t="str">
        <f t="array" ref="V12">IF(EXACT(U12, ""), "", XLOOKUP(U12, Equipo[nickname], Equipo[user]))</f>
        <v>hloredo</v>
      </c>
      <c r="W12" s="69" t="s">
        <v>149</v>
      </c>
      <c r="X12" s="68" t="str">
        <f t="array" ref="X12">IF(EXACT(W12, ""), "", XLOOKUP(W12, Equipo[nickname], Equipo[user]))</f>
        <v>dgonzalez</v>
      </c>
      <c r="Y12" s="42" t="s">
        <v>174</v>
      </c>
      <c r="Z12" s="42" t="str">
        <f>IFERROR(__xludf.DUMMYFUNCTION("IF(EXACT(Y12, """"), """", TEXTJOIN("", "", TRUE, ARRAYFORMULA(XLOOKUP(TRIM(SPLIT(Y12, "","")), Equipo[nickname], Equipo[user], """"))))"),"jenriquez")</f>
        <v>jenriquez</v>
      </c>
      <c r="AA12" s="68" t="s">
        <v>296</v>
      </c>
      <c r="AB12" s="42" t="str">
        <f>IFERROR(__xludf.DUMMYFUNCTION("IF(EXACT(AA12, """"), """", TEXTJOIN("", "", TRUE, ARRAYFORMULA(XLOOKUP(TRIM(SPLIT(AA12, "","")), Equipo[nickname], Equipo[user]))))"),"jpatino")</f>
        <v>jpatino</v>
      </c>
      <c r="AC12" s="42" t="s">
        <v>236</v>
      </c>
      <c r="AD12" s="42" t="str">
        <f>IFERROR(__xludf.DUMMYFUNCTION("IF(EXACT(AC12, """"), """", TEXTJOIN("", "", TRUE, ARRAYFORMULA(XLOOKUP(TRIM(SPLIT(AC12, "","")), Equipo[nickname], Equipo[user], """"))))"),"egonzalez")</f>
        <v>egonzalez</v>
      </c>
      <c r="AE12" s="68" t="s">
        <v>297</v>
      </c>
      <c r="AF12" s="57" t="str">
        <f>IFERROR(__xludf.DUMMYFUNCTION("IF(EXACT(AE12, """"), """", TEXTJOIN("", "", TRUE, ARRAYFORMULA(XLOOKUP(TRIM(SPLIT(AE12, "","")), Equipo[nickname], Equipo[user], """"))))"),"eramirez, jenriquez, hloredo")</f>
        <v>eramirez, jenriquez, hloredo</v>
      </c>
      <c r="AG12" s="57" t="s">
        <v>298</v>
      </c>
      <c r="AH12" s="58">
        <v>46142.0</v>
      </c>
    </row>
    <row r="13" ht="22.5" hidden="1" customHeight="1">
      <c r="A13" s="41">
        <v>1012.0</v>
      </c>
      <c r="B13" s="50" t="s">
        <v>299</v>
      </c>
      <c r="C13" s="41" t="s">
        <v>300</v>
      </c>
      <c r="D13" s="42" t="s">
        <v>301</v>
      </c>
      <c r="E13" s="42" t="s">
        <v>224</v>
      </c>
      <c r="F13" s="41" t="s">
        <v>225</v>
      </c>
      <c r="G13" s="41" t="s">
        <v>226</v>
      </c>
      <c r="H13" s="41" t="s">
        <v>302</v>
      </c>
      <c r="I13" s="69" t="s">
        <v>271</v>
      </c>
      <c r="J13" s="44" t="s">
        <v>272</v>
      </c>
      <c r="K13" s="53">
        <v>1.0</v>
      </c>
      <c r="L13" s="44" t="s">
        <v>264</v>
      </c>
      <c r="M13" s="42" t="s">
        <v>225</v>
      </c>
      <c r="N13" s="69" t="s">
        <v>231</v>
      </c>
      <c r="O13" s="63" t="s">
        <v>295</v>
      </c>
      <c r="P13" s="41">
        <v>55.0</v>
      </c>
      <c r="Q13" s="70">
        <v>46092.0</v>
      </c>
      <c r="R13" s="70">
        <v>46092.0</v>
      </c>
      <c r="S13" s="55">
        <v>46173.0</v>
      </c>
      <c r="T13" s="71">
        <v>46173.0</v>
      </c>
      <c r="U13" s="69" t="s">
        <v>151</v>
      </c>
      <c r="V13" s="56" t="str">
        <f t="array" ref="V13">IF(EXACT(U13, ""), "", XLOOKUP(U13, Equipo[nickname], Equipo[user]))</f>
        <v>hloredo</v>
      </c>
      <c r="W13" s="69" t="s">
        <v>149</v>
      </c>
      <c r="X13" s="68" t="str">
        <f t="array" ref="X13">IF(EXACT(W13, ""), "", XLOOKUP(W13, Equipo[nickname], Equipo[user]))</f>
        <v>dgonzalez</v>
      </c>
      <c r="Y13" s="42" t="s">
        <v>234</v>
      </c>
      <c r="Z13" s="42" t="str">
        <f>IFERROR(__xludf.DUMMYFUNCTION("IF(EXACT(Y13, """"), """", TEXTJOIN("", "", TRUE, ARRAYFORMULA(XLOOKUP(TRIM(SPLIT(Y13, "","")), Equipo[nickname], Equipo[user], """"))))"),"lbernal")</f>
        <v>lbernal</v>
      </c>
      <c r="AA13" s="68" t="s">
        <v>151</v>
      </c>
      <c r="AB13" s="42" t="str">
        <f>IFERROR(__xludf.DUMMYFUNCTION("IF(EXACT(AA13, """"), """", TEXTJOIN("", "", TRUE, ARRAYFORMULA(XLOOKUP(TRIM(SPLIT(AA13, "","")), Equipo[nickname], Equipo[user]))))"),"hloredo")</f>
        <v>hloredo</v>
      </c>
      <c r="AC13" s="42" t="s">
        <v>236</v>
      </c>
      <c r="AD13" s="42" t="str">
        <f>IFERROR(__xludf.DUMMYFUNCTION("IF(EXACT(AC13, """"), """", TEXTJOIN("", "", TRUE, ARRAYFORMULA(XLOOKUP(TRIM(SPLIT(AC13, "","")), Equipo[nickname], Equipo[user], """"))))"),"egonzalez")</f>
        <v>egonzalez</v>
      </c>
      <c r="AE13" s="68"/>
      <c r="AF13" s="57" t="str">
        <f>IFERROR(__xludf.DUMMYFUNCTION("IF(EXACT(AE13, """"), """", TEXTJOIN("", "", TRUE, ARRAYFORMULA(XLOOKUP(TRIM(SPLIT(AE13, "","")), Equipo[nickname], Equipo[user], """"))))"),"")</f>
        <v/>
      </c>
      <c r="AG13" s="41" t="s">
        <v>267</v>
      </c>
      <c r="AH13" s="41"/>
    </row>
    <row r="14" ht="22.5" hidden="1" customHeight="1">
      <c r="A14" s="41">
        <v>1013.0</v>
      </c>
      <c r="B14" s="50" t="s">
        <v>287</v>
      </c>
      <c r="C14" s="42" t="s">
        <v>288</v>
      </c>
      <c r="D14" s="42" t="s">
        <v>303</v>
      </c>
      <c r="E14" s="42" t="s">
        <v>224</v>
      </c>
      <c r="F14" s="41" t="s">
        <v>225</v>
      </c>
      <c r="G14" s="41" t="s">
        <v>226</v>
      </c>
      <c r="H14" s="41" t="s">
        <v>227</v>
      </c>
      <c r="I14" s="69" t="s">
        <v>271</v>
      </c>
      <c r="J14" s="44" t="s">
        <v>272</v>
      </c>
      <c r="K14" s="53">
        <v>0.95</v>
      </c>
      <c r="L14" s="44" t="s">
        <v>242</v>
      </c>
      <c r="M14" s="42" t="s">
        <v>225</v>
      </c>
      <c r="N14" s="69" t="s">
        <v>231</v>
      </c>
      <c r="O14" s="63" t="s">
        <v>232</v>
      </c>
      <c r="P14" s="41">
        <v>80.0</v>
      </c>
      <c r="Q14" s="70">
        <v>46082.0</v>
      </c>
      <c r="R14" s="70">
        <v>46113.0</v>
      </c>
      <c r="S14" s="55">
        <v>46142.0</v>
      </c>
      <c r="T14" s="71">
        <v>46142.0</v>
      </c>
      <c r="U14" s="69" t="s">
        <v>151</v>
      </c>
      <c r="V14" s="56" t="str">
        <f t="array" ref="V14">IF(EXACT(U14, ""), "", XLOOKUP(U14, Equipo[nickname], Equipo[user]))</f>
        <v>hloredo</v>
      </c>
      <c r="W14" s="69" t="s">
        <v>149</v>
      </c>
      <c r="X14" s="68" t="str">
        <f t="array" ref="X14">IF(EXACT(W14, ""), "", XLOOKUP(W14, Equipo[nickname], Equipo[user]))</f>
        <v>dgonzalez</v>
      </c>
      <c r="Y14" s="68" t="s">
        <v>234</v>
      </c>
      <c r="Z14" s="42" t="str">
        <f>IFERROR(__xludf.DUMMYFUNCTION("IF(EXACT(Y14, """"), """", TEXTJOIN("", "", TRUE, ARRAYFORMULA(XLOOKUP(TRIM(SPLIT(Y14, "","")), Equipo[nickname], Equipo[user], """"))))"),"lbernal")</f>
        <v>lbernal</v>
      </c>
      <c r="AA14" s="68" t="s">
        <v>290</v>
      </c>
      <c r="AB14" s="42" t="str">
        <f>IFERROR(__xludf.DUMMYFUNCTION("IF(EXACT(AA14, """"), """", TEXTJOIN("", "", TRUE, ARRAYFORMULA(XLOOKUP(TRIM(SPLIT(AA14, "","")), Equipo[nickname], Equipo[user]))))"),"ameza, etorres, lolvera, rescobar")</f>
        <v>ameza, etorres, lolvera, rescobar</v>
      </c>
      <c r="AC14" s="42" t="s">
        <v>236</v>
      </c>
      <c r="AD14" s="42" t="str">
        <f>IFERROR(__xludf.DUMMYFUNCTION("IF(EXACT(AC14, """"), """", TEXTJOIN("", "", TRUE, ARRAYFORMULA(XLOOKUP(TRIM(SPLIT(AC14, "","")), Equipo[nickname], Equipo[user], """"))))"),"egonzalez")</f>
        <v>egonzalez</v>
      </c>
      <c r="AE14" s="68" t="s">
        <v>174</v>
      </c>
      <c r="AF14" s="57" t="str">
        <f>IFERROR(__xludf.DUMMYFUNCTION("IF(EXACT(AE14, """"), """", TEXTJOIN("", "", TRUE, ARRAYFORMULA(XLOOKUP(TRIM(SPLIT(AE14, "","")), Equipo[nickname], Equipo[user], """"))))"),"jenriquez")</f>
        <v>jenriquez</v>
      </c>
      <c r="AG14" s="57" t="s">
        <v>304</v>
      </c>
      <c r="AH14" s="58">
        <v>46162.0</v>
      </c>
    </row>
    <row r="15" ht="22.5" hidden="1" customHeight="1">
      <c r="A15" s="60">
        <v>90.0</v>
      </c>
      <c r="B15" s="61" t="s">
        <v>305</v>
      </c>
      <c r="C15" s="51" t="s">
        <v>306</v>
      </c>
      <c r="D15" s="52" t="s">
        <v>307</v>
      </c>
      <c r="E15" s="52" t="s">
        <v>224</v>
      </c>
      <c r="F15" s="51" t="s">
        <v>263</v>
      </c>
      <c r="G15" s="41" t="s">
        <v>226</v>
      </c>
      <c r="H15" s="41" t="s">
        <v>227</v>
      </c>
      <c r="I15" s="62" t="s">
        <v>228</v>
      </c>
      <c r="J15" s="44" t="s">
        <v>241</v>
      </c>
      <c r="K15" s="53">
        <v>0.1</v>
      </c>
      <c r="L15" s="62" t="s">
        <v>249</v>
      </c>
      <c r="M15" s="52" t="s">
        <v>308</v>
      </c>
      <c r="N15" s="62" t="s">
        <v>231</v>
      </c>
      <c r="O15" s="63" t="s">
        <v>232</v>
      </c>
      <c r="P15" s="64">
        <v>34.0</v>
      </c>
      <c r="Q15" s="65">
        <v>46045.0</v>
      </c>
      <c r="R15" s="66">
        <v>46157.0</v>
      </c>
      <c r="S15" s="66">
        <v>46157.0</v>
      </c>
      <c r="T15" s="66">
        <v>46157.0</v>
      </c>
      <c r="U15" s="44" t="s">
        <v>172</v>
      </c>
      <c r="V15" s="56" t="str">
        <f t="array" ref="V15">IF(EXACT(U15, ""), "", XLOOKUP(U15, Equipo[nickname], Equipo[user]))</f>
        <v>rcuevas</v>
      </c>
      <c r="W15" s="44" t="s">
        <v>166</v>
      </c>
      <c r="X15" s="56" t="str">
        <f t="array" ref="X15">IF(EXACT(W15, ""), "", XLOOKUP(W15, Equipo[nickname], Equipo[user]))</f>
        <v>nmejia</v>
      </c>
      <c r="Y15" s="41" t="s">
        <v>174</v>
      </c>
      <c r="Z15" s="41" t="str">
        <f>IFERROR(__xludf.DUMMYFUNCTION("IF(EXACT(Y15, """"), """", TEXTJOIN("", "", TRUE, ARRAYFORMULA(XLOOKUP(TRIM(SPLIT(Y15, "","")), Equipo[nickname], Equipo[user], """"))))"),"jenriquez")</f>
        <v>jenriquez</v>
      </c>
      <c r="AA15" s="56"/>
      <c r="AB15" s="42" t="str">
        <f>IFERROR(__xludf.DUMMYFUNCTION("IF(EXACT(AA15, """"), """", TEXTJOIN("", "", TRUE, ARRAYFORMULA(XLOOKUP(TRIM(SPLIT(AA15, "","")), Equipo[nickname], Equipo[user]))))"),"")</f>
        <v/>
      </c>
      <c r="AC15" s="67" t="s">
        <v>266</v>
      </c>
      <c r="AD15" s="42" t="str">
        <f>IFERROR(__xludf.DUMMYFUNCTION("IF(EXACT(AC15, """"), """", TEXTJOIN("", "", TRUE, ARRAYFORMULA(XLOOKUP(TRIM(SPLIT(AC15, "","")), Equipo[nickname], Equipo[user], """"))))"),"")</f>
        <v/>
      </c>
      <c r="AE15" s="68"/>
      <c r="AF15" s="57" t="str">
        <f>IFERROR(__xludf.DUMMYFUNCTION("IF(EXACT(AE15, """"), """", TEXTJOIN("", "", TRUE, ARRAYFORMULA(XLOOKUP(TRIM(SPLIT(AE15, "","")), Equipo[nickname], Equipo[user], """"))))"),"")</f>
        <v/>
      </c>
      <c r="AG15" s="41" t="s">
        <v>267</v>
      </c>
      <c r="AH15" s="41" t="s">
        <v>267</v>
      </c>
    </row>
    <row r="16" ht="22.5" hidden="1" customHeight="1">
      <c r="A16" s="60">
        <v>33.0</v>
      </c>
      <c r="B16" s="61" t="s">
        <v>309</v>
      </c>
      <c r="C16" s="51" t="s">
        <v>310</v>
      </c>
      <c r="D16" s="52" t="s">
        <v>311</v>
      </c>
      <c r="E16" s="52" t="s">
        <v>224</v>
      </c>
      <c r="F16" s="51" t="s">
        <v>312</v>
      </c>
      <c r="G16" s="41" t="s">
        <v>226</v>
      </c>
      <c r="H16" s="41" t="s">
        <v>227</v>
      </c>
      <c r="I16" s="62" t="s">
        <v>228</v>
      </c>
      <c r="J16" s="44" t="s">
        <v>241</v>
      </c>
      <c r="K16" s="53">
        <v>0.1</v>
      </c>
      <c r="L16" s="62" t="s">
        <v>264</v>
      </c>
      <c r="M16" s="52" t="s">
        <v>308</v>
      </c>
      <c r="N16" s="62" t="s">
        <v>243</v>
      </c>
      <c r="O16" s="63"/>
      <c r="P16" s="64">
        <v>5.0</v>
      </c>
      <c r="Q16" s="65">
        <v>46002.0</v>
      </c>
      <c r="R16" s="66">
        <v>46066.0</v>
      </c>
      <c r="S16" s="66">
        <v>46066.0</v>
      </c>
      <c r="T16" s="66">
        <v>46066.0</v>
      </c>
      <c r="U16" s="44" t="s">
        <v>172</v>
      </c>
      <c r="V16" s="56" t="str">
        <f t="array" ref="V16">IF(EXACT(U16, ""), "", XLOOKUP(U16, Equipo[nickname], Equipo[user]))</f>
        <v>rcuevas</v>
      </c>
      <c r="W16" s="44" t="s">
        <v>166</v>
      </c>
      <c r="X16" s="56" t="str">
        <f t="array" ref="X16">IF(EXACT(W16, ""), "", XLOOKUP(W16, Equipo[nickname], Equipo[user]))</f>
        <v>nmejia</v>
      </c>
      <c r="Y16" s="41" t="s">
        <v>174</v>
      </c>
      <c r="Z16" s="41" t="str">
        <f>IFERROR(__xludf.DUMMYFUNCTION("IF(EXACT(Y16, """"), """", TEXTJOIN("", "", TRUE, ARRAYFORMULA(XLOOKUP(TRIM(SPLIT(Y16, "","")), Equipo[nickname], Equipo[user], """"))))"),"jenriquez")</f>
        <v>jenriquez</v>
      </c>
      <c r="AA16" s="56"/>
      <c r="AB16" s="42" t="str">
        <f>IFERROR(__xludf.DUMMYFUNCTION("IF(EXACT(AA16, """"), """", TEXTJOIN("", "", TRUE, ARRAYFORMULA(XLOOKUP(TRIM(SPLIT(AA16, "","")), Equipo[nickname], Equipo[user]))))"),"")</f>
        <v/>
      </c>
      <c r="AC16" s="72" t="s">
        <v>266</v>
      </c>
      <c r="AD16" s="42" t="str">
        <f>IFERROR(__xludf.DUMMYFUNCTION("IF(EXACT(AC16, """"), """", TEXTJOIN("", "", TRUE, ARRAYFORMULA(XLOOKUP(TRIM(SPLIT(AC16, "","")), Equipo[nickname], Equipo[user], """"))))"),"")</f>
        <v/>
      </c>
      <c r="AE16" s="68"/>
      <c r="AF16" s="57" t="str">
        <f>IFERROR(__xludf.DUMMYFUNCTION("IF(EXACT(AE16, """"), """", TEXTJOIN("", "", TRUE, ARRAYFORMULA(XLOOKUP(TRIM(SPLIT(AE16, "","")), Equipo[nickname], Equipo[user], """"))))"),"")</f>
        <v/>
      </c>
      <c r="AG16" s="41" t="s">
        <v>267</v>
      </c>
      <c r="AH16" s="41" t="s">
        <v>267</v>
      </c>
    </row>
    <row r="17" ht="22.5" customHeight="1">
      <c r="A17" s="41">
        <v>1005.0</v>
      </c>
      <c r="B17" s="50" t="s">
        <v>313</v>
      </c>
      <c r="C17" s="41" t="s">
        <v>314</v>
      </c>
      <c r="D17" s="42" t="s">
        <v>315</v>
      </c>
      <c r="E17" s="42" t="s">
        <v>224</v>
      </c>
      <c r="F17" s="41" t="s">
        <v>225</v>
      </c>
      <c r="G17" s="41" t="s">
        <v>226</v>
      </c>
      <c r="H17" s="41" t="s">
        <v>227</v>
      </c>
      <c r="I17" s="44" t="s">
        <v>257</v>
      </c>
      <c r="J17" s="44" t="s">
        <v>229</v>
      </c>
      <c r="K17" s="53">
        <v>0.05</v>
      </c>
      <c r="L17" s="44" t="s">
        <v>230</v>
      </c>
      <c r="M17" s="41" t="s">
        <v>225</v>
      </c>
      <c r="N17" s="44" t="s">
        <v>316</v>
      </c>
      <c r="O17" s="54"/>
      <c r="P17" s="41">
        <v>1.0</v>
      </c>
      <c r="Q17" s="55">
        <v>46058.0</v>
      </c>
      <c r="R17" s="55">
        <v>46125.0</v>
      </c>
      <c r="S17" s="55">
        <v>46356.0</v>
      </c>
      <c r="T17" s="42" t="s">
        <v>233</v>
      </c>
      <c r="U17" s="44" t="s">
        <v>151</v>
      </c>
      <c r="V17" s="56" t="str">
        <f t="array" ref="V17">IF(EXACT(U17, ""), "", XLOOKUP(U17, Equipo[nickname], Equipo[user]))</f>
        <v>hloredo</v>
      </c>
      <c r="W17" s="44" t="s">
        <v>149</v>
      </c>
      <c r="X17" s="56" t="str">
        <f t="array" ref="X17">IF(EXACT(W17, ""), "", XLOOKUP(W17, Equipo[nickname], Equipo[user]))</f>
        <v>dgonzalez</v>
      </c>
      <c r="Y17" s="41" t="s">
        <v>174</v>
      </c>
      <c r="Z17" s="41" t="str">
        <f>IFERROR(__xludf.DUMMYFUNCTION("IF(EXACT(Y17, """"), """", TEXTJOIN("", "", TRUE, ARRAYFORMULA(XLOOKUP(TRIM(SPLIT(Y17, "","")), Equipo[nickname], Equipo[user], """"))))"),"jenriquez")</f>
        <v>jenriquez</v>
      </c>
      <c r="AA17" s="56" t="s">
        <v>296</v>
      </c>
      <c r="AB17" s="41" t="str">
        <f>IFERROR(__xludf.DUMMYFUNCTION("IF(EXACT(AA17, """"), """", TEXTJOIN("", "", TRUE, ARRAYFORMULA(XLOOKUP(TRIM(SPLIT(AA17, "","")), Equipo[nickname], Equipo[user]))))"),"jpatino")</f>
        <v>jpatino</v>
      </c>
      <c r="AC17" s="41" t="s">
        <v>236</v>
      </c>
      <c r="AD17" s="41" t="str">
        <f>IFERROR(__xludf.DUMMYFUNCTION("IF(EXACT(AC17, """"), """", TEXTJOIN("", "", TRUE, ARRAYFORMULA(XLOOKUP(TRIM(SPLIT(AC17, "","")), Equipo[nickname], Equipo[user], """"))))"),"egonzalez")</f>
        <v>egonzalez</v>
      </c>
      <c r="AE17" s="56" t="s">
        <v>297</v>
      </c>
      <c r="AF17" s="57" t="str">
        <f>IFERROR(__xludf.DUMMYFUNCTION("IF(EXACT(AE17, """"), """", TEXTJOIN("", "", TRUE, ARRAYFORMULA(XLOOKUP(TRIM(SPLIT(AE17, "","")), Equipo[nickname], Equipo[user], """"))))"),"eramirez, jenriquez, hloredo")</f>
        <v>eramirez, jenriquez, hloredo</v>
      </c>
      <c r="AG17" s="57" t="s">
        <v>317</v>
      </c>
      <c r="AH17" s="58">
        <v>46164.0</v>
      </c>
    </row>
    <row r="18" ht="22.5" hidden="1" customHeight="1">
      <c r="A18" s="41">
        <v>1047.0</v>
      </c>
      <c r="B18" s="50" t="s">
        <v>318</v>
      </c>
      <c r="C18" s="41" t="s">
        <v>319</v>
      </c>
      <c r="D18" s="42" t="s">
        <v>320</v>
      </c>
      <c r="E18" s="42" t="s">
        <v>224</v>
      </c>
      <c r="F18" s="41" t="s">
        <v>321</v>
      </c>
      <c r="G18" s="41"/>
      <c r="H18" s="41" t="s">
        <v>227</v>
      </c>
      <c r="I18" s="69" t="s">
        <v>257</v>
      </c>
      <c r="J18" s="44" t="s">
        <v>229</v>
      </c>
      <c r="K18" s="53">
        <v>0.5</v>
      </c>
      <c r="L18" s="44" t="s">
        <v>242</v>
      </c>
      <c r="M18" s="42" t="s">
        <v>225</v>
      </c>
      <c r="N18" s="69" t="s">
        <v>316</v>
      </c>
      <c r="O18" s="63"/>
      <c r="P18" s="41">
        <v>1.0</v>
      </c>
      <c r="Q18" s="70">
        <v>46006.0</v>
      </c>
      <c r="R18" s="70">
        <v>46006.0</v>
      </c>
      <c r="S18" s="55">
        <v>46112.0</v>
      </c>
      <c r="T18" s="71">
        <v>46295.0</v>
      </c>
      <c r="U18" s="44" t="s">
        <v>151</v>
      </c>
      <c r="V18" s="56" t="str">
        <f t="array" ref="V18">IF(EXACT(U18, ""), "", XLOOKUP(U18, Equipo[nickname], Equipo[user]))</f>
        <v>hloredo</v>
      </c>
      <c r="W18" s="44" t="s">
        <v>172</v>
      </c>
      <c r="X18" s="56" t="str">
        <f t="array" ref="X18">IF(EXACT(W18, ""), "", XLOOKUP(W18, Equipo[nickname], Equipo[user]))</f>
        <v>rcuevas</v>
      </c>
      <c r="Y18" s="41" t="s">
        <v>172</v>
      </c>
      <c r="Z18" s="41" t="str">
        <f>IFERROR(__xludf.DUMMYFUNCTION("IF(EXACT(Y18, """"), """", TEXTJOIN("", "", TRUE, ARRAYFORMULA(XLOOKUP(TRIM(SPLIT(Y18, "","")), Equipo[nickname], Equipo[user], """"))))"),"rcuevas")</f>
        <v>rcuevas</v>
      </c>
      <c r="AA18" s="56" t="s">
        <v>172</v>
      </c>
      <c r="AB18" s="41" t="str">
        <f>IFERROR(__xludf.DUMMYFUNCTION("IF(EXACT(AA18, """"), """", TEXTJOIN("", "", TRUE, ARRAYFORMULA(XLOOKUP(TRIM(SPLIT(AA18, "","")), Equipo[nickname], Equipo[user]))))"),"rcuevas")</f>
        <v>rcuevas</v>
      </c>
      <c r="AC18" s="41" t="s">
        <v>236</v>
      </c>
      <c r="AD18" s="41" t="str">
        <f>IFERROR(__xludf.DUMMYFUNCTION("IF(EXACT(AC18, """"), """", TEXTJOIN("", "", TRUE, ARRAYFORMULA(XLOOKUP(TRIM(SPLIT(AC18, "","")), Equipo[nickname], Equipo[user], """"))))"),"egonzalez")</f>
        <v>egonzalez</v>
      </c>
      <c r="AE18" s="56" t="s">
        <v>322</v>
      </c>
      <c r="AF18" s="57" t="str">
        <f>IFERROR(__xludf.DUMMYFUNCTION("IF(EXACT(AE18, """"), """", TEXTJOIN("", "", TRUE, ARRAYFORMULA(XLOOKUP(TRIM(SPLIT(AE18, "","")), Equipo[nickname], Equipo[user], """"))))"),"mhernandez")</f>
        <v>mhernandez</v>
      </c>
      <c r="AG18" s="57" t="s">
        <v>323</v>
      </c>
      <c r="AH18" s="58">
        <v>46171.0</v>
      </c>
    </row>
    <row r="19" ht="22.5" hidden="1" customHeight="1">
      <c r="A19" s="41">
        <v>1014.0</v>
      </c>
      <c r="B19" s="50" t="s">
        <v>324</v>
      </c>
      <c r="C19" s="41" t="s">
        <v>325</v>
      </c>
      <c r="D19" s="42" t="s">
        <v>326</v>
      </c>
      <c r="E19" s="42" t="s">
        <v>224</v>
      </c>
      <c r="F19" s="41" t="s">
        <v>225</v>
      </c>
      <c r="G19" s="41" t="s">
        <v>226</v>
      </c>
      <c r="H19" s="41" t="s">
        <v>227</v>
      </c>
      <c r="I19" s="44" t="s">
        <v>327</v>
      </c>
      <c r="J19" s="44" t="s">
        <v>241</v>
      </c>
      <c r="K19" s="53">
        <v>0.9</v>
      </c>
      <c r="L19" s="44" t="s">
        <v>264</v>
      </c>
      <c r="M19" s="41" t="s">
        <v>225</v>
      </c>
      <c r="N19" s="44" t="s">
        <v>231</v>
      </c>
      <c r="O19" s="54" t="s">
        <v>265</v>
      </c>
      <c r="P19" s="41">
        <v>120.0</v>
      </c>
      <c r="Q19" s="55">
        <v>46005.0</v>
      </c>
      <c r="R19" s="55">
        <v>46005.0</v>
      </c>
      <c r="S19" s="55">
        <v>46022.0</v>
      </c>
      <c r="T19" s="71">
        <v>46173.0</v>
      </c>
      <c r="U19" s="44" t="s">
        <v>151</v>
      </c>
      <c r="V19" s="56" t="str">
        <f t="array" ref="V19">IF(EXACT(U19, ""), "", XLOOKUP(U19, Equipo[nickname], Equipo[user]))</f>
        <v>hloredo</v>
      </c>
      <c r="W19" s="44" t="s">
        <v>149</v>
      </c>
      <c r="X19" s="56" t="str">
        <f t="array" ref="X19">IF(EXACT(W19, ""), "", XLOOKUP(W19, Equipo[nickname], Equipo[user]))</f>
        <v>dgonzalez</v>
      </c>
      <c r="Y19" s="41" t="s">
        <v>158</v>
      </c>
      <c r="Z19" s="41" t="str">
        <f>IFERROR(__xludf.DUMMYFUNCTION("IF(EXACT(Y19, """"), """", TEXTJOIN("", "", TRUE, ARRAYFORMULA(XLOOKUP(TRIM(SPLIT(Y19, "","")), Equipo[nickname], Equipo[user], """"))))"),"emontano")</f>
        <v>emontano</v>
      </c>
      <c r="AA19" s="56" t="s">
        <v>234</v>
      </c>
      <c r="AB19" s="41" t="str">
        <f>IFERROR(__xludf.DUMMYFUNCTION("IF(EXACT(AA19, """"), """", TEXTJOIN("", "", TRUE, ARRAYFORMULA(XLOOKUP(TRIM(SPLIT(AA19, "","")), Equipo[nickname], Equipo[user]))))"),"lbernal")</f>
        <v>lbernal</v>
      </c>
      <c r="AC19" s="41" t="s">
        <v>236</v>
      </c>
      <c r="AD19" s="41" t="str">
        <f>IFERROR(__xludf.DUMMYFUNCTION("IF(EXACT(AC19, """"), """", TEXTJOIN("", "", TRUE, ARRAYFORMULA(XLOOKUP(TRIM(SPLIT(AC19, "","")), Equipo[nickname], Equipo[user], """"))))"),"egonzalez")</f>
        <v>egonzalez</v>
      </c>
      <c r="AE19" s="56" t="s">
        <v>328</v>
      </c>
      <c r="AF19" s="57" t="str">
        <f>IFERROR(__xludf.DUMMYFUNCTION("IF(EXACT(AE19, """"), """", TEXTJOIN("", "", TRUE, ARRAYFORMULA(XLOOKUP(TRIM(SPLIT(AE19, "","")), Equipo[nickname], Equipo[user], """"))))"),"egonzalez, emontano, lbernal")</f>
        <v>egonzalez, emontano, lbernal</v>
      </c>
      <c r="AG19" s="57" t="s">
        <v>329</v>
      </c>
      <c r="AH19" s="58">
        <v>46171.0</v>
      </c>
    </row>
    <row r="20" ht="22.5" hidden="1" customHeight="1">
      <c r="A20" s="41">
        <v>1015.0</v>
      </c>
      <c r="B20" s="50" t="s">
        <v>330</v>
      </c>
      <c r="C20" s="41" t="s">
        <v>331</v>
      </c>
      <c r="D20" s="42" t="s">
        <v>332</v>
      </c>
      <c r="E20" s="42" t="s">
        <v>224</v>
      </c>
      <c r="F20" s="41" t="s">
        <v>225</v>
      </c>
      <c r="G20" s="41" t="s">
        <v>226</v>
      </c>
      <c r="H20" s="41" t="s">
        <v>333</v>
      </c>
      <c r="I20" s="44" t="s">
        <v>327</v>
      </c>
      <c r="J20" s="44" t="s">
        <v>241</v>
      </c>
      <c r="K20" s="53">
        <v>0.9</v>
      </c>
      <c r="L20" s="44" t="s">
        <v>264</v>
      </c>
      <c r="M20" s="41" t="s">
        <v>225</v>
      </c>
      <c r="N20" s="44" t="s">
        <v>231</v>
      </c>
      <c r="O20" s="54" t="s">
        <v>232</v>
      </c>
      <c r="P20" s="41">
        <v>100.0</v>
      </c>
      <c r="Q20" s="55">
        <v>46005.0</v>
      </c>
      <c r="R20" s="55">
        <v>46005.0</v>
      </c>
      <c r="S20" s="55">
        <v>46112.0</v>
      </c>
      <c r="T20" s="42" t="s">
        <v>233</v>
      </c>
      <c r="U20" s="44" t="s">
        <v>151</v>
      </c>
      <c r="V20" s="56" t="str">
        <f t="array" ref="V20">IF(EXACT(U20, ""), "", XLOOKUP(U20, Equipo[nickname], Equipo[user]))</f>
        <v>hloredo</v>
      </c>
      <c r="W20" s="44" t="s">
        <v>149</v>
      </c>
      <c r="X20" s="56" t="str">
        <f t="array" ref="X20">IF(EXACT(W20, ""), "", XLOOKUP(W20, Equipo[nickname], Equipo[user]))</f>
        <v>dgonzalez</v>
      </c>
      <c r="Y20" s="41" t="s">
        <v>130</v>
      </c>
      <c r="Z20" s="41" t="str">
        <f>IFERROR(__xludf.DUMMYFUNCTION("IF(EXACT(Y20, """"), """", TEXTJOIN("", "", TRUE, ARRAYFORMULA(XLOOKUP(TRIM(SPLIT(Y20, "","")), Equipo[nickname], Equipo[user], """"))))"),"henriquez")</f>
        <v>henriquez</v>
      </c>
      <c r="AA20" s="56" t="s">
        <v>334</v>
      </c>
      <c r="AB20" s="41" t="str">
        <f>IFERROR(__xludf.DUMMYFUNCTION("IF(EXACT(AA20, """"), """", TEXTJOIN("", "", TRUE, ARRAYFORMULA(XLOOKUP(TRIM(SPLIT(AA20, "","")), Equipo[nickname], Equipo[user]))))"),"henriquez, amorales, czamudio, aserrano")</f>
        <v>henriquez, amorales, czamudio, aserrano</v>
      </c>
      <c r="AC20" s="41" t="s">
        <v>236</v>
      </c>
      <c r="AD20" s="41" t="str">
        <f>IFERROR(__xludf.DUMMYFUNCTION("IF(EXACT(AC20, """"), """", TEXTJOIN("", "", TRUE, ARRAYFORMULA(XLOOKUP(TRIM(SPLIT(AC20, "","")), Equipo[nickname], Equipo[user], """"))))"),"egonzalez")</f>
        <v>egonzalez</v>
      </c>
      <c r="AE20" s="56" t="s">
        <v>335</v>
      </c>
      <c r="AF20" s="57" t="str">
        <f>IFERROR(__xludf.DUMMYFUNCTION("IF(EXACT(AE20, """"), """", TEXTJOIN("", "", TRUE, ARRAYFORMULA(XLOOKUP(TRIM(SPLIT(AE20, "","")), Equipo[nickname], Equipo[user], """"))))"),"fgonzalezr, hloredo, eramirez")</f>
        <v>fgonzalezr, hloredo, eramirez</v>
      </c>
      <c r="AG20" s="57" t="s">
        <v>336</v>
      </c>
      <c r="AH20" s="58">
        <v>46171.0</v>
      </c>
    </row>
    <row r="21" ht="22.5" hidden="1" customHeight="1">
      <c r="A21" s="41">
        <v>1016.0</v>
      </c>
      <c r="B21" s="50" t="s">
        <v>337</v>
      </c>
      <c r="C21" s="41" t="s">
        <v>338</v>
      </c>
      <c r="D21" s="42" t="s">
        <v>339</v>
      </c>
      <c r="E21" s="42" t="s">
        <v>224</v>
      </c>
      <c r="F21" s="41" t="s">
        <v>225</v>
      </c>
      <c r="G21" s="41" t="s">
        <v>226</v>
      </c>
      <c r="H21" s="41" t="s">
        <v>340</v>
      </c>
      <c r="I21" s="44" t="s">
        <v>327</v>
      </c>
      <c r="J21" s="44" t="s">
        <v>272</v>
      </c>
      <c r="K21" s="53">
        <v>0.99</v>
      </c>
      <c r="L21" s="44" t="s">
        <v>264</v>
      </c>
      <c r="M21" s="41" t="s">
        <v>225</v>
      </c>
      <c r="N21" s="44" t="s">
        <v>316</v>
      </c>
      <c r="O21" s="54" t="s">
        <v>273</v>
      </c>
      <c r="P21" s="41">
        <v>13.0</v>
      </c>
      <c r="Q21" s="55">
        <v>46007.0</v>
      </c>
      <c r="R21" s="55">
        <v>46007.0</v>
      </c>
      <c r="S21" s="55">
        <v>46112.0</v>
      </c>
      <c r="T21" s="71">
        <v>46142.0</v>
      </c>
      <c r="U21" s="44" t="s">
        <v>151</v>
      </c>
      <c r="V21" s="56" t="str">
        <f t="array" ref="V21">IF(EXACT(U21, ""), "", XLOOKUP(U21, Equipo[nickname], Equipo[user]))</f>
        <v>hloredo</v>
      </c>
      <c r="W21" s="44" t="s">
        <v>149</v>
      </c>
      <c r="X21" s="56" t="str">
        <f t="array" ref="X21">IF(EXACT(W21, ""), "", XLOOKUP(W21, Equipo[nickname], Equipo[user]))</f>
        <v>dgonzalez</v>
      </c>
      <c r="Y21" s="41" t="s">
        <v>234</v>
      </c>
      <c r="Z21" s="41" t="str">
        <f>IFERROR(__xludf.DUMMYFUNCTION("IF(EXACT(Y21, """"), """", TEXTJOIN("", "", TRUE, ARRAYFORMULA(XLOOKUP(TRIM(SPLIT(Y21, "","")), Equipo[nickname], Equipo[user], """"))))"),"lbernal")</f>
        <v>lbernal</v>
      </c>
      <c r="AA21" s="56" t="s">
        <v>258</v>
      </c>
      <c r="AB21" s="41" t="str">
        <f>IFERROR(__xludf.DUMMYFUNCTION("IF(EXACT(AA21, """"), """", TEXTJOIN("", "", TRUE, ARRAYFORMULA(XLOOKUP(TRIM(SPLIT(AA21, "","")), Equipo[nickname], Equipo[user]))))"),"avazquez")</f>
        <v>avazquez</v>
      </c>
      <c r="AC21" s="41" t="s">
        <v>236</v>
      </c>
      <c r="AD21" s="41" t="str">
        <f>IFERROR(__xludf.DUMMYFUNCTION("IF(EXACT(AC21, """"), """", TEXTJOIN("", "", TRUE, ARRAYFORMULA(XLOOKUP(TRIM(SPLIT(AC21, "","")), Equipo[nickname], Equipo[user], """"))))"),"egonzalez")</f>
        <v>egonzalez</v>
      </c>
      <c r="AE21" s="56"/>
      <c r="AF21" s="57" t="str">
        <f>IFERROR(__xludf.DUMMYFUNCTION("IF(EXACT(AE21, """"), """", TEXTJOIN("", "", TRUE, ARRAYFORMULA(XLOOKUP(TRIM(SPLIT(AE21, "","")), Equipo[nickname], Equipo[user], """"))))"),"")</f>
        <v/>
      </c>
      <c r="AG21" s="41" t="s">
        <v>267</v>
      </c>
      <c r="AH21" s="41" t="s">
        <v>267</v>
      </c>
    </row>
    <row r="22" ht="22.5" hidden="1" customHeight="1">
      <c r="A22" s="41">
        <v>1017.0</v>
      </c>
      <c r="B22" s="50" t="s">
        <v>341</v>
      </c>
      <c r="C22" s="41" t="s">
        <v>342</v>
      </c>
      <c r="D22" s="42" t="s">
        <v>343</v>
      </c>
      <c r="E22" s="42" t="s">
        <v>224</v>
      </c>
      <c r="F22" s="41" t="s">
        <v>225</v>
      </c>
      <c r="G22" s="41" t="s">
        <v>226</v>
      </c>
      <c r="H22" s="41" t="s">
        <v>227</v>
      </c>
      <c r="I22" s="44" t="s">
        <v>327</v>
      </c>
      <c r="J22" s="44" t="s">
        <v>272</v>
      </c>
      <c r="K22" s="53">
        <v>0.99</v>
      </c>
      <c r="L22" s="44" t="s">
        <v>249</v>
      </c>
      <c r="M22" s="41" t="s">
        <v>225</v>
      </c>
      <c r="N22" s="44" t="s">
        <v>231</v>
      </c>
      <c r="O22" s="54" t="s">
        <v>232</v>
      </c>
      <c r="P22" s="41">
        <v>40.0</v>
      </c>
      <c r="Q22" s="55">
        <v>46009.0</v>
      </c>
      <c r="R22" s="55">
        <v>46009.0</v>
      </c>
      <c r="S22" s="55">
        <v>46112.0</v>
      </c>
      <c r="T22" s="71">
        <v>46142.0</v>
      </c>
      <c r="U22" s="44" t="s">
        <v>151</v>
      </c>
      <c r="V22" s="56" t="str">
        <f t="array" ref="V22">IF(EXACT(U22, ""), "", XLOOKUP(U22, Equipo[nickname], Equipo[user]))</f>
        <v>hloredo</v>
      </c>
      <c r="W22" s="44" t="s">
        <v>149</v>
      </c>
      <c r="X22" s="56" t="str">
        <f t="array" ref="X22">IF(EXACT(W22, ""), "", XLOOKUP(W22, Equipo[nickname], Equipo[user]))</f>
        <v>dgonzalez</v>
      </c>
      <c r="Y22" s="41" t="s">
        <v>234</v>
      </c>
      <c r="Z22" s="41" t="str">
        <f>IFERROR(__xludf.DUMMYFUNCTION("IF(EXACT(Y22, """"), """", TEXTJOIN("", "", TRUE, ARRAYFORMULA(XLOOKUP(TRIM(SPLIT(Y22, "","")), Equipo[nickname], Equipo[user], """"))))"),"lbernal")</f>
        <v>lbernal</v>
      </c>
      <c r="AA22" s="56" t="s">
        <v>130</v>
      </c>
      <c r="AB22" s="41" t="str">
        <f>IFERROR(__xludf.DUMMYFUNCTION("IF(EXACT(AA22, """"), """", TEXTJOIN("", "", TRUE, ARRAYFORMULA(XLOOKUP(TRIM(SPLIT(AA22, "","")), Equipo[nickname], Equipo[user]))))"),"henriquez")</f>
        <v>henriquez</v>
      </c>
      <c r="AC22" s="41" t="s">
        <v>236</v>
      </c>
      <c r="AD22" s="41" t="str">
        <f>IFERROR(__xludf.DUMMYFUNCTION("IF(EXACT(AC22, """"), """", TEXTJOIN("", "", TRUE, ARRAYFORMULA(XLOOKUP(TRIM(SPLIT(AC22, "","")), Equipo[nickname], Equipo[user], """"))))"),"egonzalez")</f>
        <v>egonzalez</v>
      </c>
      <c r="AE22" s="56" t="s">
        <v>344</v>
      </c>
      <c r="AF22" s="57" t="str">
        <f>IFERROR(__xludf.DUMMYFUNCTION("IF(EXACT(AE22, """"), """", TEXTJOIN("", "", TRUE, ARRAYFORMULA(XLOOKUP(TRIM(SPLIT(AE22, "","")), Equipo[nickname], Equipo[user], """"))))"),"rcuevas, jenriquez")</f>
        <v>rcuevas, jenriquez</v>
      </c>
      <c r="AG22" s="57" t="s">
        <v>345</v>
      </c>
      <c r="AH22" s="58">
        <v>46171.0</v>
      </c>
    </row>
    <row r="23" ht="22.5" hidden="1" customHeight="1">
      <c r="A23" s="41">
        <v>1018.0</v>
      </c>
      <c r="B23" s="50" t="s">
        <v>346</v>
      </c>
      <c r="C23" s="41" t="s">
        <v>347</v>
      </c>
      <c r="D23" s="42" t="s">
        <v>348</v>
      </c>
      <c r="E23" s="42" t="s">
        <v>224</v>
      </c>
      <c r="F23" s="41" t="s">
        <v>225</v>
      </c>
      <c r="G23" s="41" t="s">
        <v>226</v>
      </c>
      <c r="H23" s="41" t="s">
        <v>349</v>
      </c>
      <c r="I23" s="44" t="s">
        <v>327</v>
      </c>
      <c r="J23" s="44" t="s">
        <v>272</v>
      </c>
      <c r="K23" s="53">
        <v>0.97</v>
      </c>
      <c r="L23" s="44" t="s">
        <v>264</v>
      </c>
      <c r="M23" s="41" t="s">
        <v>225</v>
      </c>
      <c r="N23" s="44" t="s">
        <v>231</v>
      </c>
      <c r="O23" s="54" t="s">
        <v>232</v>
      </c>
      <c r="P23" s="41">
        <v>13.0</v>
      </c>
      <c r="Q23" s="55">
        <v>46057.0</v>
      </c>
      <c r="R23" s="55">
        <v>46057.0</v>
      </c>
      <c r="S23" s="55">
        <v>46112.0</v>
      </c>
      <c r="T23" s="71">
        <v>46142.0</v>
      </c>
      <c r="U23" s="44" t="s">
        <v>151</v>
      </c>
      <c r="V23" s="56" t="str">
        <f t="array" ref="V23">IF(EXACT(U23, ""), "", XLOOKUP(U23, Equipo[nickname], Equipo[user]))</f>
        <v>hloredo</v>
      </c>
      <c r="W23" s="44" t="s">
        <v>149</v>
      </c>
      <c r="X23" s="56" t="str">
        <f t="array" ref="X23">IF(EXACT(W23, ""), "", XLOOKUP(W23, Equipo[nickname], Equipo[user]))</f>
        <v>dgonzalez</v>
      </c>
      <c r="Y23" s="41" t="s">
        <v>234</v>
      </c>
      <c r="Z23" s="41" t="str">
        <f>IFERROR(__xludf.DUMMYFUNCTION("IF(EXACT(Y23, """"), """", TEXTJOIN("", "", TRUE, ARRAYFORMULA(XLOOKUP(TRIM(SPLIT(Y23, "","")), Equipo[nickname], Equipo[user], """"))))"),"lbernal")</f>
        <v>lbernal</v>
      </c>
      <c r="AA23" s="56" t="s">
        <v>350</v>
      </c>
      <c r="AB23" s="41" t="str">
        <f>IFERROR(__xludf.DUMMYFUNCTION("IF(EXACT(AA23, """"), """", TEXTJOIN("", "", TRUE, ARRAYFORMULA(XLOOKUP(TRIM(SPLIT(AA23, "","")), Equipo[nickname], Equipo[user]))))"),"econtreras")</f>
        <v>econtreras</v>
      </c>
      <c r="AC23" s="41" t="s">
        <v>236</v>
      </c>
      <c r="AD23" s="41" t="str">
        <f>IFERROR(__xludf.DUMMYFUNCTION("IF(EXACT(AC23, """"), """", TEXTJOIN("", "", TRUE, ARRAYFORMULA(XLOOKUP(TRIM(SPLIT(AC23, "","")), Equipo[nickname], Equipo[user], """"))))"),"egonzalez")</f>
        <v>egonzalez</v>
      </c>
      <c r="AE23" s="56" t="s">
        <v>351</v>
      </c>
      <c r="AF23" s="57" t="str">
        <f>IFERROR(__xludf.DUMMYFUNCTION("IF(EXACT(AE23, """"), """", TEXTJOIN("", "", TRUE, ARRAYFORMULA(XLOOKUP(TRIM(SPLIT(AE23, "","")), Equipo[nickname], Equipo[user], """"))))"),"rcuevas")</f>
        <v>rcuevas</v>
      </c>
      <c r="AG23" s="57" t="s">
        <v>352</v>
      </c>
      <c r="AH23" s="58">
        <v>46171.0</v>
      </c>
    </row>
    <row r="24" ht="22.5" hidden="1" customHeight="1">
      <c r="A24" s="41">
        <v>1019.0</v>
      </c>
      <c r="B24" s="50" t="s">
        <v>353</v>
      </c>
      <c r="C24" s="41" t="s">
        <v>354</v>
      </c>
      <c r="D24" s="42" t="s">
        <v>355</v>
      </c>
      <c r="E24" s="42" t="s">
        <v>224</v>
      </c>
      <c r="F24" s="41" t="s">
        <v>225</v>
      </c>
      <c r="G24" s="41" t="s">
        <v>226</v>
      </c>
      <c r="H24" s="41" t="s">
        <v>227</v>
      </c>
      <c r="I24" s="44" t="s">
        <v>327</v>
      </c>
      <c r="J24" s="44" t="s">
        <v>272</v>
      </c>
      <c r="K24" s="53">
        <v>0.9</v>
      </c>
      <c r="L24" s="44" t="s">
        <v>230</v>
      </c>
      <c r="M24" s="41" t="s">
        <v>225</v>
      </c>
      <c r="N24" s="44" t="s">
        <v>243</v>
      </c>
      <c r="O24" s="54" t="s">
        <v>356</v>
      </c>
      <c r="P24" s="41">
        <v>100.0</v>
      </c>
      <c r="Q24" s="55">
        <v>46092.0</v>
      </c>
      <c r="R24" s="55">
        <v>46092.0</v>
      </c>
      <c r="S24" s="55">
        <v>46112.0</v>
      </c>
      <c r="T24" s="71">
        <v>46142.0</v>
      </c>
      <c r="U24" s="44" t="s">
        <v>151</v>
      </c>
      <c r="V24" s="56" t="str">
        <f t="array" ref="V24">IF(EXACT(U24, ""), "", XLOOKUP(U24, Equipo[nickname], Equipo[user]))</f>
        <v>hloredo</v>
      </c>
      <c r="W24" s="44" t="s">
        <v>149</v>
      </c>
      <c r="X24" s="56" t="str">
        <f t="array" ref="X24">IF(EXACT(W24, ""), "", XLOOKUP(W24, Equipo[nickname], Equipo[user]))</f>
        <v>dgonzalez</v>
      </c>
      <c r="Y24" s="41" t="s">
        <v>174</v>
      </c>
      <c r="Z24" s="41" t="str">
        <f>IFERROR(__xludf.DUMMYFUNCTION("IF(EXACT(Y24, """"), """", TEXTJOIN("", "", TRUE, ARRAYFORMULA(XLOOKUP(TRIM(SPLIT(Y24, "","")), Equipo[nickname], Equipo[user], """"))))"),"jenriquez")</f>
        <v>jenriquez</v>
      </c>
      <c r="AA24" s="56" t="s">
        <v>158</v>
      </c>
      <c r="AB24" s="41" t="str">
        <f>IFERROR(__xludf.DUMMYFUNCTION("IF(EXACT(AA24, """"), """", TEXTJOIN("", "", TRUE, ARRAYFORMULA(XLOOKUP(TRIM(SPLIT(AA24, "","")), Equipo[nickname], Equipo[user]))))"),"emontano")</f>
        <v>emontano</v>
      </c>
      <c r="AC24" s="41" t="s">
        <v>236</v>
      </c>
      <c r="AD24" s="41" t="str">
        <f>IFERROR(__xludf.DUMMYFUNCTION("IF(EXACT(AC24, """"), """", TEXTJOIN("", "", TRUE, ARRAYFORMULA(XLOOKUP(TRIM(SPLIT(AC24, "","")), Equipo[nickname], Equipo[user], """"))))"),"egonzalez")</f>
        <v>egonzalez</v>
      </c>
      <c r="AE24" s="56" t="s">
        <v>357</v>
      </c>
      <c r="AF24" s="57" t="str">
        <f>IFERROR(__xludf.DUMMYFUNCTION("IF(EXACT(AE24, """"), """", TEXTJOIN("", "", TRUE, ARRAYFORMULA(XLOOKUP(TRIM(SPLIT(AE24, "","")), Equipo[nickname], Equipo[user], """"))))"),"jenriquez, hloredo")</f>
        <v>jenriquez, hloredo</v>
      </c>
      <c r="AG24" s="57" t="s">
        <v>358</v>
      </c>
      <c r="AH24" s="58">
        <v>46164.0</v>
      </c>
    </row>
    <row r="25" ht="22.5" hidden="1" customHeight="1">
      <c r="A25" s="41">
        <v>1020.0</v>
      </c>
      <c r="B25" s="50" t="s">
        <v>359</v>
      </c>
      <c r="C25" s="41" t="s">
        <v>360</v>
      </c>
      <c r="D25" s="42" t="s">
        <v>361</v>
      </c>
      <c r="E25" s="42" t="s">
        <v>224</v>
      </c>
      <c r="F25" s="41" t="s">
        <v>225</v>
      </c>
      <c r="G25" s="41" t="s">
        <v>226</v>
      </c>
      <c r="H25" s="41" t="s">
        <v>227</v>
      </c>
      <c r="I25" s="44" t="s">
        <v>327</v>
      </c>
      <c r="J25" s="44" t="s">
        <v>241</v>
      </c>
      <c r="K25" s="53">
        <v>0.9</v>
      </c>
      <c r="L25" s="44" t="s">
        <v>249</v>
      </c>
      <c r="M25" s="41" t="s">
        <v>225</v>
      </c>
      <c r="N25" s="44" t="s">
        <v>231</v>
      </c>
      <c r="O25" s="54" t="s">
        <v>295</v>
      </c>
      <c r="P25" s="41">
        <v>40.0</v>
      </c>
      <c r="Q25" s="55">
        <v>46118.0</v>
      </c>
      <c r="R25" s="55">
        <v>46132.0</v>
      </c>
      <c r="S25" s="55">
        <v>46142.0</v>
      </c>
      <c r="T25" s="70">
        <v>46173.0</v>
      </c>
      <c r="U25" s="44" t="s">
        <v>151</v>
      </c>
      <c r="V25" s="56" t="str">
        <f t="array" ref="V25">IF(EXACT(U25, ""), "", XLOOKUP(U25, Equipo[nickname], Equipo[user]))</f>
        <v>hloredo</v>
      </c>
      <c r="W25" s="44" t="s">
        <v>149</v>
      </c>
      <c r="X25" s="56" t="str">
        <f t="array" ref="X25">IF(EXACT(W25, ""), "", XLOOKUP(W25, Equipo[nickname], Equipo[user]))</f>
        <v>dgonzalez</v>
      </c>
      <c r="Y25" s="41" t="s">
        <v>234</v>
      </c>
      <c r="Z25" s="41" t="str">
        <f>IFERROR(__xludf.DUMMYFUNCTION("IF(EXACT(Y25, """"), """", TEXTJOIN("", "", TRUE, ARRAYFORMULA(XLOOKUP(TRIM(SPLIT(Y25, "","")), Equipo[nickname], Equipo[user], """"))))"),"lbernal")</f>
        <v>lbernal</v>
      </c>
      <c r="AA25" s="56" t="s">
        <v>362</v>
      </c>
      <c r="AB25" s="41" t="str">
        <f>IFERROR(__xludf.DUMMYFUNCTION("IF(EXACT(AA25, """"), """", TEXTJOIN("", "", TRUE, ARRAYFORMULA(XLOOKUP(TRIM(SPLIT(AA25, "","")), Equipo[nickname], Equipo[user]))))"),"henriquez, jlopez, alara")</f>
        <v>henriquez, jlopez, alara</v>
      </c>
      <c r="AC25" s="41" t="s">
        <v>236</v>
      </c>
      <c r="AD25" s="41" t="str">
        <f>IFERROR(__xludf.DUMMYFUNCTION("IF(EXACT(AC25, """"), """", TEXTJOIN("", "", TRUE, ARRAYFORMULA(XLOOKUP(TRIM(SPLIT(AC25, "","")), Equipo[nickname], Equipo[user], """"))))"),"egonzalez")</f>
        <v>egonzalez</v>
      </c>
      <c r="AE25" s="56" t="s">
        <v>363</v>
      </c>
      <c r="AF25" s="57" t="str">
        <f>IFERROR(__xludf.DUMMYFUNCTION("IF(EXACT(AE25, """"), """", TEXTJOIN("", "", TRUE, ARRAYFORMULA(XLOOKUP(TRIM(SPLIT(AE25, "","")), Equipo[nickname], Equipo[user], """"))))"),"lbernal, hloredo")</f>
        <v>lbernal, hloredo</v>
      </c>
      <c r="AG25" s="57" t="s">
        <v>364</v>
      </c>
      <c r="AH25" s="58">
        <v>46142.0</v>
      </c>
    </row>
    <row r="26" ht="22.5" hidden="1" customHeight="1">
      <c r="A26" s="41">
        <v>1029.0</v>
      </c>
      <c r="B26" s="50" t="s">
        <v>365</v>
      </c>
      <c r="C26" s="41" t="s">
        <v>366</v>
      </c>
      <c r="D26" s="42" t="s">
        <v>367</v>
      </c>
      <c r="E26" s="42" t="s">
        <v>224</v>
      </c>
      <c r="F26" s="41" t="s">
        <v>225</v>
      </c>
      <c r="G26" s="41" t="s">
        <v>226</v>
      </c>
      <c r="H26" s="41" t="s">
        <v>368</v>
      </c>
      <c r="I26" s="44" t="s">
        <v>327</v>
      </c>
      <c r="J26" s="44" t="s">
        <v>272</v>
      </c>
      <c r="K26" s="53">
        <v>0.9</v>
      </c>
      <c r="L26" s="44" t="s">
        <v>230</v>
      </c>
      <c r="M26" s="41" t="s">
        <v>225</v>
      </c>
      <c r="N26" s="44" t="s">
        <v>231</v>
      </c>
      <c r="O26" s="54" t="s">
        <v>232</v>
      </c>
      <c r="P26" s="41">
        <v>100.0</v>
      </c>
      <c r="Q26" s="55">
        <v>46091.0</v>
      </c>
      <c r="R26" s="55">
        <v>46091.0</v>
      </c>
      <c r="S26" s="55">
        <v>46112.0</v>
      </c>
      <c r="T26" s="55">
        <v>46164.0</v>
      </c>
      <c r="U26" s="44" t="s">
        <v>151</v>
      </c>
      <c r="V26" s="56" t="str">
        <f t="array" ref="V26">IF(EXACT(U26, ""), "", XLOOKUP(U26, Equipo[nickname], Equipo[user]))</f>
        <v>hloredo</v>
      </c>
      <c r="W26" s="44" t="s">
        <v>149</v>
      </c>
      <c r="X26" s="56" t="str">
        <f t="array" ref="X26">IF(EXACT(W26, ""), "", XLOOKUP(W26, Equipo[nickname], Equipo[user]))</f>
        <v>dgonzalez</v>
      </c>
      <c r="Y26" s="41" t="s">
        <v>234</v>
      </c>
      <c r="Z26" s="41" t="str">
        <f>IFERROR(__xludf.DUMMYFUNCTION("IF(EXACT(Y26, """"), """", TEXTJOIN("", "", TRUE, ARRAYFORMULA(XLOOKUP(TRIM(SPLIT(Y26, "","")), Equipo[nickname], Equipo[user], """"))))"),"lbernal")</f>
        <v>lbernal</v>
      </c>
      <c r="AA26" s="56" t="s">
        <v>258</v>
      </c>
      <c r="AB26" s="41" t="str">
        <f>IFERROR(__xludf.DUMMYFUNCTION("IF(EXACT(AA26, """"), """", TEXTJOIN("", "", TRUE, ARRAYFORMULA(XLOOKUP(TRIM(SPLIT(AA26, "","")), Equipo[nickname], Equipo[user]))))"),"avazquez")</f>
        <v>avazquez</v>
      </c>
      <c r="AC26" s="41" t="s">
        <v>236</v>
      </c>
      <c r="AD26" s="41" t="str">
        <f>IFERROR(__xludf.DUMMYFUNCTION("IF(EXACT(AC26, """"), """", TEXTJOIN("", "", TRUE, ARRAYFORMULA(XLOOKUP(TRIM(SPLIT(AC26, "","")), Equipo[nickname], Equipo[user], """"))))"),"egonzalez")</f>
        <v>egonzalez</v>
      </c>
      <c r="AE26" s="56"/>
      <c r="AF26" s="57" t="str">
        <f>IFERROR(__xludf.DUMMYFUNCTION("IF(EXACT(AE26, """"), """", TEXTJOIN("", "", TRUE, ARRAYFORMULA(XLOOKUP(TRIM(SPLIT(AE26, "","")), Equipo[nickname], Equipo[user], """"))))"),"")</f>
        <v/>
      </c>
      <c r="AG26" s="57"/>
      <c r="AH26" s="58"/>
    </row>
    <row r="27" ht="22.5" hidden="1" customHeight="1">
      <c r="A27" s="41">
        <v>1021.0</v>
      </c>
      <c r="B27" s="50" t="s">
        <v>369</v>
      </c>
      <c r="C27" s="41" t="s">
        <v>370</v>
      </c>
      <c r="D27" s="42" t="s">
        <v>371</v>
      </c>
      <c r="E27" s="42" t="s">
        <v>224</v>
      </c>
      <c r="F27" s="41" t="s">
        <v>225</v>
      </c>
      <c r="G27" s="41" t="s">
        <v>277</v>
      </c>
      <c r="H27" s="41" t="s">
        <v>227</v>
      </c>
      <c r="I27" s="69" t="s">
        <v>372</v>
      </c>
      <c r="J27" s="44" t="s">
        <v>272</v>
      </c>
      <c r="K27" s="53">
        <v>0.5</v>
      </c>
      <c r="L27" s="44" t="s">
        <v>242</v>
      </c>
      <c r="M27" s="42" t="s">
        <v>225</v>
      </c>
      <c r="N27" s="69" t="s">
        <v>373</v>
      </c>
      <c r="O27" s="63" t="s">
        <v>356</v>
      </c>
      <c r="P27" s="41">
        <v>2.0</v>
      </c>
      <c r="Q27" s="70">
        <v>46005.0</v>
      </c>
      <c r="R27" s="70">
        <v>46005.0</v>
      </c>
      <c r="S27" s="55">
        <v>46112.0</v>
      </c>
      <c r="T27" s="42" t="s">
        <v>233</v>
      </c>
      <c r="U27" s="44" t="s">
        <v>151</v>
      </c>
      <c r="V27" s="56" t="str">
        <f t="array" ref="V27">IF(EXACT(U27, ""), "", XLOOKUP(U27, Equipo[nickname], Equipo[user]))</f>
        <v>hloredo</v>
      </c>
      <c r="W27" s="44" t="s">
        <v>149</v>
      </c>
      <c r="X27" s="56"/>
      <c r="Y27" s="41"/>
      <c r="Z27" s="41" t="str">
        <f>IFERROR(__xludf.DUMMYFUNCTION("IF(EXACT(Y27, """"), """", TEXTJOIN("", "", TRUE, ARRAYFORMULA(XLOOKUP(TRIM(SPLIT(Y27, "","")), Equipo[nickname], Equipo[user], """"))))"),"")</f>
        <v/>
      </c>
      <c r="AA27" s="56"/>
      <c r="AB27" s="42" t="str">
        <f>IFERROR(__xludf.DUMMYFUNCTION("IF(EXACT(AA27, """"), """", TEXTJOIN("", "", TRUE, ARRAYFORMULA(XLOOKUP(TRIM(SPLIT(AA27, "","")), Equipo[nickname], Equipo[user]))))"),"")</f>
        <v/>
      </c>
      <c r="AC27" s="42" t="s">
        <v>236</v>
      </c>
      <c r="AD27" s="42" t="str">
        <f>IFERROR(__xludf.DUMMYFUNCTION("IF(EXACT(AC27, """"), """", TEXTJOIN("", "", TRUE, ARRAYFORMULA(XLOOKUP(TRIM(SPLIT(AC27, "","")), Equipo[nickname], Equipo[user], """"))))"),"egonzalez")</f>
        <v>egonzalez</v>
      </c>
      <c r="AE27" s="68" t="s">
        <v>374</v>
      </c>
      <c r="AF27" s="57" t="str">
        <f>IFERROR(__xludf.DUMMYFUNCTION("IF(EXACT(AE27, """"), """", TEXTJOIN("", "", TRUE, ARRAYFORMULA(XLOOKUP(TRIM(SPLIT(AE27, "","")), Equipo[nickname], Equipo[user], """"))))"),"fgonzalez, fgonzalezr, hloredo")</f>
        <v>fgonzalez, fgonzalezr, hloredo</v>
      </c>
      <c r="AG27" s="57" t="s">
        <v>375</v>
      </c>
      <c r="AH27" s="58">
        <v>46142.0</v>
      </c>
    </row>
    <row r="28" ht="22.5" hidden="1" customHeight="1">
      <c r="A28" s="41">
        <v>1022.0</v>
      </c>
      <c r="B28" s="50" t="s">
        <v>376</v>
      </c>
      <c r="C28" s="41" t="s">
        <v>377</v>
      </c>
      <c r="D28" s="42" t="s">
        <v>378</v>
      </c>
      <c r="E28" s="42" t="s">
        <v>224</v>
      </c>
      <c r="F28" s="41" t="s">
        <v>225</v>
      </c>
      <c r="G28" s="41" t="s">
        <v>226</v>
      </c>
      <c r="H28" s="41" t="s">
        <v>227</v>
      </c>
      <c r="I28" s="69" t="s">
        <v>372</v>
      </c>
      <c r="J28" s="44" t="s">
        <v>241</v>
      </c>
      <c r="K28" s="53">
        <v>0.2</v>
      </c>
      <c r="L28" s="44" t="s">
        <v>230</v>
      </c>
      <c r="M28" s="42" t="s">
        <v>225</v>
      </c>
      <c r="N28" s="69" t="s">
        <v>316</v>
      </c>
      <c r="O28" s="63" t="s">
        <v>379</v>
      </c>
      <c r="P28" s="41">
        <v>1.0</v>
      </c>
      <c r="Q28" s="70">
        <v>46005.0</v>
      </c>
      <c r="R28" s="70">
        <v>46005.0</v>
      </c>
      <c r="S28" s="55">
        <v>46203.0</v>
      </c>
      <c r="T28" s="42" t="s">
        <v>233</v>
      </c>
      <c r="U28" s="44" t="s">
        <v>151</v>
      </c>
      <c r="V28" s="56" t="str">
        <f t="array" ref="V28">IF(EXACT(U28, ""), "", XLOOKUP(U28, Equipo[nickname], Equipo[user]))</f>
        <v>hloredo</v>
      </c>
      <c r="W28" s="44" t="s">
        <v>149</v>
      </c>
      <c r="X28" s="56"/>
      <c r="Y28" s="41" t="s">
        <v>234</v>
      </c>
      <c r="Z28" s="41" t="str">
        <f>IFERROR(__xludf.DUMMYFUNCTION("IF(EXACT(Y28, """"), """", TEXTJOIN("", "", TRUE, ARRAYFORMULA(XLOOKUP(TRIM(SPLIT(Y28, "","")), Equipo[nickname], Equipo[user], """"))))"),"lbernal")</f>
        <v>lbernal</v>
      </c>
      <c r="AA28" s="56" t="s">
        <v>234</v>
      </c>
      <c r="AB28" s="42" t="str">
        <f>IFERROR(__xludf.DUMMYFUNCTION("IF(EXACT(AA28, """"), """", TEXTJOIN("", "", TRUE, ARRAYFORMULA(XLOOKUP(TRIM(SPLIT(AA28, "","")), Equipo[nickname], Equipo[user]))))"),"lbernal")</f>
        <v>lbernal</v>
      </c>
      <c r="AC28" s="42" t="s">
        <v>236</v>
      </c>
      <c r="AD28" s="42" t="str">
        <f>IFERROR(__xludf.DUMMYFUNCTION("IF(EXACT(AC28, """"), """", TEXTJOIN("", "", TRUE, ARRAYFORMULA(XLOOKUP(TRIM(SPLIT(AC28, "","")), Equipo[nickname], Equipo[user], """"))))"),"egonzalez")</f>
        <v>egonzalez</v>
      </c>
      <c r="AE28" s="68" t="s">
        <v>234</v>
      </c>
      <c r="AF28" s="57" t="str">
        <f>IFERROR(__xludf.DUMMYFUNCTION("IF(EXACT(AE28, """"), """", TEXTJOIN("", "", TRUE, ARRAYFORMULA(XLOOKUP(TRIM(SPLIT(AE28, "","")), Equipo[nickname], Equipo[user], """"))))"),"lbernal")</f>
        <v>lbernal</v>
      </c>
      <c r="AG28" s="57" t="s">
        <v>380</v>
      </c>
      <c r="AH28" s="58">
        <v>46142.0</v>
      </c>
    </row>
    <row r="29" ht="22.5" hidden="1" customHeight="1">
      <c r="A29" s="41">
        <v>1023.0</v>
      </c>
      <c r="B29" s="50" t="s">
        <v>381</v>
      </c>
      <c r="C29" s="41" t="s">
        <v>382</v>
      </c>
      <c r="D29" s="42" t="s">
        <v>383</v>
      </c>
      <c r="E29" s="42" t="s">
        <v>224</v>
      </c>
      <c r="F29" s="41" t="s">
        <v>225</v>
      </c>
      <c r="G29" s="41" t="s">
        <v>277</v>
      </c>
      <c r="H29" s="41" t="s">
        <v>227</v>
      </c>
      <c r="I29" s="69" t="s">
        <v>372</v>
      </c>
      <c r="J29" s="44" t="s">
        <v>272</v>
      </c>
      <c r="K29" s="53">
        <v>0.3</v>
      </c>
      <c r="L29" s="44" t="s">
        <v>264</v>
      </c>
      <c r="M29" s="42" t="s">
        <v>225</v>
      </c>
      <c r="N29" s="69" t="s">
        <v>373</v>
      </c>
      <c r="O29" s="63"/>
      <c r="P29" s="41">
        <v>100.0</v>
      </c>
      <c r="Q29" s="70">
        <v>46005.0</v>
      </c>
      <c r="R29" s="70">
        <v>46005.0</v>
      </c>
      <c r="S29" s="55">
        <v>46387.0</v>
      </c>
      <c r="T29" s="42" t="s">
        <v>233</v>
      </c>
      <c r="U29" s="44" t="s">
        <v>151</v>
      </c>
      <c r="V29" s="56" t="str">
        <f t="array" ref="V29">IF(EXACT(U29, ""), "", XLOOKUP(U29, Equipo[nickname], Equipo[user]))</f>
        <v>hloredo</v>
      </c>
      <c r="W29" s="44" t="s">
        <v>149</v>
      </c>
      <c r="X29" s="56"/>
      <c r="Y29" s="41"/>
      <c r="Z29" s="41" t="str">
        <f>IFERROR(__xludf.DUMMYFUNCTION("IF(EXACT(Y29, """"), """", TEXTJOIN("", "", TRUE, ARRAYFORMULA(XLOOKUP(TRIM(SPLIT(Y29, "","")), Equipo[nickname], Equipo[user], """"))))"),"")</f>
        <v/>
      </c>
      <c r="AA29" s="56"/>
      <c r="AB29" s="42" t="str">
        <f>IFERROR(__xludf.DUMMYFUNCTION("IF(EXACT(AA29, """"), """", TEXTJOIN("", "", TRUE, ARRAYFORMULA(XLOOKUP(TRIM(SPLIT(AA29, "","")), Equipo[nickname], Equipo[user]))))"),"")</f>
        <v/>
      </c>
      <c r="AC29" s="42" t="s">
        <v>236</v>
      </c>
      <c r="AD29" s="42" t="str">
        <f>IFERROR(__xludf.DUMMYFUNCTION("IF(EXACT(AC29, """"), """", TEXTJOIN("", "", TRUE, ARRAYFORMULA(XLOOKUP(TRIM(SPLIT(AC29, "","")), Equipo[nickname], Equipo[user], """"))))"),"egonzalez")</f>
        <v>egonzalez</v>
      </c>
      <c r="AE29" s="68" t="s">
        <v>384</v>
      </c>
      <c r="AF29" s="57" t="str">
        <f>IFERROR(__xludf.DUMMYFUNCTION("IF(EXACT(AE29, """"), """", TEXTJOIN("", "", TRUE, ARRAYFORMULA(XLOOKUP(TRIM(SPLIT(AE29, "","")), Equipo[nickname], Equipo[user], """"))))"),"")</f>
        <v/>
      </c>
      <c r="AG29" s="57" t="s">
        <v>385</v>
      </c>
      <c r="AH29" s="58">
        <v>46142.0</v>
      </c>
    </row>
    <row r="30" ht="22.5" hidden="1" customHeight="1">
      <c r="A30" s="41">
        <v>1024.0</v>
      </c>
      <c r="B30" s="50" t="s">
        <v>386</v>
      </c>
      <c r="C30" s="41" t="s">
        <v>387</v>
      </c>
      <c r="D30" s="42" t="s">
        <v>388</v>
      </c>
      <c r="E30" s="42" t="s">
        <v>224</v>
      </c>
      <c r="F30" s="41" t="s">
        <v>225</v>
      </c>
      <c r="G30" s="41" t="s">
        <v>277</v>
      </c>
      <c r="H30" s="41" t="s">
        <v>227</v>
      </c>
      <c r="I30" s="69" t="s">
        <v>372</v>
      </c>
      <c r="J30" s="44" t="s">
        <v>272</v>
      </c>
      <c r="K30" s="53">
        <v>0.1</v>
      </c>
      <c r="L30" s="44" t="s">
        <v>230</v>
      </c>
      <c r="M30" s="42" t="s">
        <v>225</v>
      </c>
      <c r="N30" s="69" t="s">
        <v>373</v>
      </c>
      <c r="O30" s="63"/>
      <c r="P30" s="41">
        <v>5.0</v>
      </c>
      <c r="Q30" s="70">
        <v>46005.0</v>
      </c>
      <c r="R30" s="70">
        <v>46005.0</v>
      </c>
      <c r="S30" s="55">
        <v>46387.0</v>
      </c>
      <c r="T30" s="42" t="s">
        <v>233</v>
      </c>
      <c r="U30" s="44" t="s">
        <v>151</v>
      </c>
      <c r="V30" s="56" t="str">
        <f t="array" ref="V30">IF(EXACT(U30, ""), "", XLOOKUP(U30, Equipo[nickname], Equipo[user]))</f>
        <v>hloredo</v>
      </c>
      <c r="W30" s="44" t="s">
        <v>149</v>
      </c>
      <c r="X30" s="56"/>
      <c r="Y30" s="56"/>
      <c r="Z30" s="41" t="str">
        <f>IFERROR(__xludf.DUMMYFUNCTION("IF(EXACT(Y30, """"), """", TEXTJOIN("", "", TRUE, ARRAYFORMULA(XLOOKUP(TRIM(SPLIT(Y30, "","")), Equipo[nickname], Equipo[user], """"))))"),"")</f>
        <v/>
      </c>
      <c r="AA30" s="56"/>
      <c r="AB30" s="42" t="str">
        <f>IFERROR(__xludf.DUMMYFUNCTION("IF(EXACT(AA30, """"), """", TEXTJOIN("", "", TRUE, ARRAYFORMULA(XLOOKUP(TRIM(SPLIT(AA30, "","")), Equipo[nickname], Equipo[user]))))"),"")</f>
        <v/>
      </c>
      <c r="AC30" s="42" t="s">
        <v>266</v>
      </c>
      <c r="AD30" s="42" t="str">
        <f>IFERROR(__xludf.DUMMYFUNCTION("IF(EXACT(AC30, """"), """", TEXTJOIN("", "", TRUE, ARRAYFORMULA(XLOOKUP(TRIM(SPLIT(AC30, "","")), Equipo[nickname], Equipo[user], """"))))"),"")</f>
        <v/>
      </c>
      <c r="AE30" s="68" t="s">
        <v>384</v>
      </c>
      <c r="AF30" s="57" t="str">
        <f>IFERROR(__xludf.DUMMYFUNCTION("IF(EXACT(AE30, """"), """", TEXTJOIN("", "", TRUE, ARRAYFORMULA(XLOOKUP(TRIM(SPLIT(AE30, "","")), Equipo[nickname], Equipo[user], """"))))"),"")</f>
        <v/>
      </c>
      <c r="AG30" s="57" t="s">
        <v>385</v>
      </c>
      <c r="AH30" s="58">
        <v>46161.0</v>
      </c>
    </row>
    <row r="31" ht="22.5" hidden="1" customHeight="1">
      <c r="A31" s="41">
        <v>1025.0</v>
      </c>
      <c r="B31" s="50" t="s">
        <v>389</v>
      </c>
      <c r="C31" s="41" t="s">
        <v>390</v>
      </c>
      <c r="D31" s="42" t="s">
        <v>391</v>
      </c>
      <c r="E31" s="42" t="s">
        <v>224</v>
      </c>
      <c r="F31" s="41" t="s">
        <v>225</v>
      </c>
      <c r="G31" s="41" t="s">
        <v>226</v>
      </c>
      <c r="H31" s="41" t="s">
        <v>227</v>
      </c>
      <c r="I31" s="69" t="s">
        <v>372</v>
      </c>
      <c r="J31" s="44" t="s">
        <v>272</v>
      </c>
      <c r="K31" s="53">
        <v>0.1</v>
      </c>
      <c r="L31" s="44" t="s">
        <v>264</v>
      </c>
      <c r="M31" s="42" t="s">
        <v>225</v>
      </c>
      <c r="N31" s="69" t="s">
        <v>373</v>
      </c>
      <c r="O31" s="63"/>
      <c r="P31" s="41">
        <v>100.0</v>
      </c>
      <c r="Q31" s="70">
        <v>46009.0</v>
      </c>
      <c r="R31" s="70">
        <v>46009.0</v>
      </c>
      <c r="S31" s="55">
        <v>46387.0</v>
      </c>
      <c r="T31" s="42" t="s">
        <v>233</v>
      </c>
      <c r="U31" s="44" t="s">
        <v>151</v>
      </c>
      <c r="V31" s="56" t="str">
        <f t="array" ref="V31">IF(EXACT(U31, ""), "", XLOOKUP(U31, Equipo[nickname], Equipo[user]))</f>
        <v>hloredo</v>
      </c>
      <c r="W31" s="44" t="s">
        <v>149</v>
      </c>
      <c r="X31" s="56"/>
      <c r="Y31" s="56"/>
      <c r="Z31" s="41" t="str">
        <f>IFERROR(__xludf.DUMMYFUNCTION("IF(EXACT(Y31, """"), """", TEXTJOIN("", "", TRUE, ARRAYFORMULA(XLOOKUP(TRIM(SPLIT(Y31, "","")), Equipo[nickname], Equipo[user], """"))))"),"")</f>
        <v/>
      </c>
      <c r="AA31" s="56"/>
      <c r="AB31" s="42" t="str">
        <f>IFERROR(__xludf.DUMMYFUNCTION("IF(EXACT(AA31, """"), """", TEXTJOIN("", "", TRUE, ARRAYFORMULA(XLOOKUP(TRIM(SPLIT(AA31, "","")), Equipo[nickname], Equipo[user]))))"),"")</f>
        <v/>
      </c>
      <c r="AC31" s="42" t="s">
        <v>236</v>
      </c>
      <c r="AD31" s="42" t="str">
        <f>IFERROR(__xludf.DUMMYFUNCTION("IF(EXACT(AC31, """"), """", TEXTJOIN("", "", TRUE, ARRAYFORMULA(XLOOKUP(TRIM(SPLIT(AC31, "","")), Equipo[nickname], Equipo[user], """"))))"),"egonzalez")</f>
        <v>egonzalez</v>
      </c>
      <c r="AE31" s="68" t="s">
        <v>384</v>
      </c>
      <c r="AF31" s="57" t="str">
        <f>IFERROR(__xludf.DUMMYFUNCTION("IF(EXACT(AE31, """"), """", TEXTJOIN("", "", TRUE, ARRAYFORMULA(XLOOKUP(TRIM(SPLIT(AE31, "","")), Equipo[nickname], Equipo[user], """"))))"),"")</f>
        <v/>
      </c>
      <c r="AG31" s="57" t="s">
        <v>385</v>
      </c>
      <c r="AH31" s="58">
        <v>46142.0</v>
      </c>
    </row>
    <row r="32" ht="22.5" hidden="1" customHeight="1">
      <c r="A32" s="41">
        <v>1026.0</v>
      </c>
      <c r="B32" s="50" t="s">
        <v>392</v>
      </c>
      <c r="C32" s="41" t="s">
        <v>393</v>
      </c>
      <c r="D32" s="42" t="s">
        <v>394</v>
      </c>
      <c r="E32" s="42" t="s">
        <v>224</v>
      </c>
      <c r="F32" s="41" t="s">
        <v>225</v>
      </c>
      <c r="G32" s="41" t="s">
        <v>226</v>
      </c>
      <c r="H32" s="41" t="s">
        <v>227</v>
      </c>
      <c r="I32" s="69" t="s">
        <v>372</v>
      </c>
      <c r="J32" s="44" t="s">
        <v>229</v>
      </c>
      <c r="K32" s="53">
        <v>0.1</v>
      </c>
      <c r="L32" s="44" t="s">
        <v>230</v>
      </c>
      <c r="M32" s="42" t="s">
        <v>225</v>
      </c>
      <c r="N32" s="69" t="s">
        <v>243</v>
      </c>
      <c r="O32" s="63"/>
      <c r="P32" s="41">
        <v>144.0</v>
      </c>
      <c r="Q32" s="70">
        <v>46064.0</v>
      </c>
      <c r="R32" s="70">
        <v>46064.0</v>
      </c>
      <c r="S32" s="55">
        <v>46142.0</v>
      </c>
      <c r="T32" s="42" t="s">
        <v>233</v>
      </c>
      <c r="U32" s="44" t="s">
        <v>151</v>
      </c>
      <c r="V32" s="56" t="str">
        <f t="array" ref="V32">IF(EXACT(U32, ""), "", XLOOKUP(U32, Equipo[nickname], Equipo[user]))</f>
        <v>hloredo</v>
      </c>
      <c r="W32" s="44" t="s">
        <v>149</v>
      </c>
      <c r="X32" s="56"/>
      <c r="Y32" s="41" t="s">
        <v>158</v>
      </c>
      <c r="Z32" s="41" t="str">
        <f>IFERROR(__xludf.DUMMYFUNCTION("IF(EXACT(Y32, """"), """", TEXTJOIN("", "", TRUE, ARRAYFORMULA(XLOOKUP(TRIM(SPLIT(Y32, "","")), Equipo[nickname], Equipo[user], """"))))"),"emontano")</f>
        <v>emontano</v>
      </c>
      <c r="AA32" s="56" t="s">
        <v>234</v>
      </c>
      <c r="AB32" s="42" t="str">
        <f>IFERROR(__xludf.DUMMYFUNCTION("IF(EXACT(AA32, """"), """", TEXTJOIN("", "", TRUE, ARRAYFORMULA(XLOOKUP(TRIM(SPLIT(AA32, "","")), Equipo[nickname], Equipo[user]))))"),"lbernal")</f>
        <v>lbernal</v>
      </c>
      <c r="AC32" s="42" t="s">
        <v>236</v>
      </c>
      <c r="AD32" s="42" t="str">
        <f>IFERROR(__xludf.DUMMYFUNCTION("IF(EXACT(AC32, """"), """", TEXTJOIN("", "", TRUE, ARRAYFORMULA(XLOOKUP(TRIM(SPLIT(AC32, "","")), Equipo[nickname], Equipo[user], """"))))"),"egonzalez")</f>
        <v>egonzalez</v>
      </c>
      <c r="AE32" s="68" t="s">
        <v>395</v>
      </c>
      <c r="AF32" s="57" t="str">
        <f>IFERROR(__xludf.DUMMYFUNCTION("IF(EXACT(AE32, """"), """", TEXTJOIN("", "", TRUE, ARRAYFORMULA(XLOOKUP(TRIM(SPLIT(AE32, "","")), Equipo[nickname], Equipo[user], """"))))"),"lbernal, emontano")</f>
        <v>lbernal, emontano</v>
      </c>
      <c r="AG32" s="57" t="s">
        <v>396</v>
      </c>
      <c r="AH32" s="58">
        <v>46142.0</v>
      </c>
    </row>
    <row r="33" ht="22.5" hidden="1" customHeight="1">
      <c r="A33" s="41">
        <v>1030.0</v>
      </c>
      <c r="B33" s="50" t="s">
        <v>397</v>
      </c>
      <c r="C33" s="51" t="s">
        <v>398</v>
      </c>
      <c r="D33" s="52" t="s">
        <v>399</v>
      </c>
      <c r="E33" s="42" t="s">
        <v>224</v>
      </c>
      <c r="F33" s="41" t="s">
        <v>225</v>
      </c>
      <c r="G33" s="41" t="s">
        <v>400</v>
      </c>
      <c r="H33" s="41" t="s">
        <v>227</v>
      </c>
      <c r="I33" s="44" t="s">
        <v>327</v>
      </c>
      <c r="J33" s="44" t="s">
        <v>272</v>
      </c>
      <c r="K33" s="53">
        <v>0.95</v>
      </c>
      <c r="L33" s="44" t="s">
        <v>230</v>
      </c>
      <c r="M33" s="41" t="s">
        <v>225</v>
      </c>
      <c r="N33" s="44" t="s">
        <v>231</v>
      </c>
      <c r="O33" s="54" t="s">
        <v>232</v>
      </c>
      <c r="P33" s="41">
        <v>80.0</v>
      </c>
      <c r="Q33" s="55">
        <v>46082.0</v>
      </c>
      <c r="R33" s="55">
        <v>46113.0</v>
      </c>
      <c r="S33" s="55">
        <v>46164.0</v>
      </c>
      <c r="T33" s="42" t="s">
        <v>233</v>
      </c>
      <c r="U33" s="44" t="s">
        <v>151</v>
      </c>
      <c r="V33" s="56" t="str">
        <f t="array" ref="V33">IF(EXACT(U33, ""), "", XLOOKUP(U33, Equipo[nickname], Equipo[user]))</f>
        <v>hloredo</v>
      </c>
      <c r="W33" s="44" t="s">
        <v>149</v>
      </c>
      <c r="X33" s="56" t="str">
        <f t="array" ref="X33">IF(EXACT(W33, ""), "", XLOOKUP(W33, Equipo[nickname], Equipo[user]))</f>
        <v>dgonzalez</v>
      </c>
      <c r="Y33" s="56" t="s">
        <v>234</v>
      </c>
      <c r="Z33" s="56" t="str">
        <f>IFERROR(__xludf.DUMMYFUNCTION("IF(EXACT(Y33, """"), """", TEXTJOIN("", "", TRUE, ARRAYFORMULA(XLOOKUP(TRIM(SPLIT(Y33, "","")), Equipo[nickname], Equipo[user], """"))))"),"lbernal")</f>
        <v>lbernal</v>
      </c>
      <c r="AA33" s="56" t="s">
        <v>401</v>
      </c>
      <c r="AB33" s="41" t="str">
        <f>IFERROR(__xludf.DUMMYFUNCTION("IF(EXACT(AA33, """"), """", TEXTJOIN("", "", TRUE, ARRAYFORMULA(XLOOKUP(TRIM(SPLIT(AA33, "","")), Equipo[nickname], Equipo[user]))))"),"etorres, econtreras, lolvera")</f>
        <v>etorres, econtreras, lolvera</v>
      </c>
      <c r="AC33" s="41" t="s">
        <v>236</v>
      </c>
      <c r="AD33" s="41" t="str">
        <f>IFERROR(__xludf.DUMMYFUNCTION("IF(EXACT(AC33, """"), """", TEXTJOIN("", "", TRUE, ARRAYFORMULA(XLOOKUP(TRIM(SPLIT(AC33, "","")), Equipo[nickname], Equipo[user], """"))))"),"egonzalez")</f>
        <v>egonzalez</v>
      </c>
      <c r="AE33" s="56" t="s">
        <v>350</v>
      </c>
      <c r="AF33" s="57" t="str">
        <f>IFERROR(__xludf.DUMMYFUNCTION("IF(EXACT(AE33, """"), """", TEXTJOIN("", "", TRUE, ARRAYFORMULA(XLOOKUP(TRIM(SPLIT(AE33, "","")), Equipo[nickname], Equipo[user], """"))))"),"econtreras")</f>
        <v>econtreras</v>
      </c>
      <c r="AG33" s="41" t="s">
        <v>402</v>
      </c>
      <c r="AH33" s="58">
        <v>46168.0</v>
      </c>
    </row>
    <row r="34" ht="22.5" customHeight="1">
      <c r="A34" s="41">
        <v>1027.0</v>
      </c>
      <c r="B34" s="50" t="s">
        <v>403</v>
      </c>
      <c r="C34" s="41" t="s">
        <v>404</v>
      </c>
      <c r="D34" s="42" t="s">
        <v>405</v>
      </c>
      <c r="E34" s="42" t="s">
        <v>224</v>
      </c>
      <c r="F34" s="41" t="s">
        <v>225</v>
      </c>
      <c r="G34" s="41" t="s">
        <v>400</v>
      </c>
      <c r="H34" s="41" t="s">
        <v>227</v>
      </c>
      <c r="I34" s="44" t="s">
        <v>406</v>
      </c>
      <c r="J34" s="44" t="s">
        <v>272</v>
      </c>
      <c r="K34" s="53">
        <v>0.9</v>
      </c>
      <c r="L34" s="44" t="s">
        <v>242</v>
      </c>
      <c r="M34" s="41" t="s">
        <v>225</v>
      </c>
      <c r="N34" s="44" t="s">
        <v>243</v>
      </c>
      <c r="O34" s="54"/>
      <c r="P34" s="41">
        <v>2.0</v>
      </c>
      <c r="Q34" s="55">
        <v>46005.0</v>
      </c>
      <c r="R34" s="55">
        <v>46005.0</v>
      </c>
      <c r="S34" s="55">
        <v>46112.0</v>
      </c>
      <c r="T34" s="42" t="s">
        <v>233</v>
      </c>
      <c r="U34" s="44" t="s">
        <v>151</v>
      </c>
      <c r="V34" s="56" t="str">
        <f t="array" ref="V34">IF(EXACT(U34, ""), "", XLOOKUP(U34, Equipo[nickname], Equipo[user]))</f>
        <v>hloredo</v>
      </c>
      <c r="W34" s="44" t="s">
        <v>149</v>
      </c>
      <c r="X34" s="56" t="str">
        <f t="array" ref="X34">IF(EXACT(W34, ""), "", XLOOKUP(W34, Equipo[nickname], Equipo[user]))</f>
        <v>dgonzalez</v>
      </c>
      <c r="Y34" s="41" t="s">
        <v>174</v>
      </c>
      <c r="Z34" s="41" t="str">
        <f>IFERROR(__xludf.DUMMYFUNCTION("IF(EXACT(Y34, """"), """", TEXTJOIN("", "", TRUE, ARRAYFORMULA(XLOOKUP(TRIM(SPLIT(Y34, "","")), Equipo[nickname], Equipo[user], """"))))"),"jenriquez")</f>
        <v>jenriquez</v>
      </c>
      <c r="AA34" s="56" t="s">
        <v>407</v>
      </c>
      <c r="AB34" s="41" t="str">
        <f>IFERROR(__xludf.DUMMYFUNCTION("IF(EXACT(AA34, """"), """", TEXTJOIN("", "", TRUE, ARRAYFORMULA(XLOOKUP(TRIM(SPLIT(AA34, "","")), Equipo[nickname], Equipo[user]))))"),"jlopez, ameza, jpatino")</f>
        <v>jlopez, ameza, jpatino</v>
      </c>
      <c r="AC34" s="41" t="s">
        <v>236</v>
      </c>
      <c r="AD34" s="41" t="str">
        <f>IFERROR(__xludf.DUMMYFUNCTION("IF(EXACT(AC34, """"), """", TEXTJOIN("", "", TRUE, ARRAYFORMULA(XLOOKUP(TRIM(SPLIT(AC34, "","")), Equipo[nickname], Equipo[user], """"))))"),"egonzalez")</f>
        <v>egonzalez</v>
      </c>
      <c r="AE34" s="56" t="s">
        <v>234</v>
      </c>
      <c r="AF34" s="57" t="str">
        <f>IFERROR(__xludf.DUMMYFUNCTION("IF(EXACT(AE34, """"), """", TEXTJOIN("", "", TRUE, ARRAYFORMULA(XLOOKUP(TRIM(SPLIT(AE34, "","")), Equipo[nickname], Equipo[user], """"))))"),"lbernal")</f>
        <v>lbernal</v>
      </c>
      <c r="AG34" s="57" t="s">
        <v>408</v>
      </c>
      <c r="AH34" s="58">
        <v>46136.0</v>
      </c>
    </row>
    <row r="35" ht="22.5" customHeight="1">
      <c r="A35" s="41">
        <v>1028.0</v>
      </c>
      <c r="B35" s="50" t="s">
        <v>409</v>
      </c>
      <c r="C35" s="41" t="s">
        <v>410</v>
      </c>
      <c r="D35" s="42" t="s">
        <v>411</v>
      </c>
      <c r="E35" s="42" t="s">
        <v>224</v>
      </c>
      <c r="F35" s="41" t="s">
        <v>225</v>
      </c>
      <c r="G35" s="41" t="s">
        <v>226</v>
      </c>
      <c r="H35" s="41" t="s">
        <v>227</v>
      </c>
      <c r="I35" s="44" t="s">
        <v>406</v>
      </c>
      <c r="J35" s="44" t="s">
        <v>272</v>
      </c>
      <c r="K35" s="53">
        <v>0.2</v>
      </c>
      <c r="L35" s="44" t="s">
        <v>242</v>
      </c>
      <c r="M35" s="41" t="s">
        <v>225</v>
      </c>
      <c r="N35" s="44" t="s">
        <v>231</v>
      </c>
      <c r="O35" s="54"/>
      <c r="P35" s="41">
        <v>2.0</v>
      </c>
      <c r="Q35" s="55">
        <v>46005.0</v>
      </c>
      <c r="R35" s="55">
        <v>46005.0</v>
      </c>
      <c r="S35" s="55">
        <v>46173.0</v>
      </c>
      <c r="T35" s="42" t="s">
        <v>233</v>
      </c>
      <c r="U35" s="44" t="s">
        <v>151</v>
      </c>
      <c r="V35" s="56" t="str">
        <f t="array" ref="V35">IF(EXACT(U35, ""), "", XLOOKUP(U35, Equipo[nickname], Equipo[user]))</f>
        <v>hloredo</v>
      </c>
      <c r="W35" s="44" t="s">
        <v>149</v>
      </c>
      <c r="X35" s="56" t="str">
        <f t="array" ref="X35">IF(EXACT(W35, ""), "", XLOOKUP(W35, Equipo[nickname], Equipo[user]))</f>
        <v>dgonzalez</v>
      </c>
      <c r="Y35" s="41" t="s">
        <v>174</v>
      </c>
      <c r="Z35" s="41" t="str">
        <f>IFERROR(__xludf.DUMMYFUNCTION("IF(EXACT(Y35, """"), """", TEXTJOIN("", "", TRUE, ARRAYFORMULA(XLOOKUP(TRIM(SPLIT(Y35, "","")), Equipo[nickname], Equipo[user], """"))))"),"jenriquez")</f>
        <v>jenriquez</v>
      </c>
      <c r="AA35" s="56" t="s">
        <v>258</v>
      </c>
      <c r="AB35" s="41" t="str">
        <f>IFERROR(__xludf.DUMMYFUNCTION("IF(EXACT(AA35, """"), """", TEXTJOIN("", "", TRUE, ARRAYFORMULA(XLOOKUP(TRIM(SPLIT(AA35, "","")), Equipo[nickname], Equipo[user]))))"),"avazquez")</f>
        <v>avazquez</v>
      </c>
      <c r="AC35" s="41" t="s">
        <v>236</v>
      </c>
      <c r="AD35" s="41" t="str">
        <f>IFERROR(__xludf.DUMMYFUNCTION("IF(EXACT(AC35, """"), """", TEXTJOIN("", "", TRUE, ARRAYFORMULA(XLOOKUP(TRIM(SPLIT(AC35, "","")), Equipo[nickname], Equipo[user], """"))))"),"egonzalez")</f>
        <v>egonzalez</v>
      </c>
      <c r="AE35" s="56" t="s">
        <v>297</v>
      </c>
      <c r="AF35" s="57" t="str">
        <f>IFERROR(__xludf.DUMMYFUNCTION("IF(EXACT(AE35, """"), """", TEXTJOIN("", "", TRUE, ARRAYFORMULA(XLOOKUP(TRIM(SPLIT(AE35, "","")), Equipo[nickname], Equipo[user], """"))))"),"eramirez, jenriquez, hloredo")</f>
        <v>eramirez, jenriquez, hloredo</v>
      </c>
      <c r="AG35" s="57" t="s">
        <v>412</v>
      </c>
      <c r="AH35" s="58">
        <v>46115.0</v>
      </c>
    </row>
    <row r="36" ht="22.5" hidden="1" customHeight="1">
      <c r="A36" s="41">
        <v>1035.0</v>
      </c>
      <c r="B36" s="50" t="s">
        <v>413</v>
      </c>
      <c r="C36" s="41" t="s">
        <v>414</v>
      </c>
      <c r="D36" s="42" t="s">
        <v>415</v>
      </c>
      <c r="E36" s="42" t="s">
        <v>224</v>
      </c>
      <c r="F36" s="41" t="s">
        <v>225</v>
      </c>
      <c r="G36" s="41" t="s">
        <v>400</v>
      </c>
      <c r="H36" s="41" t="s">
        <v>227</v>
      </c>
      <c r="I36" s="69" t="s">
        <v>271</v>
      </c>
      <c r="J36" s="44" t="s">
        <v>272</v>
      </c>
      <c r="K36" s="53">
        <v>0.95</v>
      </c>
      <c r="L36" s="44" t="s">
        <v>264</v>
      </c>
      <c r="M36" s="42" t="s">
        <v>225</v>
      </c>
      <c r="N36" s="69" t="s">
        <v>231</v>
      </c>
      <c r="O36" s="63" t="s">
        <v>295</v>
      </c>
      <c r="P36" s="41">
        <v>2.0</v>
      </c>
      <c r="Q36" s="70">
        <v>46005.0</v>
      </c>
      <c r="R36" s="70">
        <v>46055.0</v>
      </c>
      <c r="S36" s="55">
        <v>46203.0</v>
      </c>
      <c r="T36" s="71">
        <v>46142.0</v>
      </c>
      <c r="U36" s="69" t="s">
        <v>151</v>
      </c>
      <c r="V36" s="56" t="str">
        <f t="array" ref="V36">IF(EXACT(U36, ""), "", XLOOKUP(U36, Equipo[nickname], Equipo[user]))</f>
        <v>hloredo</v>
      </c>
      <c r="W36" s="69" t="s">
        <v>149</v>
      </c>
      <c r="X36" s="68" t="str">
        <f t="array" ref="X36">IF(EXACT(W36, ""), "", XLOOKUP(W36, Equipo[nickname], Equipo[user]))</f>
        <v>dgonzalez</v>
      </c>
      <c r="Y36" s="42" t="s">
        <v>234</v>
      </c>
      <c r="Z36" s="42" t="str">
        <f>IFERROR(__xludf.DUMMYFUNCTION("IF(EXACT(Y36, """"), """", TEXTJOIN("", "", TRUE, ARRAYFORMULA(XLOOKUP(TRIM(SPLIT(Y36, "","")), Equipo[nickname], Equipo[user], """"))))"),"lbernal")</f>
        <v>lbernal</v>
      </c>
      <c r="AA36" s="68" t="s">
        <v>278</v>
      </c>
      <c r="AB36" s="42" t="str">
        <f>IFERROR(__xludf.DUMMYFUNCTION("IF(EXACT(AA36, """"), """", TEXTJOIN("", "", TRUE, ARRAYFORMULA(XLOOKUP(TRIM(SPLIT(AA36, "","")), Equipo[nickname], Equipo[user]))))"),"etorres")</f>
        <v>etorres</v>
      </c>
      <c r="AC36" s="42" t="s">
        <v>236</v>
      </c>
      <c r="AD36" s="42" t="str">
        <f>IFERROR(__xludf.DUMMYFUNCTION("IF(EXACT(AC36, """"), """", TEXTJOIN("", "", TRUE, ARRAYFORMULA(XLOOKUP(TRIM(SPLIT(AC36, "","")), Equipo[nickname], Equipo[user], """"))))"),"egonzalez")</f>
        <v>egonzalez</v>
      </c>
      <c r="AE36" s="68"/>
      <c r="AF36" s="57" t="str">
        <f>IFERROR(__xludf.DUMMYFUNCTION("IF(EXACT(AE36, """"), """", TEXTJOIN("", "", TRUE, ARRAYFORMULA(XLOOKUP(TRIM(SPLIT(AE36, "","")), Equipo[nickname], Equipo[user], """"))))"),"")</f>
        <v/>
      </c>
      <c r="AG36" s="41" t="s">
        <v>267</v>
      </c>
      <c r="AH36" s="41" t="s">
        <v>233</v>
      </c>
    </row>
    <row r="37" ht="22.5" customHeight="1">
      <c r="A37" s="41">
        <v>1031.0</v>
      </c>
      <c r="B37" s="50" t="s">
        <v>416</v>
      </c>
      <c r="C37" s="51" t="s">
        <v>417</v>
      </c>
      <c r="D37" s="51" t="s">
        <v>418</v>
      </c>
      <c r="E37" s="42" t="s">
        <v>224</v>
      </c>
      <c r="F37" s="41" t="s">
        <v>225</v>
      </c>
      <c r="G37" s="41" t="s">
        <v>226</v>
      </c>
      <c r="H37" s="41" t="s">
        <v>419</v>
      </c>
      <c r="I37" s="44" t="s">
        <v>406</v>
      </c>
      <c r="J37" s="44" t="s">
        <v>272</v>
      </c>
      <c r="K37" s="53">
        <v>0.1</v>
      </c>
      <c r="L37" s="44" t="s">
        <v>294</v>
      </c>
      <c r="M37" s="41" t="s">
        <v>225</v>
      </c>
      <c r="N37" s="44" t="s">
        <v>231</v>
      </c>
      <c r="O37" s="54"/>
      <c r="P37" s="41">
        <v>8.0</v>
      </c>
      <c r="Q37" s="55">
        <v>46082.0</v>
      </c>
      <c r="R37" s="55">
        <v>46113.0</v>
      </c>
      <c r="S37" s="55">
        <v>46164.0</v>
      </c>
      <c r="T37" s="42" t="s">
        <v>233</v>
      </c>
      <c r="U37" s="44" t="s">
        <v>151</v>
      </c>
      <c r="V37" s="56" t="str">
        <f t="array" ref="V37">IF(EXACT(U37, ""), "", XLOOKUP(U37, Equipo[nickname], Equipo[user]))</f>
        <v>hloredo</v>
      </c>
      <c r="W37" s="44" t="s">
        <v>149</v>
      </c>
      <c r="X37" s="56" t="str">
        <f t="array" ref="X37">IF(EXACT(W37, ""), "", XLOOKUP(W37, Equipo[nickname], Equipo[user]))</f>
        <v>dgonzalez</v>
      </c>
      <c r="Y37" s="56" t="s">
        <v>234</v>
      </c>
      <c r="Z37" s="56" t="str">
        <f>IFERROR(__xludf.DUMMYFUNCTION("IF(EXACT(Y37, """"), """", TEXTJOIN("", "", TRUE, ARRAYFORMULA(XLOOKUP(TRIM(SPLIT(Y37, "","")), Equipo[nickname], Equipo[user], """"))))"),"lbernal")</f>
        <v>lbernal</v>
      </c>
      <c r="AA37" s="56" t="s">
        <v>234</v>
      </c>
      <c r="AB37" s="41" t="str">
        <f>IFERROR(__xludf.DUMMYFUNCTION("IF(EXACT(AA37, """"), """", TEXTJOIN("", "", TRUE, ARRAYFORMULA(XLOOKUP(TRIM(SPLIT(AA37, "","")), Equipo[nickname], Equipo[user]))))"),"lbernal")</f>
        <v>lbernal</v>
      </c>
      <c r="AC37" s="73"/>
      <c r="AD37" s="41" t="str">
        <f>IFERROR(__xludf.DUMMYFUNCTION("IF(EXACT(AC37, """"), """", TEXTJOIN("", "", TRUE, ARRAYFORMULA(XLOOKUP(TRIM(SPLIT(AC37, "","")), Equipo[nickname], Equipo[user], """"))))"),"")</f>
        <v/>
      </c>
      <c r="AE37" s="56" t="s">
        <v>420</v>
      </c>
      <c r="AF37" s="57" t="str">
        <f>IFERROR(__xludf.DUMMYFUNCTION("IF(EXACT(AE37, """"), """", TEXTJOIN("", "", TRUE, ARRAYFORMULA(XLOOKUP(TRIM(SPLIT(AE37, "","")), Equipo[nickname], Equipo[user], """"))))"),"eramirez")</f>
        <v>eramirez</v>
      </c>
      <c r="AG37" s="57" t="s">
        <v>421</v>
      </c>
      <c r="AH37" s="58">
        <v>46173.0</v>
      </c>
    </row>
    <row r="38" ht="22.5" customHeight="1">
      <c r="A38" s="41">
        <v>1036.0</v>
      </c>
      <c r="B38" s="50" t="s">
        <v>422</v>
      </c>
      <c r="C38" s="51" t="s">
        <v>423</v>
      </c>
      <c r="D38" s="52" t="s">
        <v>424</v>
      </c>
      <c r="E38" s="42" t="s">
        <v>224</v>
      </c>
      <c r="F38" s="41" t="s">
        <v>225</v>
      </c>
      <c r="G38" s="41" t="s">
        <v>277</v>
      </c>
      <c r="H38" s="41" t="s">
        <v>227</v>
      </c>
      <c r="I38" s="44" t="s">
        <v>406</v>
      </c>
      <c r="J38" s="44" t="s">
        <v>241</v>
      </c>
      <c r="K38" s="53">
        <v>0.2</v>
      </c>
      <c r="L38" s="44" t="s">
        <v>249</v>
      </c>
      <c r="M38" s="41" t="s">
        <v>225</v>
      </c>
      <c r="N38" s="44" t="s">
        <v>231</v>
      </c>
      <c r="O38" s="54" t="s">
        <v>379</v>
      </c>
      <c r="P38" s="41">
        <v>40.0</v>
      </c>
      <c r="Q38" s="55">
        <v>46125.0</v>
      </c>
      <c r="R38" s="55">
        <v>46139.0</v>
      </c>
      <c r="S38" s="55">
        <v>46173.0</v>
      </c>
      <c r="T38" s="42" t="s">
        <v>233</v>
      </c>
      <c r="U38" s="44" t="s">
        <v>151</v>
      </c>
      <c r="V38" s="56" t="str">
        <f t="array" ref="V38">IF(EXACT(U38, ""), "", XLOOKUP(U38, Equipo[nickname], Equipo[user]))</f>
        <v>hloredo</v>
      </c>
      <c r="W38" s="44" t="s">
        <v>149</v>
      </c>
      <c r="X38" s="56" t="str">
        <f t="array" ref="X38">IF(EXACT(W38, ""), "", XLOOKUP(W38, Equipo[nickname], Equipo[user]))</f>
        <v>dgonzalez</v>
      </c>
      <c r="Y38" s="41" t="s">
        <v>234</v>
      </c>
      <c r="Z38" s="41" t="str">
        <f>IFERROR(__xludf.DUMMYFUNCTION("IF(EXACT(Y38, """"), """", TEXTJOIN("", "", TRUE, ARRAYFORMULA(XLOOKUP(TRIM(SPLIT(Y38, "","")), Equipo[nickname], Equipo[user], """"))))"),"lbernal")</f>
        <v>lbernal</v>
      </c>
      <c r="AA38" s="56" t="s">
        <v>290</v>
      </c>
      <c r="AB38" s="41" t="str">
        <f>IFERROR(__xludf.DUMMYFUNCTION("IF(EXACT(AA38, """"), """", TEXTJOIN("", "", TRUE, ARRAYFORMULA(XLOOKUP(TRIM(SPLIT(AA38, "","")), Equipo[nickname], Equipo[user]))))"),"ameza, etorres, lolvera, rescobar")</f>
        <v>ameza, etorres, lolvera, rescobar</v>
      </c>
      <c r="AC38" s="41" t="s">
        <v>236</v>
      </c>
      <c r="AD38" s="41" t="str">
        <f>IFERROR(__xludf.DUMMYFUNCTION("IF(EXACT(AC38, """"), """", TEXTJOIN("", "", TRUE, ARRAYFORMULA(XLOOKUP(TRIM(SPLIT(AC38, "","")), Equipo[nickname], Equipo[user], """"))))"),"egonzalez")</f>
        <v>egonzalez</v>
      </c>
      <c r="AE38" s="56" t="s">
        <v>151</v>
      </c>
      <c r="AF38" s="57" t="str">
        <f>IFERROR(__xludf.DUMMYFUNCTION("IF(EXACT(AE38, """"), """", TEXTJOIN("", "", TRUE, ARRAYFORMULA(XLOOKUP(TRIM(SPLIT(AE38, "","")), Equipo[nickname], Equipo[user], """"))))"),"hloredo")</f>
        <v>hloredo</v>
      </c>
      <c r="AG38" s="57" t="s">
        <v>425</v>
      </c>
      <c r="AH38" s="58">
        <v>46133.0</v>
      </c>
    </row>
    <row r="39" ht="22.5" hidden="1" customHeight="1">
      <c r="A39" s="60">
        <v>61.0</v>
      </c>
      <c r="C39" s="51" t="s">
        <v>426</v>
      </c>
      <c r="D39" s="52" t="s">
        <v>427</v>
      </c>
      <c r="E39" s="52" t="s">
        <v>428</v>
      </c>
      <c r="F39" s="52" t="s">
        <v>308</v>
      </c>
      <c r="G39" s="41" t="s">
        <v>226</v>
      </c>
      <c r="H39" s="41" t="s">
        <v>227</v>
      </c>
      <c r="I39" s="62" t="s">
        <v>406</v>
      </c>
      <c r="J39" s="44" t="s">
        <v>272</v>
      </c>
      <c r="K39" s="53">
        <v>0.1</v>
      </c>
      <c r="L39" s="62" t="s">
        <v>242</v>
      </c>
      <c r="M39" s="52" t="s">
        <v>308</v>
      </c>
      <c r="N39" s="62" t="s">
        <v>243</v>
      </c>
      <c r="O39" s="63"/>
      <c r="P39" s="64">
        <v>2.0</v>
      </c>
      <c r="Q39" s="65">
        <v>46003.0</v>
      </c>
      <c r="R39" s="66">
        <v>46142.0</v>
      </c>
      <c r="S39" s="66">
        <v>46142.0</v>
      </c>
      <c r="T39" s="66">
        <v>46142.0</v>
      </c>
      <c r="U39" s="44" t="s">
        <v>172</v>
      </c>
      <c r="V39" s="56" t="str">
        <f t="array" ref="V39">IF(EXACT(U39, ""), "", XLOOKUP(U39, Equipo[nickname], Equipo[user]))</f>
        <v>rcuevas</v>
      </c>
      <c r="W39" s="44" t="s">
        <v>166</v>
      </c>
      <c r="X39" s="56" t="str">
        <f t="array" ref="X39">IF(EXACT(W39, ""), "", XLOOKUP(W39, Equipo[nickname], Equipo[user]))</f>
        <v>nmejia</v>
      </c>
      <c r="Y39" s="41" t="s">
        <v>174</v>
      </c>
      <c r="Z39" s="41" t="str">
        <f>IFERROR(__xludf.DUMMYFUNCTION("IF(EXACT(Y39, """"), """", TEXTJOIN("", "", TRUE, ARRAYFORMULA(XLOOKUP(TRIM(SPLIT(Y39, "","")), Equipo[nickname], Equipo[user], """"))))"),"jenriquez")</f>
        <v>jenriquez</v>
      </c>
      <c r="AA39" s="56"/>
      <c r="AB39" s="42" t="str">
        <f>IFERROR(__xludf.DUMMYFUNCTION("IF(EXACT(AA39, """"), """", TEXTJOIN("", "", TRUE, ARRAYFORMULA(XLOOKUP(TRIM(SPLIT(AA39, "","")), Equipo[nickname], Equipo[user]))))"),"")</f>
        <v/>
      </c>
      <c r="AC39" s="67" t="s">
        <v>266</v>
      </c>
      <c r="AD39" s="42" t="str">
        <f>IFERROR(__xludf.DUMMYFUNCTION("IF(EXACT(AC39, """"), """", TEXTJOIN("", "", TRUE, ARRAYFORMULA(XLOOKUP(TRIM(SPLIT(AC39, "","")), Equipo[nickname], Equipo[user], """"))))"),"")</f>
        <v/>
      </c>
      <c r="AE39" s="68"/>
      <c r="AF39" s="57" t="str">
        <f>IFERROR(__xludf.DUMMYFUNCTION("IF(EXACT(AE39, """"), """", TEXTJOIN("", "", TRUE, ARRAYFORMULA(XLOOKUP(TRIM(SPLIT(AE39, "","")), Equipo[nickname], Equipo[user], """"))))"),"")</f>
        <v/>
      </c>
      <c r="AG39" s="57"/>
      <c r="AH39" s="58"/>
    </row>
    <row r="40" ht="22.5" hidden="1" customHeight="1">
      <c r="A40" s="60">
        <v>4.0</v>
      </c>
      <c r="B40" s="61" t="s">
        <v>429</v>
      </c>
      <c r="C40" s="51" t="s">
        <v>430</v>
      </c>
      <c r="D40" s="52" t="s">
        <v>431</v>
      </c>
      <c r="E40" s="52" t="s">
        <v>224</v>
      </c>
      <c r="F40" s="51" t="s">
        <v>432</v>
      </c>
      <c r="G40" s="41" t="s">
        <v>226</v>
      </c>
      <c r="H40" s="41" t="s">
        <v>227</v>
      </c>
      <c r="I40" s="74" t="s">
        <v>406</v>
      </c>
      <c r="J40" s="44" t="s">
        <v>272</v>
      </c>
      <c r="K40" s="53">
        <v>0.87</v>
      </c>
      <c r="L40" s="62" t="s">
        <v>242</v>
      </c>
      <c r="M40" s="52" t="s">
        <v>308</v>
      </c>
      <c r="N40" s="74" t="s">
        <v>433</v>
      </c>
      <c r="O40" s="63"/>
      <c r="P40" s="75">
        <v>3.0</v>
      </c>
      <c r="Q40" s="76">
        <v>45810.0</v>
      </c>
      <c r="R40" s="77">
        <v>46171.0</v>
      </c>
      <c r="S40" s="66">
        <v>46203.0</v>
      </c>
      <c r="T40" s="42" t="s">
        <v>233</v>
      </c>
      <c r="U40" s="44" t="s">
        <v>172</v>
      </c>
      <c r="V40" s="56" t="str">
        <f t="array" ref="V40">IF(EXACT(U40, ""), "", XLOOKUP(U40, Equipo[nickname], Equipo[user]))</f>
        <v>rcuevas</v>
      </c>
      <c r="W40" s="44" t="s">
        <v>166</v>
      </c>
      <c r="X40" s="56" t="str">
        <f t="array" ref="X40">IF(EXACT(W40, ""), "", XLOOKUP(W40, Equipo[nickname], Equipo[user]))</f>
        <v>nmejia</v>
      </c>
      <c r="Y40" s="41" t="s">
        <v>174</v>
      </c>
      <c r="Z40" s="41" t="str">
        <f>IFERROR(__xludf.DUMMYFUNCTION("IF(EXACT(Y40, """"), """", TEXTJOIN("", "", TRUE, ARRAYFORMULA(XLOOKUP(TRIM(SPLIT(Y40, "","")), Equipo[nickname], Equipo[user], """"))))"),"jenriquez")</f>
        <v>jenriquez</v>
      </c>
      <c r="AA40" s="56" t="s">
        <v>174</v>
      </c>
      <c r="AB40" s="42" t="str">
        <f>IFERROR(__xludf.DUMMYFUNCTION("IF(EXACT(AA40, """"), """", TEXTJOIN("", "", TRUE, ARRAYFORMULA(XLOOKUP(TRIM(SPLIT(AA40, "","")), Equipo[nickname], Equipo[user]))))"),"jenriquez")</f>
        <v>jenriquez</v>
      </c>
      <c r="AC40" s="72" t="s">
        <v>266</v>
      </c>
      <c r="AD40" s="42" t="str">
        <f>IFERROR(__xludf.DUMMYFUNCTION("IF(EXACT(AC40, """"), """", TEXTJOIN("", "", TRUE, ARRAYFORMULA(XLOOKUP(TRIM(SPLIT(AC40, "","")), Equipo[nickname], Equipo[user], """"))))"),"")</f>
        <v/>
      </c>
      <c r="AE40" s="68"/>
      <c r="AF40" s="57" t="str">
        <f>IFERROR(__xludf.DUMMYFUNCTION("IF(EXACT(AE40, """"), """", TEXTJOIN("", "", TRUE, ARRAYFORMULA(XLOOKUP(TRIM(SPLIT(AE40, "","")), Equipo[nickname], Equipo[user], """"))))"),"")</f>
        <v/>
      </c>
      <c r="AG40" s="57"/>
      <c r="AH40" s="58"/>
    </row>
    <row r="41" ht="22.5" hidden="1" customHeight="1">
      <c r="A41" s="60">
        <v>4.0</v>
      </c>
      <c r="B41" s="61" t="s">
        <v>429</v>
      </c>
      <c r="C41" s="51" t="s">
        <v>430</v>
      </c>
      <c r="D41" s="52" t="s">
        <v>431</v>
      </c>
      <c r="E41" s="52" t="s">
        <v>224</v>
      </c>
      <c r="F41" s="51" t="s">
        <v>432</v>
      </c>
      <c r="G41" s="41" t="s">
        <v>226</v>
      </c>
      <c r="H41" s="41" t="s">
        <v>227</v>
      </c>
      <c r="I41" s="74" t="s">
        <v>406</v>
      </c>
      <c r="J41" s="44" t="s">
        <v>272</v>
      </c>
      <c r="K41" s="53">
        <v>0.6</v>
      </c>
      <c r="L41" s="62" t="s">
        <v>242</v>
      </c>
      <c r="M41" s="52" t="s">
        <v>308</v>
      </c>
      <c r="N41" s="74" t="s">
        <v>434</v>
      </c>
      <c r="O41" s="63"/>
      <c r="P41" s="75">
        <v>30.0</v>
      </c>
      <c r="Q41" s="76">
        <v>46146.0</v>
      </c>
      <c r="R41" s="77">
        <v>46174.0</v>
      </c>
      <c r="S41" s="77">
        <v>46234.0</v>
      </c>
      <c r="T41" s="42" t="s">
        <v>233</v>
      </c>
      <c r="U41" s="44" t="s">
        <v>172</v>
      </c>
      <c r="V41" s="56" t="str">
        <f t="array" ref="V41">IF(EXACT(U41, ""), "", XLOOKUP(U41, Equipo[nickname], Equipo[user]))</f>
        <v>rcuevas</v>
      </c>
      <c r="W41" s="44" t="s">
        <v>166</v>
      </c>
      <c r="X41" s="56" t="str">
        <f t="array" ref="X41">IF(EXACT(W41, ""), "", XLOOKUP(W41, Equipo[nickname], Equipo[user]))</f>
        <v>nmejia</v>
      </c>
      <c r="Y41" s="41" t="s">
        <v>174</v>
      </c>
      <c r="Z41" s="41" t="str">
        <f>IFERROR(__xludf.DUMMYFUNCTION("IF(EXACT(Y41, """"), """", TEXTJOIN("", "", TRUE, ARRAYFORMULA(XLOOKUP(TRIM(SPLIT(Y41, "","")), Equipo[nickname], Equipo[user], """"))))"),"jenriquez")</f>
        <v>jenriquez</v>
      </c>
      <c r="AA41" s="56" t="s">
        <v>174</v>
      </c>
      <c r="AB41" s="42" t="str">
        <f>IFERROR(__xludf.DUMMYFUNCTION("IF(EXACT(AA41, """"), """", TEXTJOIN("", "", TRUE, ARRAYFORMULA(XLOOKUP(TRIM(SPLIT(AA41, "","")), Equipo[nickname], Equipo[user]))))"),"jenriquez")</f>
        <v>jenriquez</v>
      </c>
      <c r="AC41" s="67" t="s">
        <v>266</v>
      </c>
      <c r="AD41" s="42" t="str">
        <f>IFERROR(__xludf.DUMMYFUNCTION("IF(EXACT(AC41, """"), """", TEXTJOIN("", "", TRUE, ARRAYFORMULA(XLOOKUP(TRIM(SPLIT(AC41, "","")), Equipo[nickname], Equipo[user], """"))))"),"")</f>
        <v/>
      </c>
      <c r="AE41" s="68"/>
      <c r="AF41" s="57" t="str">
        <f>IFERROR(__xludf.DUMMYFUNCTION("IF(EXACT(AE41, """"), """", TEXTJOIN("", "", TRUE, ARRAYFORMULA(XLOOKUP(TRIM(SPLIT(AE41, "","")), Equipo[nickname], Equipo[user], """"))))"),"")</f>
        <v/>
      </c>
      <c r="AG41" s="57"/>
      <c r="AH41" s="58"/>
    </row>
    <row r="42" ht="22.5" hidden="1" customHeight="1">
      <c r="A42" s="60">
        <v>7.0</v>
      </c>
      <c r="B42" s="61" t="s">
        <v>435</v>
      </c>
      <c r="C42" s="51" t="s">
        <v>436</v>
      </c>
      <c r="D42" s="52" t="s">
        <v>437</v>
      </c>
      <c r="E42" s="52" t="s">
        <v>428</v>
      </c>
      <c r="F42" s="51" t="s">
        <v>438</v>
      </c>
      <c r="G42" s="41" t="s">
        <v>226</v>
      </c>
      <c r="H42" s="41" t="s">
        <v>227</v>
      </c>
      <c r="I42" s="74" t="s">
        <v>406</v>
      </c>
      <c r="J42" s="44" t="s">
        <v>272</v>
      </c>
      <c r="K42" s="53">
        <v>1.0</v>
      </c>
      <c r="L42" s="62" t="s">
        <v>249</v>
      </c>
      <c r="M42" s="52" t="s">
        <v>308</v>
      </c>
      <c r="N42" s="74" t="s">
        <v>433</v>
      </c>
      <c r="O42" s="63"/>
      <c r="P42" s="64">
        <v>2.0</v>
      </c>
      <c r="Q42" s="76">
        <v>46118.0</v>
      </c>
      <c r="R42" s="76">
        <v>46118.0</v>
      </c>
      <c r="S42" s="66">
        <v>73415.0</v>
      </c>
      <c r="T42" s="42" t="s">
        <v>233</v>
      </c>
      <c r="U42" s="44" t="s">
        <v>172</v>
      </c>
      <c r="V42" s="56" t="str">
        <f t="array" ref="V42">IF(EXACT(U42, ""), "", XLOOKUP(U42, Equipo[nickname], Equipo[user]))</f>
        <v>rcuevas</v>
      </c>
      <c r="W42" s="44" t="s">
        <v>166</v>
      </c>
      <c r="X42" s="56" t="str">
        <f t="array" ref="X42">IF(EXACT(W42, ""), "", XLOOKUP(W42, Equipo[nickname], Equipo[user]))</f>
        <v>nmejia</v>
      </c>
      <c r="Y42" s="41" t="s">
        <v>174</v>
      </c>
      <c r="Z42" s="41" t="str">
        <f>IFERROR(__xludf.DUMMYFUNCTION("IF(EXACT(Y42, """"), """", TEXTJOIN("", "", TRUE, ARRAYFORMULA(XLOOKUP(TRIM(SPLIT(Y42, "","")), Equipo[nickname], Equipo[user], """"))))"),"jenriquez")</f>
        <v>jenriquez</v>
      </c>
      <c r="AA42" s="56" t="s">
        <v>439</v>
      </c>
      <c r="AB42" s="42" t="str">
        <f>IFERROR(__xludf.DUMMYFUNCTION("IF(EXACT(AA42, """"), """", TEXTJOIN("", "", TRUE, ARRAYFORMULA(XLOOKUP(TRIM(SPLIT(AA42, "","")), Equipo[nickname], Equipo[user]))))"),"rbernal, jenriquez")</f>
        <v>rbernal, jenriquez</v>
      </c>
      <c r="AC42" s="72" t="s">
        <v>266</v>
      </c>
      <c r="AD42" s="42" t="str">
        <f>IFERROR(__xludf.DUMMYFUNCTION("IF(EXACT(AC42, """"), """", TEXTJOIN("", "", TRUE, ARRAYFORMULA(XLOOKUP(TRIM(SPLIT(AC42, "","")), Equipo[nickname], Equipo[user], """"))))"),"")</f>
        <v/>
      </c>
      <c r="AE42" s="68"/>
      <c r="AF42" s="57" t="str">
        <f>IFERROR(__xludf.DUMMYFUNCTION("IF(EXACT(AE42, """"), """", TEXTJOIN("", "", TRUE, ARRAYFORMULA(XLOOKUP(TRIM(SPLIT(AE42, "","")), Equipo[nickname], Equipo[user], """"))))"),"")</f>
        <v/>
      </c>
      <c r="AG42" s="57"/>
      <c r="AH42" s="58"/>
    </row>
    <row r="43" ht="22.5" hidden="1" customHeight="1">
      <c r="A43" s="60">
        <v>20.0</v>
      </c>
      <c r="B43" s="61" t="s">
        <v>440</v>
      </c>
      <c r="C43" s="51" t="s">
        <v>441</v>
      </c>
      <c r="D43" s="52" t="s">
        <v>442</v>
      </c>
      <c r="E43" s="52" t="s">
        <v>224</v>
      </c>
      <c r="F43" s="52" t="s">
        <v>443</v>
      </c>
      <c r="G43" s="41" t="s">
        <v>277</v>
      </c>
      <c r="H43" s="41" t="s">
        <v>227</v>
      </c>
      <c r="I43" s="62" t="s">
        <v>406</v>
      </c>
      <c r="J43" s="44" t="s">
        <v>272</v>
      </c>
      <c r="K43" s="53">
        <v>0.1</v>
      </c>
      <c r="L43" s="62" t="s">
        <v>230</v>
      </c>
      <c r="M43" s="52" t="s">
        <v>443</v>
      </c>
      <c r="N43" s="62" t="s">
        <v>243</v>
      </c>
      <c r="O43" s="63"/>
      <c r="P43" s="64">
        <v>144.0</v>
      </c>
      <c r="Q43" s="65">
        <v>46002.0</v>
      </c>
      <c r="R43" s="66">
        <v>46052.0</v>
      </c>
      <c r="S43" s="66">
        <v>46052.0</v>
      </c>
      <c r="T43" s="66">
        <v>46052.0</v>
      </c>
      <c r="U43" s="44" t="s">
        <v>172</v>
      </c>
      <c r="V43" s="56" t="str">
        <f t="array" ref="V43">IF(EXACT(U43, ""), "", XLOOKUP(U43, Equipo[nickname], Equipo[user]))</f>
        <v>rcuevas</v>
      </c>
      <c r="W43" s="44" t="s">
        <v>166</v>
      </c>
      <c r="X43" s="56" t="str">
        <f t="array" ref="X43">IF(EXACT(W43, ""), "", XLOOKUP(W43, Equipo[nickname], Equipo[user]))</f>
        <v>nmejia</v>
      </c>
      <c r="Y43" s="41" t="s">
        <v>174</v>
      </c>
      <c r="Z43" s="41" t="str">
        <f>IFERROR(__xludf.DUMMYFUNCTION("IF(EXACT(Y43, """"), """", TEXTJOIN("", "", TRUE, ARRAYFORMULA(XLOOKUP(TRIM(SPLIT(Y43, "","")), Equipo[nickname], Equipo[user], """"))))"),"jenriquez")</f>
        <v>jenriquez</v>
      </c>
      <c r="AA43" s="56"/>
      <c r="AB43" s="42" t="str">
        <f>IFERROR(__xludf.DUMMYFUNCTION("IF(EXACT(AA43, """"), """", TEXTJOIN("", "", TRUE, ARRAYFORMULA(XLOOKUP(TRIM(SPLIT(AA43, "","")), Equipo[nickname], Equipo[user]))))"),"")</f>
        <v/>
      </c>
      <c r="AC43" s="67" t="s">
        <v>266</v>
      </c>
      <c r="AD43" s="42" t="str">
        <f>IFERROR(__xludf.DUMMYFUNCTION("IF(EXACT(AC43, """"), """", TEXTJOIN("", "", TRUE, ARRAYFORMULA(XLOOKUP(TRIM(SPLIT(AC43, "","")), Equipo[nickname], Equipo[user], """"))))"),"")</f>
        <v/>
      </c>
      <c r="AE43" s="68"/>
      <c r="AF43" s="57" t="str">
        <f>IFERROR(__xludf.DUMMYFUNCTION("IF(EXACT(AE43, """"), """", TEXTJOIN("", "", TRUE, ARRAYFORMULA(XLOOKUP(TRIM(SPLIT(AE43, "","")), Equipo[nickname], Equipo[user], """"))))"),"")</f>
        <v/>
      </c>
      <c r="AG43" s="57"/>
      <c r="AH43" s="58"/>
    </row>
    <row r="44" ht="22.5" hidden="1" customHeight="1">
      <c r="A44" s="60">
        <v>21.0</v>
      </c>
      <c r="B44" s="61" t="s">
        <v>444</v>
      </c>
      <c r="C44" s="51" t="s">
        <v>445</v>
      </c>
      <c r="D44" s="52" t="s">
        <v>446</v>
      </c>
      <c r="E44" s="52" t="s">
        <v>224</v>
      </c>
      <c r="F44" s="52" t="s">
        <v>263</v>
      </c>
      <c r="G44" s="41" t="s">
        <v>226</v>
      </c>
      <c r="H44" s="41" t="s">
        <v>227</v>
      </c>
      <c r="I44" s="62" t="s">
        <v>406</v>
      </c>
      <c r="J44" s="44" t="s">
        <v>272</v>
      </c>
      <c r="K44" s="53">
        <v>0.1</v>
      </c>
      <c r="L44" s="62" t="s">
        <v>230</v>
      </c>
      <c r="M44" s="52" t="s">
        <v>263</v>
      </c>
      <c r="N44" s="62" t="s">
        <v>282</v>
      </c>
      <c r="O44" s="63"/>
      <c r="P44" s="64">
        <v>28.0</v>
      </c>
      <c r="Q44" s="65">
        <v>46002.0</v>
      </c>
      <c r="R44" s="66">
        <v>46010.0</v>
      </c>
      <c r="S44" s="66">
        <v>46010.0</v>
      </c>
      <c r="T44" s="66">
        <v>46010.0</v>
      </c>
      <c r="U44" s="44" t="s">
        <v>172</v>
      </c>
      <c r="V44" s="56" t="str">
        <f t="array" ref="V44">IF(EXACT(U44, ""), "", XLOOKUP(U44, Equipo[nickname], Equipo[user]))</f>
        <v>rcuevas</v>
      </c>
      <c r="W44" s="44" t="s">
        <v>166</v>
      </c>
      <c r="X44" s="56" t="str">
        <f t="array" ref="X44">IF(EXACT(W44, ""), "", XLOOKUP(W44, Equipo[nickname], Equipo[user]))</f>
        <v>nmejia</v>
      </c>
      <c r="Y44" s="41" t="s">
        <v>174</v>
      </c>
      <c r="Z44" s="41" t="str">
        <f>IFERROR(__xludf.DUMMYFUNCTION("IF(EXACT(Y44, """"), """", TEXTJOIN("", "", TRUE, ARRAYFORMULA(XLOOKUP(TRIM(SPLIT(Y44, "","")), Equipo[nickname], Equipo[user], """"))))"),"jenriquez")</f>
        <v>jenriquez</v>
      </c>
      <c r="AA44" s="56"/>
      <c r="AB44" s="42" t="str">
        <f>IFERROR(__xludf.DUMMYFUNCTION("IF(EXACT(AA44, """"), """", TEXTJOIN("", "", TRUE, ARRAYFORMULA(XLOOKUP(TRIM(SPLIT(AA44, "","")), Equipo[nickname], Equipo[user]))))"),"")</f>
        <v/>
      </c>
      <c r="AC44" s="72" t="s">
        <v>266</v>
      </c>
      <c r="AD44" s="42" t="str">
        <f>IFERROR(__xludf.DUMMYFUNCTION("IF(EXACT(AC44, """"), """", TEXTJOIN("", "", TRUE, ARRAYFORMULA(XLOOKUP(TRIM(SPLIT(AC44, "","")), Equipo[nickname], Equipo[user], """"))))"),"")</f>
        <v/>
      </c>
      <c r="AE44" s="68"/>
      <c r="AF44" s="57" t="str">
        <f>IFERROR(__xludf.DUMMYFUNCTION("IF(EXACT(AE44, """"), """", TEXTJOIN("", "", TRUE, ARRAYFORMULA(XLOOKUP(TRIM(SPLIT(AE44, "","")), Equipo[nickname], Equipo[user], """"))))"),"")</f>
        <v/>
      </c>
      <c r="AG44" s="57"/>
      <c r="AH44" s="58"/>
    </row>
    <row r="45" ht="22.5" hidden="1" customHeight="1">
      <c r="A45" s="60">
        <v>70.0</v>
      </c>
      <c r="B45" s="61" t="s">
        <v>447</v>
      </c>
      <c r="C45" s="51" t="s">
        <v>448</v>
      </c>
      <c r="D45" s="52" t="s">
        <v>449</v>
      </c>
      <c r="E45" s="52" t="s">
        <v>224</v>
      </c>
      <c r="F45" s="52" t="s">
        <v>450</v>
      </c>
      <c r="G45" s="41" t="s">
        <v>226</v>
      </c>
      <c r="H45" s="41" t="s">
        <v>227</v>
      </c>
      <c r="I45" s="62" t="s">
        <v>406</v>
      </c>
      <c r="J45" s="44" t="s">
        <v>272</v>
      </c>
      <c r="K45" s="53">
        <v>0.1</v>
      </c>
      <c r="L45" s="62" t="s">
        <v>242</v>
      </c>
      <c r="M45" s="52" t="s">
        <v>450</v>
      </c>
      <c r="N45" s="62" t="s">
        <v>243</v>
      </c>
      <c r="O45" s="63"/>
      <c r="P45" s="64">
        <v>13.0</v>
      </c>
      <c r="Q45" s="65">
        <v>46007.0</v>
      </c>
      <c r="R45" s="66">
        <v>46112.0</v>
      </c>
      <c r="S45" s="66">
        <v>46112.0</v>
      </c>
      <c r="T45" s="66">
        <v>46112.0</v>
      </c>
      <c r="U45" s="44" t="s">
        <v>172</v>
      </c>
      <c r="V45" s="56" t="str">
        <f t="array" ref="V45">IF(EXACT(U45, ""), "", XLOOKUP(U45, Equipo[nickname], Equipo[user]))</f>
        <v>rcuevas</v>
      </c>
      <c r="W45" s="44" t="s">
        <v>166</v>
      </c>
      <c r="X45" s="56" t="str">
        <f t="array" ref="X45">IF(EXACT(W45, ""), "", XLOOKUP(W45, Equipo[nickname], Equipo[user]))</f>
        <v>nmejia</v>
      </c>
      <c r="Y45" s="41" t="s">
        <v>174</v>
      </c>
      <c r="Z45" s="41" t="str">
        <f>IFERROR(__xludf.DUMMYFUNCTION("IF(EXACT(Y45, """"), """", TEXTJOIN("", "", TRUE, ARRAYFORMULA(XLOOKUP(TRIM(SPLIT(Y45, "","")), Equipo[nickname], Equipo[user], """"))))"),"jenriquez")</f>
        <v>jenriquez</v>
      </c>
      <c r="AA45" s="56"/>
      <c r="AB45" s="42" t="str">
        <f>IFERROR(__xludf.DUMMYFUNCTION("IF(EXACT(AA45, """"), """", TEXTJOIN("", "", TRUE, ARRAYFORMULA(XLOOKUP(TRIM(SPLIT(AA45, "","")), Equipo[nickname], Equipo[user]))))"),"")</f>
        <v/>
      </c>
      <c r="AC45" s="72" t="s">
        <v>266</v>
      </c>
      <c r="AD45" s="42" t="str">
        <f>IFERROR(__xludf.DUMMYFUNCTION("IF(EXACT(AC45, """"), """", TEXTJOIN("", "", TRUE, ARRAYFORMULA(XLOOKUP(TRIM(SPLIT(AC45, "","")), Equipo[nickname], Equipo[user], """"))))"),"")</f>
        <v/>
      </c>
      <c r="AE45" s="68"/>
      <c r="AF45" s="57" t="str">
        <f>IFERROR(__xludf.DUMMYFUNCTION("IF(EXACT(AE45, """"), """", TEXTJOIN("", "", TRUE, ARRAYFORMULA(XLOOKUP(TRIM(SPLIT(AE45, "","")), Equipo[nickname], Equipo[user], """"))))"),"")</f>
        <v/>
      </c>
      <c r="AG45" s="57"/>
      <c r="AH45" s="58"/>
    </row>
    <row r="46" ht="22.5" hidden="1" customHeight="1">
      <c r="A46" s="60">
        <v>78.0</v>
      </c>
      <c r="B46" s="61" t="s">
        <v>451</v>
      </c>
      <c r="C46" s="51" t="s">
        <v>452</v>
      </c>
      <c r="D46" s="52" t="s">
        <v>453</v>
      </c>
      <c r="E46" s="52" t="s">
        <v>224</v>
      </c>
      <c r="F46" s="52" t="s">
        <v>443</v>
      </c>
      <c r="G46" s="41" t="s">
        <v>226</v>
      </c>
      <c r="H46" s="41" t="s">
        <v>227</v>
      </c>
      <c r="I46" s="62" t="s">
        <v>406</v>
      </c>
      <c r="J46" s="44" t="s">
        <v>272</v>
      </c>
      <c r="K46" s="53">
        <v>0.1</v>
      </c>
      <c r="L46" s="62" t="s">
        <v>242</v>
      </c>
      <c r="M46" s="52" t="s">
        <v>443</v>
      </c>
      <c r="N46" s="62" t="s">
        <v>231</v>
      </c>
      <c r="O46" s="63"/>
      <c r="P46" s="64">
        <v>1.0</v>
      </c>
      <c r="Q46" s="65">
        <v>46122.0</v>
      </c>
      <c r="R46" s="77">
        <v>46387.0</v>
      </c>
      <c r="S46" s="66">
        <v>73415.0</v>
      </c>
      <c r="T46" s="42" t="s">
        <v>233</v>
      </c>
      <c r="U46" s="44" t="s">
        <v>172</v>
      </c>
      <c r="V46" s="56" t="str">
        <f t="array" ref="V46">IF(EXACT(U46, ""), "", XLOOKUP(U46, Equipo[nickname], Equipo[user]))</f>
        <v>rcuevas</v>
      </c>
      <c r="W46" s="44" t="s">
        <v>166</v>
      </c>
      <c r="X46" s="56" t="str">
        <f t="array" ref="X46">IF(EXACT(W46, ""), "", XLOOKUP(W46, Equipo[nickname], Equipo[user]))</f>
        <v>nmejia</v>
      </c>
      <c r="Y46" s="41" t="s">
        <v>174</v>
      </c>
      <c r="Z46" s="41" t="str">
        <f>IFERROR(__xludf.DUMMYFUNCTION("IF(EXACT(Y46, """"), """", TEXTJOIN("", "", TRUE, ARRAYFORMULA(XLOOKUP(TRIM(SPLIT(Y46, "","")), Equipo[nickname], Equipo[user], """"))))"),"jenriquez")</f>
        <v>jenriquez</v>
      </c>
      <c r="AA46" s="56"/>
      <c r="AB46" s="42" t="str">
        <f>IFERROR(__xludf.DUMMYFUNCTION("IF(EXACT(AA46, """"), """", TEXTJOIN("", "", TRUE, ARRAYFORMULA(XLOOKUP(TRIM(SPLIT(AA46, "","")), Equipo[nickname], Equipo[user]))))"),"")</f>
        <v/>
      </c>
      <c r="AC46" s="67" t="s">
        <v>266</v>
      </c>
      <c r="AD46" s="42" t="str">
        <f>IFERROR(__xludf.DUMMYFUNCTION("IF(EXACT(AC46, """"), """", TEXTJOIN("", "", TRUE, ARRAYFORMULA(XLOOKUP(TRIM(SPLIT(AC46, "","")), Equipo[nickname], Equipo[user], """"))))"),"")</f>
        <v/>
      </c>
      <c r="AE46" s="68"/>
      <c r="AF46" s="57" t="str">
        <f>IFERROR(__xludf.DUMMYFUNCTION("IF(EXACT(AE46, """"), """", TEXTJOIN("", "", TRUE, ARRAYFORMULA(XLOOKUP(TRIM(SPLIT(AE46, "","")), Equipo[nickname], Equipo[user], """"))))"),"")</f>
        <v/>
      </c>
      <c r="AG46" s="57"/>
      <c r="AH46" s="58"/>
    </row>
    <row r="47" ht="22.5" hidden="1" customHeight="1">
      <c r="A47" s="41"/>
      <c r="B47" s="50" t="s">
        <v>454</v>
      </c>
      <c r="C47" s="51" t="s">
        <v>455</v>
      </c>
      <c r="D47" s="51" t="s">
        <v>456</v>
      </c>
      <c r="E47" s="42"/>
      <c r="F47" s="41"/>
      <c r="G47" s="41" t="s">
        <v>226</v>
      </c>
      <c r="H47" s="41"/>
      <c r="I47" s="69" t="s">
        <v>271</v>
      </c>
      <c r="J47" s="44" t="s">
        <v>272</v>
      </c>
      <c r="K47" s="53">
        <v>1.0</v>
      </c>
      <c r="L47" s="44" t="s">
        <v>249</v>
      </c>
      <c r="M47" s="42" t="s">
        <v>225</v>
      </c>
      <c r="N47" s="69" t="s">
        <v>231</v>
      </c>
      <c r="O47" s="63" t="s">
        <v>232</v>
      </c>
      <c r="P47" s="41">
        <v>40.0</v>
      </c>
      <c r="Q47" s="78">
        <v>46082.0</v>
      </c>
      <c r="R47" s="78">
        <v>46113.0</v>
      </c>
      <c r="S47" s="79">
        <v>46142.0</v>
      </c>
      <c r="T47" s="79">
        <v>46142.0</v>
      </c>
      <c r="U47" s="69" t="s">
        <v>151</v>
      </c>
      <c r="V47" s="56" t="str">
        <f t="array" ref="V47">IF(EXACT(U47, ""), "", XLOOKUP(U47, Equipo[nickname], Equipo[user]))</f>
        <v>hloredo</v>
      </c>
      <c r="W47" s="69" t="s">
        <v>149</v>
      </c>
      <c r="X47" s="68" t="str">
        <f t="array" ref="X47">IF(EXACT(W47, ""), "", XLOOKUP(W47, Equipo[nickname], Equipo[user]))</f>
        <v>dgonzalez</v>
      </c>
      <c r="Y47" s="68" t="s">
        <v>234</v>
      </c>
      <c r="Z47" s="42" t="str">
        <f>IFERROR(__xludf.DUMMYFUNCTION("IF(EXACT(Y47, """"), """", TEXTJOIN("", "", TRUE, ARRAYFORMULA(XLOOKUP(TRIM(SPLIT(Y47, "","")), Equipo[nickname], Equipo[user], """"))))"),"lbernal")</f>
        <v>lbernal</v>
      </c>
      <c r="AA47" s="68" t="s">
        <v>457</v>
      </c>
      <c r="AB47" s="42" t="str">
        <f>IFERROR(__xludf.DUMMYFUNCTION("IF(EXACT(AA47, """"), """", TEXTJOIN("", "", TRUE, ARRAYFORMULA(XLOOKUP(TRIM(SPLIT(AA47, "","")), Equipo[nickname], Equipo[user]))))"),"jlopez")</f>
        <v>jlopez</v>
      </c>
      <c r="AC47" s="42" t="s">
        <v>236</v>
      </c>
      <c r="AD47" s="42" t="str">
        <f>IFERROR(__xludf.DUMMYFUNCTION("IF(EXACT(AC47, """"), """", TEXTJOIN("", "", TRUE, ARRAYFORMULA(XLOOKUP(TRIM(SPLIT(AC47, "","")), Equipo[nickname], Equipo[user], """"))))"),"egonzalez")</f>
        <v>egonzalez</v>
      </c>
      <c r="AE47" s="68"/>
      <c r="AF47" s="57" t="str">
        <f>IFERROR(__xludf.DUMMYFUNCTION("IF(EXACT(AE47, """"), """", TEXTJOIN("", "", TRUE, ARRAYFORMULA(XLOOKUP(TRIM(SPLIT(AE47, "","")), Equipo[nickname], Equipo[user], """"))))"),"")</f>
        <v/>
      </c>
      <c r="AG47" s="41" t="s">
        <v>267</v>
      </c>
      <c r="AH47" s="41" t="s">
        <v>267</v>
      </c>
    </row>
    <row r="48" ht="22.5" customHeight="1">
      <c r="A48" s="41">
        <v>1032.0</v>
      </c>
      <c r="B48" s="50" t="s">
        <v>458</v>
      </c>
      <c r="C48" s="41" t="s">
        <v>459</v>
      </c>
      <c r="D48" s="42" t="s">
        <v>460</v>
      </c>
      <c r="E48" s="42" t="s">
        <v>224</v>
      </c>
      <c r="F48" s="41" t="s">
        <v>225</v>
      </c>
      <c r="G48" s="41" t="s">
        <v>226</v>
      </c>
      <c r="H48" s="41" t="s">
        <v>227</v>
      </c>
      <c r="I48" s="44" t="s">
        <v>461</v>
      </c>
      <c r="J48" s="44" t="s">
        <v>272</v>
      </c>
      <c r="K48" s="53">
        <v>0.05</v>
      </c>
      <c r="L48" s="44" t="s">
        <v>242</v>
      </c>
      <c r="M48" s="41" t="s">
        <v>225</v>
      </c>
      <c r="N48" s="44" t="s">
        <v>373</v>
      </c>
      <c r="O48" s="54"/>
      <c r="P48" s="41">
        <v>2.0</v>
      </c>
      <c r="Q48" s="55">
        <v>46005.0</v>
      </c>
      <c r="R48" s="55">
        <v>46174.0</v>
      </c>
      <c r="S48" s="55">
        <v>46203.0</v>
      </c>
      <c r="T48" s="42" t="s">
        <v>233</v>
      </c>
      <c r="U48" s="44" t="s">
        <v>151</v>
      </c>
      <c r="V48" s="56" t="str">
        <f t="array" ref="V48">IF(EXACT(U48, ""), "", XLOOKUP(U48, Equipo[nickname], Equipo[user]))</f>
        <v>hloredo</v>
      </c>
      <c r="W48" s="44" t="s">
        <v>149</v>
      </c>
      <c r="X48" s="56" t="str">
        <f t="array" ref="X48">IF(EXACT(W48, ""), "", XLOOKUP(W48, Equipo[nickname], Equipo[user]))</f>
        <v>dgonzalez</v>
      </c>
      <c r="Y48" s="41" t="s">
        <v>234</v>
      </c>
      <c r="Z48" s="41" t="str">
        <f>IFERROR(__xludf.DUMMYFUNCTION("IF(EXACT(Y48, """"), """", TEXTJOIN("", "", TRUE, ARRAYFORMULA(XLOOKUP(TRIM(SPLIT(Y48, "","")), Equipo[nickname], Equipo[user], """"))))"),"lbernal")</f>
        <v>lbernal</v>
      </c>
      <c r="AA48" s="56"/>
      <c r="AB48" s="41" t="str">
        <f>IFERROR(__xludf.DUMMYFUNCTION("IF(EXACT(AA48, """"), """", TEXTJOIN("", "", TRUE, ARRAYFORMULA(XLOOKUP(TRIM(SPLIT(AA48, "","")), Equipo[nickname], Equipo[user]))))"),"")</f>
        <v/>
      </c>
      <c r="AC48" s="41" t="s">
        <v>236</v>
      </c>
      <c r="AD48" s="41" t="str">
        <f>IFERROR(__xludf.DUMMYFUNCTION("IF(EXACT(AC48, """"), """", TEXTJOIN("", "", TRUE, ARRAYFORMULA(XLOOKUP(TRIM(SPLIT(AC48, "","")), Equipo[nickname], Equipo[user], """"))))"),"egonzalez")</f>
        <v>egonzalez</v>
      </c>
      <c r="AE48" s="56" t="s">
        <v>462</v>
      </c>
      <c r="AF48" s="57" t="str">
        <f>IFERROR(__xludf.DUMMYFUNCTION("IF(EXACT(AE48, """"), """", TEXTJOIN("", "", TRUE, ARRAYFORMULA(XLOOKUP(TRIM(SPLIT(AE48, "","")), Equipo[nickname], Equipo[user], """"))))"),"hloredo, lbernal")</f>
        <v>hloredo, lbernal</v>
      </c>
      <c r="AG48" s="57" t="s">
        <v>463</v>
      </c>
      <c r="AH48" s="58">
        <v>46142.0</v>
      </c>
    </row>
    <row r="49" ht="22.5" customHeight="1">
      <c r="A49" s="41">
        <v>1033.0</v>
      </c>
      <c r="B49" s="50" t="s">
        <v>464</v>
      </c>
      <c r="C49" s="41" t="s">
        <v>465</v>
      </c>
      <c r="D49" s="42" t="s">
        <v>466</v>
      </c>
      <c r="E49" s="42" t="s">
        <v>224</v>
      </c>
      <c r="F49" s="41" t="s">
        <v>225</v>
      </c>
      <c r="G49" s="41" t="s">
        <v>226</v>
      </c>
      <c r="H49" s="41" t="s">
        <v>227</v>
      </c>
      <c r="I49" s="44" t="s">
        <v>461</v>
      </c>
      <c r="J49" s="44" t="s">
        <v>272</v>
      </c>
      <c r="K49" s="53">
        <v>0.15</v>
      </c>
      <c r="L49" s="44" t="s">
        <v>242</v>
      </c>
      <c r="M49" s="41" t="s">
        <v>225</v>
      </c>
      <c r="N49" s="44" t="s">
        <v>373</v>
      </c>
      <c r="O49" s="54"/>
      <c r="P49" s="41">
        <v>2.0</v>
      </c>
      <c r="Q49" s="55">
        <v>46005.0</v>
      </c>
      <c r="R49" s="58">
        <v>46174.0</v>
      </c>
      <c r="S49" s="55">
        <v>46234.0</v>
      </c>
      <c r="T49" s="42" t="s">
        <v>233</v>
      </c>
      <c r="U49" s="44" t="s">
        <v>151</v>
      </c>
      <c r="V49" s="56" t="str">
        <f t="array" ref="V49">IF(EXACT(U49, ""), "", XLOOKUP(U49, Equipo[nickname], Equipo[user]))</f>
        <v>hloredo</v>
      </c>
      <c r="W49" s="44" t="s">
        <v>149</v>
      </c>
      <c r="X49" s="56" t="str">
        <f t="array" ref="X49">IF(EXACT(W49, ""), "", XLOOKUP(W49, Equipo[nickname], Equipo[user]))</f>
        <v>dgonzalez</v>
      </c>
      <c r="Y49" s="41" t="s">
        <v>234</v>
      </c>
      <c r="Z49" s="41" t="str">
        <f>IFERROR(__xludf.DUMMYFUNCTION("IF(EXACT(Y49, """"), """", TEXTJOIN("", "", TRUE, ARRAYFORMULA(XLOOKUP(TRIM(SPLIT(Y49, "","")), Equipo[nickname], Equipo[user], """"))))"),"lbernal")</f>
        <v>lbernal</v>
      </c>
      <c r="AA49" s="56"/>
      <c r="AB49" s="41" t="str">
        <f>IFERROR(__xludf.DUMMYFUNCTION("IF(EXACT(AA49, """"), """", TEXTJOIN("", "", TRUE, ARRAYFORMULA(XLOOKUP(TRIM(SPLIT(AA49, "","")), Equipo[nickname], Equipo[user]))))"),"")</f>
        <v/>
      </c>
      <c r="AC49" s="41" t="s">
        <v>236</v>
      </c>
      <c r="AD49" s="41" t="str">
        <f>IFERROR(__xludf.DUMMYFUNCTION("IF(EXACT(AC49, """"), """", TEXTJOIN("", "", TRUE, ARRAYFORMULA(XLOOKUP(TRIM(SPLIT(AC49, "","")), Equipo[nickname], Equipo[user], """"))))"),"egonzalez")</f>
        <v>egonzalez</v>
      </c>
      <c r="AE49" s="56" t="s">
        <v>462</v>
      </c>
      <c r="AF49" s="57" t="str">
        <f>IFERROR(__xludf.DUMMYFUNCTION("IF(EXACT(AE49, """"), """", TEXTJOIN("", "", TRUE, ARRAYFORMULA(XLOOKUP(TRIM(SPLIT(AE49, "","")), Equipo[nickname], Equipo[user], """"))))"),"hloredo, lbernal")</f>
        <v>hloredo, lbernal</v>
      </c>
      <c r="AG49" s="57" t="s">
        <v>467</v>
      </c>
      <c r="AH49" s="58">
        <v>46115.0</v>
      </c>
    </row>
    <row r="50" ht="22.5" customHeight="1">
      <c r="A50" s="41">
        <v>1034.0</v>
      </c>
      <c r="B50" s="50" t="s">
        <v>468</v>
      </c>
      <c r="C50" s="41" t="s">
        <v>469</v>
      </c>
      <c r="D50" s="42" t="s">
        <v>470</v>
      </c>
      <c r="E50" s="42" t="s">
        <v>224</v>
      </c>
      <c r="F50" s="41" t="s">
        <v>225</v>
      </c>
      <c r="G50" s="41" t="s">
        <v>226</v>
      </c>
      <c r="H50" s="41" t="s">
        <v>227</v>
      </c>
      <c r="I50" s="44" t="s">
        <v>461</v>
      </c>
      <c r="J50" s="44" t="s">
        <v>272</v>
      </c>
      <c r="K50" s="53">
        <v>0.01</v>
      </c>
      <c r="L50" s="44" t="s">
        <v>242</v>
      </c>
      <c r="M50" s="41" t="s">
        <v>225</v>
      </c>
      <c r="N50" s="44" t="s">
        <v>316</v>
      </c>
      <c r="O50" s="54"/>
      <c r="P50" s="41">
        <v>2.0</v>
      </c>
      <c r="Q50" s="55">
        <v>46005.0</v>
      </c>
      <c r="R50" s="55">
        <v>46174.0</v>
      </c>
      <c r="S50" s="55">
        <v>46203.0</v>
      </c>
      <c r="T50" s="42" t="s">
        <v>233</v>
      </c>
      <c r="U50" s="44" t="s">
        <v>151</v>
      </c>
      <c r="V50" s="56" t="str">
        <f t="array" ref="V50">IF(EXACT(U50, ""), "", XLOOKUP(U50, Equipo[nickname], Equipo[user]))</f>
        <v>hloredo</v>
      </c>
      <c r="W50" s="44" t="s">
        <v>149</v>
      </c>
      <c r="X50" s="56" t="str">
        <f t="array" ref="X50">IF(EXACT(W50, ""), "", XLOOKUP(W50, Equipo[nickname], Equipo[user]))</f>
        <v>dgonzalez</v>
      </c>
      <c r="Y50" s="41" t="s">
        <v>234</v>
      </c>
      <c r="Z50" s="41" t="str">
        <f>IFERROR(__xludf.DUMMYFUNCTION("IF(EXACT(Y50, """"), """", TEXTJOIN("", "", TRUE, ARRAYFORMULA(XLOOKUP(TRIM(SPLIT(Y50, "","")), Equipo[nickname], Equipo[user], """"))))"),"lbernal")</f>
        <v>lbernal</v>
      </c>
      <c r="AA50" s="56" t="s">
        <v>258</v>
      </c>
      <c r="AB50" s="41" t="str">
        <f>IFERROR(__xludf.DUMMYFUNCTION("IF(EXACT(AA50, """"), """", TEXTJOIN("", "", TRUE, ARRAYFORMULA(XLOOKUP(TRIM(SPLIT(AA50, "","")), Equipo[nickname], Equipo[user]))))"),"avazquez")</f>
        <v>avazquez</v>
      </c>
      <c r="AC50" s="41" t="s">
        <v>236</v>
      </c>
      <c r="AD50" s="41" t="str">
        <f>IFERROR(__xludf.DUMMYFUNCTION("IF(EXACT(AC50, """"), """", TEXTJOIN("", "", TRUE, ARRAYFORMULA(XLOOKUP(TRIM(SPLIT(AC50, "","")), Equipo[nickname], Equipo[user], """"))))"),"egonzalez")</f>
        <v>egonzalez</v>
      </c>
      <c r="AE50" s="56" t="s">
        <v>471</v>
      </c>
      <c r="AF50" s="57" t="str">
        <f>IFERROR(__xludf.DUMMYFUNCTION("IF(EXACT(AE50, """"), """", TEXTJOIN("", "", TRUE, ARRAYFORMULA(XLOOKUP(TRIM(SPLIT(AE50, "","")), Equipo[nickname], Equipo[user], """"))))"),"hloredo, lbernal, avazquez")</f>
        <v>hloredo, lbernal, avazquez</v>
      </c>
      <c r="AG50" s="57" t="s">
        <v>472</v>
      </c>
      <c r="AH50" s="58">
        <v>46115.0</v>
      </c>
    </row>
    <row r="51" ht="22.5" customHeight="1">
      <c r="A51" s="41">
        <v>1037.0</v>
      </c>
      <c r="B51" s="42"/>
      <c r="C51" s="51"/>
      <c r="D51" s="51" t="s">
        <v>473</v>
      </c>
      <c r="E51" s="42" t="s">
        <v>224</v>
      </c>
      <c r="F51" s="41" t="s">
        <v>225</v>
      </c>
      <c r="G51" s="41" t="s">
        <v>400</v>
      </c>
      <c r="H51" s="41" t="s">
        <v>227</v>
      </c>
      <c r="I51" s="44" t="s">
        <v>461</v>
      </c>
      <c r="J51" s="44" t="s">
        <v>272</v>
      </c>
      <c r="K51" s="53">
        <v>0.01</v>
      </c>
      <c r="L51" s="44" t="s">
        <v>249</v>
      </c>
      <c r="M51" s="41" t="s">
        <v>225</v>
      </c>
      <c r="N51" s="44" t="s">
        <v>231</v>
      </c>
      <c r="O51" s="54" t="s">
        <v>379</v>
      </c>
      <c r="P51" s="41">
        <v>40.0</v>
      </c>
      <c r="Q51" s="55">
        <v>46161.0</v>
      </c>
      <c r="R51" s="55">
        <v>46174.0</v>
      </c>
      <c r="S51" s="55">
        <v>46203.0</v>
      </c>
      <c r="T51" s="42" t="s">
        <v>233</v>
      </c>
      <c r="U51" s="44" t="s">
        <v>151</v>
      </c>
      <c r="V51" s="56" t="str">
        <f t="array" ref="V51">IF(EXACT(U51, ""), "", XLOOKUP(U51, Equipo[nickname], Equipo[user]))</f>
        <v>hloredo</v>
      </c>
      <c r="W51" s="44" t="s">
        <v>149</v>
      </c>
      <c r="X51" s="56" t="str">
        <f t="array" ref="X51">IF(EXACT(W51, ""), "", XLOOKUP(W51, Equipo[nickname], Equipo[user]))</f>
        <v>dgonzalez</v>
      </c>
      <c r="Y51" s="41" t="s">
        <v>234</v>
      </c>
      <c r="Z51" s="41" t="str">
        <f>IFERROR(__xludf.DUMMYFUNCTION("IF(EXACT(Y51, """"), """", TEXTJOIN("", "", TRUE, ARRAYFORMULA(XLOOKUP(TRIM(SPLIT(Y51, "","")), Equipo[nickname], Equipo[user], """"))))"),"lbernal")</f>
        <v>lbernal</v>
      </c>
      <c r="AA51" s="56"/>
      <c r="AB51" s="41" t="str">
        <f>IFERROR(__xludf.DUMMYFUNCTION("IF(EXACT(AA51, """"), """", TEXTJOIN("", "", TRUE, ARRAYFORMULA(XLOOKUP(TRIM(SPLIT(AA51, "","")), Equipo[nickname], Equipo[user]))))"),"")</f>
        <v/>
      </c>
      <c r="AC51" s="41" t="s">
        <v>236</v>
      </c>
      <c r="AD51" s="41" t="str">
        <f>IFERROR(__xludf.DUMMYFUNCTION("IF(EXACT(AC51, """"), """", TEXTJOIN("", "", TRUE, ARRAYFORMULA(XLOOKUP(TRIM(SPLIT(AC51, "","")), Equipo[nickname], Equipo[user], """"))))"),"egonzalez")</f>
        <v>egonzalez</v>
      </c>
      <c r="AE51" s="56" t="s">
        <v>474</v>
      </c>
      <c r="AF51" s="57" t="str">
        <f>IFERROR(__xludf.DUMMYFUNCTION("IF(EXACT(AE51, """"), """", TEXTJOIN("", "", TRUE, ARRAYFORMULA(XLOOKUP(TRIM(SPLIT(AE51, "","")), Equipo[nickname], Equipo[user], """"))))"),"hloredo, lbernal, egonzalez, czamudio")</f>
        <v>hloredo, lbernal, egonzalez, czamudio</v>
      </c>
      <c r="AG51" s="57" t="s">
        <v>475</v>
      </c>
      <c r="AH51" s="58">
        <v>46164.0</v>
      </c>
    </row>
    <row r="52" ht="22.5" customHeight="1">
      <c r="A52" s="41">
        <v>1038.0</v>
      </c>
      <c r="B52" s="42"/>
      <c r="C52" s="51"/>
      <c r="D52" s="51" t="s">
        <v>476</v>
      </c>
      <c r="E52" s="42" t="s">
        <v>224</v>
      </c>
      <c r="F52" s="41" t="s">
        <v>225</v>
      </c>
      <c r="G52" s="41" t="s">
        <v>226</v>
      </c>
      <c r="H52" s="41" t="s">
        <v>227</v>
      </c>
      <c r="I52" s="44" t="s">
        <v>461</v>
      </c>
      <c r="J52" s="44" t="s">
        <v>272</v>
      </c>
      <c r="K52" s="53">
        <v>0.01</v>
      </c>
      <c r="L52" s="44" t="s">
        <v>249</v>
      </c>
      <c r="M52" s="41" t="s">
        <v>225</v>
      </c>
      <c r="N52" s="44" t="s">
        <v>231</v>
      </c>
      <c r="O52" s="54" t="s">
        <v>379</v>
      </c>
      <c r="P52" s="41">
        <v>40.0</v>
      </c>
      <c r="Q52" s="55">
        <v>46161.0</v>
      </c>
      <c r="R52" s="55">
        <v>46174.0</v>
      </c>
      <c r="S52" s="55">
        <v>46203.0</v>
      </c>
      <c r="T52" s="42" t="s">
        <v>233</v>
      </c>
      <c r="U52" s="44" t="s">
        <v>151</v>
      </c>
      <c r="V52" s="56" t="str">
        <f t="array" ref="V52">IF(EXACT(U52, ""), "", XLOOKUP(U52, Equipo[nickname], Equipo[user]))</f>
        <v>hloredo</v>
      </c>
      <c r="W52" s="44" t="s">
        <v>149</v>
      </c>
      <c r="X52" s="56" t="str">
        <f t="array" ref="X52">IF(EXACT(W52, ""), "", XLOOKUP(W52, Equipo[nickname], Equipo[user]))</f>
        <v>dgonzalez</v>
      </c>
      <c r="Y52" s="41" t="s">
        <v>234</v>
      </c>
      <c r="Z52" s="41" t="str">
        <f>IFERROR(__xludf.DUMMYFUNCTION("IF(EXACT(Y52, """"), """", TEXTJOIN("", "", TRUE, ARRAYFORMULA(XLOOKUP(TRIM(SPLIT(Y52, "","")), Equipo[nickname], Equipo[user], """"))))"),"lbernal")</f>
        <v>lbernal</v>
      </c>
      <c r="AA52" s="56"/>
      <c r="AB52" s="41" t="str">
        <f>IFERROR(__xludf.DUMMYFUNCTION("IF(EXACT(AA52, """"), """", TEXTJOIN("", "", TRUE, ARRAYFORMULA(XLOOKUP(TRIM(SPLIT(AA52, "","")), Equipo[nickname], Equipo[user]))))"),"")</f>
        <v/>
      </c>
      <c r="AC52" s="41" t="s">
        <v>236</v>
      </c>
      <c r="AD52" s="41" t="str">
        <f>IFERROR(__xludf.DUMMYFUNCTION("IF(EXACT(AC52, """"), """", TEXTJOIN("", "", TRUE, ARRAYFORMULA(XLOOKUP(TRIM(SPLIT(AC52, "","")), Equipo[nickname], Equipo[user], """"))))"),"egonzalez")</f>
        <v>egonzalez</v>
      </c>
      <c r="AE52" s="56" t="s">
        <v>474</v>
      </c>
      <c r="AF52" s="57" t="str">
        <f>IFERROR(__xludf.DUMMYFUNCTION("IF(EXACT(AE52, """"), """", TEXTJOIN("", "", TRUE, ARRAYFORMULA(XLOOKUP(TRIM(SPLIT(AE52, "","")), Equipo[nickname], Equipo[user], """"))))"),"hloredo, lbernal, egonzalez, czamudio")</f>
        <v>hloredo, lbernal, egonzalez, czamudio</v>
      </c>
      <c r="AG52" s="57" t="s">
        <v>475</v>
      </c>
      <c r="AH52" s="58">
        <v>46164.0</v>
      </c>
    </row>
    <row r="53" ht="22.5" customHeight="1">
      <c r="A53" s="41">
        <v>1039.0</v>
      </c>
      <c r="B53" s="42"/>
      <c r="C53" s="51"/>
      <c r="D53" s="51" t="s">
        <v>477</v>
      </c>
      <c r="E53" s="42" t="s">
        <v>224</v>
      </c>
      <c r="F53" s="41" t="s">
        <v>225</v>
      </c>
      <c r="G53" s="41" t="s">
        <v>226</v>
      </c>
      <c r="H53" s="41" t="s">
        <v>227</v>
      </c>
      <c r="I53" s="44" t="s">
        <v>461</v>
      </c>
      <c r="J53" s="44" t="s">
        <v>272</v>
      </c>
      <c r="K53" s="53">
        <v>0.01</v>
      </c>
      <c r="L53" s="44" t="s">
        <v>249</v>
      </c>
      <c r="M53" s="41" t="s">
        <v>225</v>
      </c>
      <c r="N53" s="44" t="s">
        <v>231</v>
      </c>
      <c r="O53" s="54" t="s">
        <v>379</v>
      </c>
      <c r="P53" s="41">
        <v>40.0</v>
      </c>
      <c r="Q53" s="55">
        <v>46161.0</v>
      </c>
      <c r="R53" s="55">
        <v>46174.0</v>
      </c>
      <c r="S53" s="55">
        <v>46203.0</v>
      </c>
      <c r="T53" s="42" t="s">
        <v>233</v>
      </c>
      <c r="U53" s="44" t="s">
        <v>151</v>
      </c>
      <c r="V53" s="56" t="str">
        <f t="array" ref="V53">IF(EXACT(U53, ""), "", XLOOKUP(U53, Equipo[nickname], Equipo[user]))</f>
        <v>hloredo</v>
      </c>
      <c r="W53" s="44" t="s">
        <v>149</v>
      </c>
      <c r="X53" s="56" t="str">
        <f t="array" ref="X53">IF(EXACT(W53, ""), "", XLOOKUP(W53, Equipo[nickname], Equipo[user]))</f>
        <v>dgonzalez</v>
      </c>
      <c r="Y53" s="41" t="s">
        <v>234</v>
      </c>
      <c r="Z53" s="41" t="str">
        <f>IFERROR(__xludf.DUMMYFUNCTION("IF(EXACT(Y53, """"), """", TEXTJOIN("", "", TRUE, ARRAYFORMULA(XLOOKUP(TRIM(SPLIT(Y53, "","")), Equipo[nickname], Equipo[user], """"))))"),"lbernal")</f>
        <v>lbernal</v>
      </c>
      <c r="AA53" s="56"/>
      <c r="AB53" s="41" t="str">
        <f>IFERROR(__xludf.DUMMYFUNCTION("IF(EXACT(AA53, """"), """", TEXTJOIN("", "", TRUE, ARRAYFORMULA(XLOOKUP(TRIM(SPLIT(AA53, "","")), Equipo[nickname], Equipo[user]))))"),"")</f>
        <v/>
      </c>
      <c r="AC53" s="41" t="s">
        <v>236</v>
      </c>
      <c r="AD53" s="41" t="str">
        <f>IFERROR(__xludf.DUMMYFUNCTION("IF(EXACT(AC53, """"), """", TEXTJOIN("", "", TRUE, ARRAYFORMULA(XLOOKUP(TRIM(SPLIT(AC53, "","")), Equipo[nickname], Equipo[user], """"))))"),"egonzalez")</f>
        <v>egonzalez</v>
      </c>
      <c r="AE53" s="56" t="s">
        <v>474</v>
      </c>
      <c r="AF53" s="57" t="str">
        <f>IFERROR(__xludf.DUMMYFUNCTION("IF(EXACT(AE53, """"), """", TEXTJOIN("", "", TRUE, ARRAYFORMULA(XLOOKUP(TRIM(SPLIT(AE53, "","")), Equipo[nickname], Equipo[user], """"))))"),"hloredo, lbernal, egonzalez, czamudio")</f>
        <v>hloredo, lbernal, egonzalez, czamudio</v>
      </c>
      <c r="AG53" s="57" t="s">
        <v>475</v>
      </c>
      <c r="AH53" s="58">
        <v>46164.0</v>
      </c>
    </row>
    <row r="54" ht="22.5" customHeight="1">
      <c r="A54" s="41">
        <v>1040.0</v>
      </c>
      <c r="B54" s="42"/>
      <c r="C54" s="51"/>
      <c r="D54" s="51" t="s">
        <v>478</v>
      </c>
      <c r="E54" s="42" t="s">
        <v>224</v>
      </c>
      <c r="F54" s="41" t="s">
        <v>225</v>
      </c>
      <c r="G54" s="41" t="s">
        <v>400</v>
      </c>
      <c r="H54" s="41" t="s">
        <v>227</v>
      </c>
      <c r="I54" s="44" t="s">
        <v>461</v>
      </c>
      <c r="J54" s="44" t="s">
        <v>272</v>
      </c>
      <c r="K54" s="53">
        <v>0.01</v>
      </c>
      <c r="L54" s="44" t="s">
        <v>249</v>
      </c>
      <c r="M54" s="41" t="s">
        <v>225</v>
      </c>
      <c r="N54" s="44" t="s">
        <v>316</v>
      </c>
      <c r="O54" s="54" t="s">
        <v>479</v>
      </c>
      <c r="P54" s="41">
        <v>40.0</v>
      </c>
      <c r="Q54" s="55">
        <v>46161.0</v>
      </c>
      <c r="R54" s="55">
        <v>46174.0</v>
      </c>
      <c r="S54" s="55">
        <v>46203.0</v>
      </c>
      <c r="T54" s="42" t="s">
        <v>233</v>
      </c>
      <c r="U54" s="44" t="s">
        <v>151</v>
      </c>
      <c r="V54" s="56" t="str">
        <f t="array" ref="V54">IF(EXACT(U54, ""), "", XLOOKUP(U54, Equipo[nickname], Equipo[user]))</f>
        <v>hloredo</v>
      </c>
      <c r="W54" s="44" t="s">
        <v>149</v>
      </c>
      <c r="X54" s="56" t="str">
        <f t="array" ref="X54">IF(EXACT(W54, ""), "", XLOOKUP(W54, Equipo[nickname], Equipo[user]))</f>
        <v>dgonzalez</v>
      </c>
      <c r="Y54" s="41" t="s">
        <v>234</v>
      </c>
      <c r="Z54" s="41" t="str">
        <f>IFERROR(__xludf.DUMMYFUNCTION("IF(EXACT(Y54, """"), """", TEXTJOIN("", "", TRUE, ARRAYFORMULA(XLOOKUP(TRIM(SPLIT(Y54, "","")), Equipo[nickname], Equipo[user], """"))))"),"lbernal")</f>
        <v>lbernal</v>
      </c>
      <c r="AA54" s="56"/>
      <c r="AB54" s="41" t="str">
        <f>IFERROR(__xludf.DUMMYFUNCTION("IF(EXACT(AA54, """"), """", TEXTJOIN("", "", TRUE, ARRAYFORMULA(XLOOKUP(TRIM(SPLIT(AA54, "","")), Equipo[nickname], Equipo[user]))))"),"")</f>
        <v/>
      </c>
      <c r="AC54" s="41" t="s">
        <v>236</v>
      </c>
      <c r="AD54" s="41" t="str">
        <f>IFERROR(__xludf.DUMMYFUNCTION("IF(EXACT(AC54, """"), """", TEXTJOIN("", "", TRUE, ARRAYFORMULA(XLOOKUP(TRIM(SPLIT(AC54, "","")), Equipo[nickname], Equipo[user], """"))))"),"egonzalez")</f>
        <v>egonzalez</v>
      </c>
      <c r="AE54" s="56" t="s">
        <v>474</v>
      </c>
      <c r="AF54" s="57" t="str">
        <f>IFERROR(__xludf.DUMMYFUNCTION("IF(EXACT(AE54, """"), """", TEXTJOIN("", "", TRUE, ARRAYFORMULA(XLOOKUP(TRIM(SPLIT(AE54, "","")), Equipo[nickname], Equipo[user], """"))))"),"hloredo, lbernal, egonzalez, czamudio")</f>
        <v>hloredo, lbernal, egonzalez, czamudio</v>
      </c>
      <c r="AG54" s="57" t="s">
        <v>475</v>
      </c>
      <c r="AH54" s="58">
        <v>46164.0</v>
      </c>
    </row>
    <row r="55" ht="22.5" customHeight="1">
      <c r="A55" s="41">
        <v>1041.0</v>
      </c>
      <c r="B55" s="42"/>
      <c r="C55" s="51"/>
      <c r="D55" s="51" t="s">
        <v>480</v>
      </c>
      <c r="E55" s="42" t="s">
        <v>224</v>
      </c>
      <c r="F55" s="41" t="s">
        <v>225</v>
      </c>
      <c r="G55" s="41" t="s">
        <v>400</v>
      </c>
      <c r="H55" s="41" t="s">
        <v>227</v>
      </c>
      <c r="I55" s="44" t="s">
        <v>461</v>
      </c>
      <c r="J55" s="44" t="s">
        <v>272</v>
      </c>
      <c r="K55" s="53">
        <v>0.01</v>
      </c>
      <c r="L55" s="44" t="s">
        <v>249</v>
      </c>
      <c r="M55" s="41" t="s">
        <v>225</v>
      </c>
      <c r="N55" s="44" t="s">
        <v>231</v>
      </c>
      <c r="O55" s="54" t="s">
        <v>379</v>
      </c>
      <c r="P55" s="41">
        <v>40.0</v>
      </c>
      <c r="Q55" s="55">
        <v>46161.0</v>
      </c>
      <c r="R55" s="55">
        <v>46174.0</v>
      </c>
      <c r="S55" s="55">
        <v>46203.0</v>
      </c>
      <c r="T55" s="42" t="s">
        <v>233</v>
      </c>
      <c r="U55" s="44" t="s">
        <v>151</v>
      </c>
      <c r="V55" s="56" t="str">
        <f t="array" ref="V55">IF(EXACT(U55, ""), "", XLOOKUP(U55, Equipo[nickname], Equipo[user]))</f>
        <v>hloredo</v>
      </c>
      <c r="W55" s="44" t="s">
        <v>149</v>
      </c>
      <c r="X55" s="56" t="str">
        <f t="array" ref="X55">IF(EXACT(W55, ""), "", XLOOKUP(W55, Equipo[nickname], Equipo[user]))</f>
        <v>dgonzalez</v>
      </c>
      <c r="Y55" s="41" t="s">
        <v>234</v>
      </c>
      <c r="Z55" s="41" t="str">
        <f>IFERROR(__xludf.DUMMYFUNCTION("IF(EXACT(Y55, """"), """", TEXTJOIN("", "", TRUE, ARRAYFORMULA(XLOOKUP(TRIM(SPLIT(Y55, "","")), Equipo[nickname], Equipo[user], """"))))"),"lbernal")</f>
        <v>lbernal</v>
      </c>
      <c r="AA55" s="56"/>
      <c r="AB55" s="41" t="str">
        <f>IFERROR(__xludf.DUMMYFUNCTION("IF(EXACT(AA55, """"), """", TEXTJOIN("", "", TRUE, ARRAYFORMULA(XLOOKUP(TRIM(SPLIT(AA55, "","")), Equipo[nickname], Equipo[user]))))"),"")</f>
        <v/>
      </c>
      <c r="AC55" s="41" t="s">
        <v>236</v>
      </c>
      <c r="AD55" s="41" t="str">
        <f>IFERROR(__xludf.DUMMYFUNCTION("IF(EXACT(AC55, """"), """", TEXTJOIN("", "", TRUE, ARRAYFORMULA(XLOOKUP(TRIM(SPLIT(AC55, "","")), Equipo[nickname], Equipo[user], """"))))"),"egonzalez")</f>
        <v>egonzalez</v>
      </c>
      <c r="AE55" s="56" t="s">
        <v>474</v>
      </c>
      <c r="AF55" s="57" t="str">
        <f>IFERROR(__xludf.DUMMYFUNCTION("IF(EXACT(AE55, """"), """", TEXTJOIN("", "", TRUE, ARRAYFORMULA(XLOOKUP(TRIM(SPLIT(AE55, "","")), Equipo[nickname], Equipo[user], """"))))"),"hloredo, lbernal, egonzalez, czamudio")</f>
        <v>hloredo, lbernal, egonzalez, czamudio</v>
      </c>
      <c r="AG55" s="57" t="s">
        <v>475</v>
      </c>
      <c r="AH55" s="58">
        <v>46164.0</v>
      </c>
    </row>
    <row r="56" ht="22.5" customHeight="1">
      <c r="A56" s="41">
        <v>1042.0</v>
      </c>
      <c r="B56" s="42"/>
      <c r="C56" s="51"/>
      <c r="D56" s="51" t="s">
        <v>481</v>
      </c>
      <c r="E56" s="42" t="s">
        <v>224</v>
      </c>
      <c r="F56" s="41" t="s">
        <v>225</v>
      </c>
      <c r="G56" s="41" t="s">
        <v>226</v>
      </c>
      <c r="H56" s="41" t="s">
        <v>227</v>
      </c>
      <c r="I56" s="44" t="s">
        <v>461</v>
      </c>
      <c r="J56" s="44" t="s">
        <v>272</v>
      </c>
      <c r="K56" s="53">
        <v>0.01</v>
      </c>
      <c r="L56" s="44" t="s">
        <v>249</v>
      </c>
      <c r="M56" s="41" t="s">
        <v>225</v>
      </c>
      <c r="N56" s="44" t="s">
        <v>316</v>
      </c>
      <c r="O56" s="54" t="s">
        <v>479</v>
      </c>
      <c r="P56" s="41">
        <v>40.0</v>
      </c>
      <c r="Q56" s="55">
        <v>46161.0</v>
      </c>
      <c r="R56" s="55">
        <v>46174.0</v>
      </c>
      <c r="S56" s="55">
        <v>46203.0</v>
      </c>
      <c r="T56" s="42" t="s">
        <v>233</v>
      </c>
      <c r="U56" s="44" t="s">
        <v>151</v>
      </c>
      <c r="V56" s="56" t="str">
        <f t="array" ref="V56">IF(EXACT(U56, ""), "", XLOOKUP(U56, Equipo[nickname], Equipo[user]))</f>
        <v>hloredo</v>
      </c>
      <c r="W56" s="44" t="s">
        <v>149</v>
      </c>
      <c r="X56" s="56" t="str">
        <f t="array" ref="X56">IF(EXACT(W56, ""), "", XLOOKUP(W56, Equipo[nickname], Equipo[user]))</f>
        <v>dgonzalez</v>
      </c>
      <c r="Y56" s="41" t="s">
        <v>234</v>
      </c>
      <c r="Z56" s="41" t="str">
        <f>IFERROR(__xludf.DUMMYFUNCTION("IF(EXACT(Y56, """"), """", TEXTJOIN("", "", TRUE, ARRAYFORMULA(XLOOKUP(TRIM(SPLIT(Y56, "","")), Equipo[nickname], Equipo[user], """"))))"),"lbernal")</f>
        <v>lbernal</v>
      </c>
      <c r="AA56" s="56"/>
      <c r="AB56" s="41" t="str">
        <f>IFERROR(__xludf.DUMMYFUNCTION("IF(EXACT(AA56, """"), """", TEXTJOIN("", "", TRUE, ARRAYFORMULA(XLOOKUP(TRIM(SPLIT(AA56, "","")), Equipo[nickname], Equipo[user]))))"),"")</f>
        <v/>
      </c>
      <c r="AC56" s="41" t="s">
        <v>236</v>
      </c>
      <c r="AD56" s="41" t="str">
        <f>IFERROR(__xludf.DUMMYFUNCTION("IF(EXACT(AC56, """"), """", TEXTJOIN("", "", TRUE, ARRAYFORMULA(XLOOKUP(TRIM(SPLIT(AC56, "","")), Equipo[nickname], Equipo[user], """"))))"),"egonzalez")</f>
        <v>egonzalez</v>
      </c>
      <c r="AE56" s="56" t="s">
        <v>474</v>
      </c>
      <c r="AF56" s="57" t="str">
        <f>IFERROR(__xludf.DUMMYFUNCTION("IF(EXACT(AE56, """"), """", TEXTJOIN("", "", TRUE, ARRAYFORMULA(XLOOKUP(TRIM(SPLIT(AE56, "","")), Equipo[nickname], Equipo[user], """"))))"),"hloredo, lbernal, egonzalez, czamudio")</f>
        <v>hloredo, lbernal, egonzalez, czamudio</v>
      </c>
      <c r="AG56" s="57" t="s">
        <v>475</v>
      </c>
      <c r="AH56" s="58">
        <v>46164.0</v>
      </c>
    </row>
    <row r="57" ht="22.5" customHeight="1">
      <c r="A57" s="41">
        <v>1043.0</v>
      </c>
      <c r="B57" s="42"/>
      <c r="C57" s="51"/>
      <c r="D57" s="51" t="s">
        <v>482</v>
      </c>
      <c r="E57" s="42" t="s">
        <v>224</v>
      </c>
      <c r="F57" s="41" t="s">
        <v>225</v>
      </c>
      <c r="G57" s="41" t="s">
        <v>226</v>
      </c>
      <c r="H57" s="41" t="s">
        <v>227</v>
      </c>
      <c r="I57" s="44" t="s">
        <v>461</v>
      </c>
      <c r="J57" s="44" t="s">
        <v>272</v>
      </c>
      <c r="K57" s="53">
        <v>0.01</v>
      </c>
      <c r="L57" s="44" t="s">
        <v>249</v>
      </c>
      <c r="M57" s="41" t="s">
        <v>225</v>
      </c>
      <c r="N57" s="44" t="s">
        <v>231</v>
      </c>
      <c r="O57" s="54" t="s">
        <v>379</v>
      </c>
      <c r="P57" s="41">
        <v>40.0</v>
      </c>
      <c r="Q57" s="80"/>
      <c r="R57" s="55">
        <v>46174.0</v>
      </c>
      <c r="S57" s="55">
        <v>46203.0</v>
      </c>
      <c r="T57" s="42" t="s">
        <v>233</v>
      </c>
      <c r="U57" s="44" t="s">
        <v>151</v>
      </c>
      <c r="V57" s="56" t="str">
        <f t="array" ref="V57">IF(EXACT(U57, ""), "", XLOOKUP(U57, Equipo[nickname], Equipo[user]))</f>
        <v>hloredo</v>
      </c>
      <c r="W57" s="44" t="s">
        <v>149</v>
      </c>
      <c r="X57" s="56" t="str">
        <f t="array" ref="X57">IF(EXACT(W57, ""), "", XLOOKUP(W57, Equipo[nickname], Equipo[user]))</f>
        <v>dgonzalez</v>
      </c>
      <c r="Y57" s="41" t="s">
        <v>234</v>
      </c>
      <c r="Z57" s="41" t="str">
        <f>IFERROR(__xludf.DUMMYFUNCTION("IF(EXACT(Y57, """"), """", TEXTJOIN("", "", TRUE, ARRAYFORMULA(XLOOKUP(TRIM(SPLIT(Y57, "","")), Equipo[nickname], Equipo[user], """"))))"),"lbernal")</f>
        <v>lbernal</v>
      </c>
      <c r="AA57" s="56"/>
      <c r="AB57" s="41" t="str">
        <f>IFERROR(__xludf.DUMMYFUNCTION("IF(EXACT(AA57, """"), """", TEXTJOIN("", "", TRUE, ARRAYFORMULA(XLOOKUP(TRIM(SPLIT(AA57, "","")), Equipo[nickname], Equipo[user]))))"),"")</f>
        <v/>
      </c>
      <c r="AC57" s="41" t="s">
        <v>236</v>
      </c>
      <c r="AD57" s="41" t="str">
        <f>IFERROR(__xludf.DUMMYFUNCTION("IF(EXACT(AC57, """"), """", TEXTJOIN("", "", TRUE, ARRAYFORMULA(XLOOKUP(TRIM(SPLIT(AC57, "","")), Equipo[nickname], Equipo[user], """"))))"),"egonzalez")</f>
        <v>egonzalez</v>
      </c>
      <c r="AE57" s="56" t="s">
        <v>474</v>
      </c>
      <c r="AF57" s="57" t="str">
        <f>IFERROR(__xludf.DUMMYFUNCTION("IF(EXACT(AE57, """"), """", TEXTJOIN("", "", TRUE, ARRAYFORMULA(XLOOKUP(TRIM(SPLIT(AE57, "","")), Equipo[nickname], Equipo[user], """"))))"),"hloredo, lbernal, egonzalez, czamudio")</f>
        <v>hloredo, lbernal, egonzalez, czamudio</v>
      </c>
      <c r="AG57" s="57" t="s">
        <v>475</v>
      </c>
      <c r="AH57" s="58">
        <v>46164.0</v>
      </c>
    </row>
    <row r="58" ht="22.5" customHeight="1">
      <c r="A58" s="41">
        <v>1044.0</v>
      </c>
      <c r="B58" s="42"/>
      <c r="C58" s="51"/>
      <c r="D58" s="51" t="s">
        <v>483</v>
      </c>
      <c r="E58" s="42" t="s">
        <v>224</v>
      </c>
      <c r="F58" s="41" t="s">
        <v>225</v>
      </c>
      <c r="G58" s="41" t="s">
        <v>226</v>
      </c>
      <c r="H58" s="41" t="s">
        <v>227</v>
      </c>
      <c r="I58" s="44" t="s">
        <v>461</v>
      </c>
      <c r="J58" s="44" t="s">
        <v>272</v>
      </c>
      <c r="K58" s="53">
        <v>0.01</v>
      </c>
      <c r="L58" s="44" t="s">
        <v>249</v>
      </c>
      <c r="M58" s="41" t="s">
        <v>225</v>
      </c>
      <c r="N58" s="44" t="s">
        <v>231</v>
      </c>
      <c r="O58" s="54" t="s">
        <v>379</v>
      </c>
      <c r="P58" s="41">
        <v>40.0</v>
      </c>
      <c r="Q58" s="55">
        <v>46161.0</v>
      </c>
      <c r="R58" s="55">
        <v>46174.0</v>
      </c>
      <c r="S58" s="55">
        <v>46203.0</v>
      </c>
      <c r="T58" s="42" t="s">
        <v>233</v>
      </c>
      <c r="U58" s="44" t="s">
        <v>151</v>
      </c>
      <c r="V58" s="56" t="str">
        <f t="array" ref="V58">IF(EXACT(U58, ""), "", XLOOKUP(U58, Equipo[nickname], Equipo[user]))</f>
        <v>hloredo</v>
      </c>
      <c r="W58" s="44" t="s">
        <v>149</v>
      </c>
      <c r="X58" s="56" t="str">
        <f t="array" ref="X58">IF(EXACT(W58, ""), "", XLOOKUP(W58, Equipo[nickname], Equipo[user]))</f>
        <v>dgonzalez</v>
      </c>
      <c r="Y58" s="41" t="s">
        <v>234</v>
      </c>
      <c r="Z58" s="41" t="str">
        <f>IFERROR(__xludf.DUMMYFUNCTION("IF(EXACT(Y58, """"), """", TEXTJOIN("", "", TRUE, ARRAYFORMULA(XLOOKUP(TRIM(SPLIT(Y58, "","")), Equipo[nickname], Equipo[user], """"))))"),"lbernal")</f>
        <v>lbernal</v>
      </c>
      <c r="AA58" s="56"/>
      <c r="AB58" s="41" t="str">
        <f>IFERROR(__xludf.DUMMYFUNCTION("IF(EXACT(AA58, """"), """", TEXTJOIN("", "", TRUE, ARRAYFORMULA(XLOOKUP(TRIM(SPLIT(AA58, "","")), Equipo[nickname], Equipo[user]))))"),"")</f>
        <v/>
      </c>
      <c r="AC58" s="41" t="s">
        <v>236</v>
      </c>
      <c r="AD58" s="41" t="str">
        <f>IFERROR(__xludf.DUMMYFUNCTION("IF(EXACT(AC58, """"), """", TEXTJOIN("", "", TRUE, ARRAYFORMULA(XLOOKUP(TRIM(SPLIT(AC58, "","")), Equipo[nickname], Equipo[user], """"))))"),"egonzalez")</f>
        <v>egonzalez</v>
      </c>
      <c r="AE58" s="56" t="s">
        <v>474</v>
      </c>
      <c r="AF58" s="57" t="str">
        <f>IFERROR(__xludf.DUMMYFUNCTION("IF(EXACT(AE58, """"), """", TEXTJOIN("", "", TRUE, ARRAYFORMULA(XLOOKUP(TRIM(SPLIT(AE58, "","")), Equipo[nickname], Equipo[user], """"))))"),"hloredo, lbernal, egonzalez, czamudio")</f>
        <v>hloredo, lbernal, egonzalez, czamudio</v>
      </c>
      <c r="AG58" s="57" t="s">
        <v>475</v>
      </c>
      <c r="AH58" s="58">
        <v>46164.0</v>
      </c>
    </row>
    <row r="59" ht="22.5" customHeight="1">
      <c r="A59" s="41">
        <v>1045.0</v>
      </c>
      <c r="B59" s="42"/>
      <c r="C59" s="51"/>
      <c r="D59" s="51" t="s">
        <v>484</v>
      </c>
      <c r="E59" s="42" t="s">
        <v>224</v>
      </c>
      <c r="F59" s="41" t="s">
        <v>225</v>
      </c>
      <c r="G59" s="41" t="s">
        <v>226</v>
      </c>
      <c r="H59" s="41" t="s">
        <v>227</v>
      </c>
      <c r="I59" s="44" t="s">
        <v>461</v>
      </c>
      <c r="J59" s="44" t="s">
        <v>272</v>
      </c>
      <c r="K59" s="53">
        <v>0.01</v>
      </c>
      <c r="L59" s="44" t="s">
        <v>249</v>
      </c>
      <c r="M59" s="41" t="s">
        <v>225</v>
      </c>
      <c r="N59" s="44" t="s">
        <v>231</v>
      </c>
      <c r="O59" s="54" t="s">
        <v>379</v>
      </c>
      <c r="P59" s="41">
        <v>40.0</v>
      </c>
      <c r="Q59" s="55">
        <v>46161.0</v>
      </c>
      <c r="R59" s="55">
        <v>46174.0</v>
      </c>
      <c r="S59" s="55">
        <v>46203.0</v>
      </c>
      <c r="T59" s="42" t="s">
        <v>233</v>
      </c>
      <c r="U59" s="44" t="s">
        <v>151</v>
      </c>
      <c r="V59" s="56" t="str">
        <f t="array" ref="V59">IF(EXACT(U59, ""), "", XLOOKUP(U59, Equipo[nickname], Equipo[user]))</f>
        <v>hloredo</v>
      </c>
      <c r="W59" s="44" t="s">
        <v>149</v>
      </c>
      <c r="X59" s="56" t="str">
        <f t="array" ref="X59">IF(EXACT(W59, ""), "", XLOOKUP(W59, Equipo[nickname], Equipo[user]))</f>
        <v>dgonzalez</v>
      </c>
      <c r="Y59" s="41" t="s">
        <v>234</v>
      </c>
      <c r="Z59" s="41" t="str">
        <f>IFERROR(__xludf.DUMMYFUNCTION("IF(EXACT(Y59, """"), """", TEXTJOIN("", "", TRUE, ARRAYFORMULA(XLOOKUP(TRIM(SPLIT(Y59, "","")), Equipo[nickname], Equipo[user], """"))))"),"lbernal")</f>
        <v>lbernal</v>
      </c>
      <c r="AA59" s="56"/>
      <c r="AB59" s="41" t="str">
        <f>IFERROR(__xludf.DUMMYFUNCTION("IF(EXACT(AA59, """"), """", TEXTJOIN("", "", TRUE, ARRAYFORMULA(XLOOKUP(TRIM(SPLIT(AA59, "","")), Equipo[nickname], Equipo[user]))))"),"")</f>
        <v/>
      </c>
      <c r="AC59" s="41" t="s">
        <v>236</v>
      </c>
      <c r="AD59" s="41" t="str">
        <f>IFERROR(__xludf.DUMMYFUNCTION("IF(EXACT(AC59, """"), """", TEXTJOIN("", "", TRUE, ARRAYFORMULA(XLOOKUP(TRIM(SPLIT(AC59, "","")), Equipo[nickname], Equipo[user], """"))))"),"egonzalez")</f>
        <v>egonzalez</v>
      </c>
      <c r="AE59" s="56" t="s">
        <v>474</v>
      </c>
      <c r="AF59" s="57" t="str">
        <f>IFERROR(__xludf.DUMMYFUNCTION("IF(EXACT(AE59, """"), """", TEXTJOIN("", "", TRUE, ARRAYFORMULA(XLOOKUP(TRIM(SPLIT(AE59, "","")), Equipo[nickname], Equipo[user], """"))))"),"hloredo, lbernal, egonzalez, czamudio")</f>
        <v>hloredo, lbernal, egonzalez, czamudio</v>
      </c>
      <c r="AG59" s="57" t="s">
        <v>475</v>
      </c>
      <c r="AH59" s="58">
        <v>46164.0</v>
      </c>
    </row>
    <row r="60" ht="22.5" customHeight="1">
      <c r="A60" s="41">
        <v>1046.0</v>
      </c>
      <c r="B60" s="42"/>
      <c r="C60" s="51"/>
      <c r="D60" s="51" t="s">
        <v>485</v>
      </c>
      <c r="E60" s="42" t="s">
        <v>224</v>
      </c>
      <c r="F60" s="41" t="s">
        <v>225</v>
      </c>
      <c r="G60" s="41" t="s">
        <v>277</v>
      </c>
      <c r="H60" s="41" t="s">
        <v>227</v>
      </c>
      <c r="I60" s="44" t="s">
        <v>461</v>
      </c>
      <c r="J60" s="44" t="s">
        <v>272</v>
      </c>
      <c r="K60" s="53">
        <v>0.01</v>
      </c>
      <c r="L60" s="44" t="s">
        <v>249</v>
      </c>
      <c r="M60" s="41" t="s">
        <v>225</v>
      </c>
      <c r="N60" s="44" t="s">
        <v>231</v>
      </c>
      <c r="O60" s="54" t="s">
        <v>379</v>
      </c>
      <c r="P60" s="41">
        <v>40.0</v>
      </c>
      <c r="Q60" s="55">
        <v>46161.0</v>
      </c>
      <c r="R60" s="55">
        <v>46174.0</v>
      </c>
      <c r="S60" s="55">
        <v>46203.0</v>
      </c>
      <c r="T60" s="42" t="s">
        <v>233</v>
      </c>
      <c r="U60" s="44" t="s">
        <v>151</v>
      </c>
      <c r="V60" s="56" t="str">
        <f t="array" ref="V60">IF(EXACT(U60, ""), "", XLOOKUP(U60, Equipo[nickname], Equipo[user]))</f>
        <v>hloredo</v>
      </c>
      <c r="W60" s="44" t="s">
        <v>149</v>
      </c>
      <c r="X60" s="56" t="str">
        <f t="array" ref="X60">IF(EXACT(W60, ""), "", XLOOKUP(W60, Equipo[nickname], Equipo[user]))</f>
        <v>dgonzalez</v>
      </c>
      <c r="Y60" s="41" t="s">
        <v>234</v>
      </c>
      <c r="Z60" s="41" t="str">
        <f>IFERROR(__xludf.DUMMYFUNCTION("IF(EXACT(Y60, """"), """", TEXTJOIN("", "", TRUE, ARRAYFORMULA(XLOOKUP(TRIM(SPLIT(Y60, "","")), Equipo[nickname], Equipo[user], """"))))"),"lbernal")</f>
        <v>lbernal</v>
      </c>
      <c r="AA60" s="56"/>
      <c r="AB60" s="41" t="str">
        <f>IFERROR(__xludf.DUMMYFUNCTION("IF(EXACT(AA60, """"), """", TEXTJOIN("", "", TRUE, ARRAYFORMULA(XLOOKUP(TRIM(SPLIT(AA60, "","")), Equipo[nickname], Equipo[user]))))"),"")</f>
        <v/>
      </c>
      <c r="AC60" s="41" t="s">
        <v>236</v>
      </c>
      <c r="AD60" s="41" t="str">
        <f>IFERROR(__xludf.DUMMYFUNCTION("IF(EXACT(AC60, """"), """", TEXTJOIN("", "", TRUE, ARRAYFORMULA(XLOOKUP(TRIM(SPLIT(AC60, "","")), Equipo[nickname], Equipo[user], """"))))"),"egonzalez")</f>
        <v>egonzalez</v>
      </c>
      <c r="AE60" s="56" t="s">
        <v>474</v>
      </c>
      <c r="AF60" s="57" t="str">
        <f>IFERROR(__xludf.DUMMYFUNCTION("IF(EXACT(AE60, """"), """", TEXTJOIN("", "", TRUE, ARRAYFORMULA(XLOOKUP(TRIM(SPLIT(AE60, "","")), Equipo[nickname], Equipo[user], """"))))"),"hloredo, lbernal, egonzalez, czamudio")</f>
        <v>hloredo, lbernal, egonzalez, czamudio</v>
      </c>
      <c r="AG60" s="57" t="s">
        <v>475</v>
      </c>
      <c r="AH60" s="58">
        <v>46164.0</v>
      </c>
    </row>
  </sheetData>
  <dataValidations>
    <dataValidation type="list" allowBlank="1" sqref="AE2:AE60">
      <formula1>Equipo[nickname]</formula1>
    </dataValidation>
    <dataValidation type="list" allowBlank="1" sqref="N2:N60">
      <formula1>"2025 Q4,2026 Q3,2026 Q2,2026 Q1,-  -  -  -  -,2026 Q4,Soporte,Desarrollo 2da fase"</formula1>
    </dataValidation>
    <dataValidation type="list" allowBlank="1" sqref="L2:L60">
      <formula1>"Crítica,Mayor,Menor,Bloqueadora,Trivial"</formula1>
    </dataValidation>
    <dataValidation type="list" allowBlank="1" sqref="AA2:AA60">
      <formula1>#REF!</formula1>
    </dataValidation>
    <dataValidation type="list" allowBlank="1" sqref="I2:I60">
      <formula1>"At Risk,Blocked / Critical,On Hold,On Track,Done,Hypercare,Upcoming"</formula1>
    </dataValidation>
    <dataValidation type="list" allowBlank="1" sqref="J2:J60">
      <formula1>"Estable,Requiere atencion,En riesgo"</formula1>
    </dataValidation>
    <dataValidation type="custom" allowBlank="1" showDropDown="1" sqref="Q2:Q60 S2:S60">
      <formula1>OR(NOT(ISERROR(DATEVALUE(Q2))), AND(ISNUMBER(Q2), LEFT(CELL("format", Q2))="D"))</formula1>
    </dataValidation>
    <dataValidation type="list" allowBlank="1" sqref="W2:W60">
      <formula1>"Dave,Fito,Nalle"</formula1>
    </dataValidation>
    <dataValidation type="list" allowBlank="1" sqref="U2:U60">
      <formula1>"Haylton,Fito"</formula1>
    </dataValidation>
    <dataValidation type="list" allowBlank="1" sqref="Y2:Y60">
      <formula1>"Luis,Montaño,George,Hugo,Fito,Raul"</formula1>
    </dataValidation>
    <dataValidation type="list" allowBlank="1" sqref="O2:O60">
      <formula1>Tabla_5[Sprint]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</hyperlinks>
  <drawing r:id="rId49"/>
  <tableParts count="1">
    <tablePart r:id="rId5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hidden="1" min="2" max="2" width="11.63"/>
    <col customWidth="1" min="3" max="3" width="11.63"/>
    <col customWidth="1" min="4" max="4" width="9.13"/>
    <col customWidth="1" min="5" max="5" width="24.25"/>
    <col customWidth="1" min="6" max="6" width="6.5"/>
    <col customWidth="1" min="7" max="7" width="36.13"/>
    <col customWidth="1" min="8" max="8" width="15.88"/>
    <col customWidth="1" hidden="1" min="9" max="9" width="16.13"/>
    <col customWidth="1" min="10" max="10" width="16.13"/>
    <col customWidth="1" min="11" max="11" width="17.0"/>
    <col customWidth="1" min="12" max="12" width="15.5"/>
    <col customWidth="1" min="13" max="13" width="17.38"/>
    <col customWidth="1" min="15" max="15" width="15.88"/>
  </cols>
  <sheetData>
    <row r="1" ht="22.5" customHeight="1">
      <c r="A1" s="81" t="s">
        <v>486</v>
      </c>
      <c r="B1" s="81" t="s">
        <v>487</v>
      </c>
      <c r="C1" s="81" t="s">
        <v>488</v>
      </c>
      <c r="D1" s="81" t="s">
        <v>201</v>
      </c>
      <c r="E1" s="81" t="s">
        <v>489</v>
      </c>
      <c r="F1" s="81" t="s">
        <v>189</v>
      </c>
      <c r="G1" s="81" t="s">
        <v>490</v>
      </c>
      <c r="H1" s="81" t="s">
        <v>491</v>
      </c>
      <c r="I1" s="81" t="s">
        <v>492</v>
      </c>
      <c r="J1" s="81" t="s">
        <v>493</v>
      </c>
      <c r="K1" s="81" t="s">
        <v>494</v>
      </c>
      <c r="L1" s="81" t="s">
        <v>495</v>
      </c>
      <c r="M1" s="81" t="s">
        <v>496</v>
      </c>
      <c r="N1" s="81" t="s">
        <v>497</v>
      </c>
      <c r="O1" s="81" t="s">
        <v>498</v>
      </c>
      <c r="P1" s="81" t="s">
        <v>499</v>
      </c>
      <c r="Q1" s="81" t="s">
        <v>500</v>
      </c>
      <c r="R1" s="81" t="s">
        <v>501</v>
      </c>
      <c r="S1" s="81" t="s">
        <v>202</v>
      </c>
      <c r="T1" s="81" t="s">
        <v>502</v>
      </c>
      <c r="U1" s="81" t="s">
        <v>503</v>
      </c>
      <c r="V1" s="81" t="s">
        <v>203</v>
      </c>
      <c r="W1" s="81" t="s">
        <v>204</v>
      </c>
      <c r="X1" s="81" t="s">
        <v>205</v>
      </c>
      <c r="Y1" s="81" t="s">
        <v>206</v>
      </c>
      <c r="Z1" s="81" t="s">
        <v>0</v>
      </c>
    </row>
    <row r="2" ht="22.5" customHeight="1">
      <c r="A2" s="82"/>
      <c r="B2" s="83" t="str">
        <f t="array" ref="B2">IF(EXACT(A2, ""), "", XLOOKUP(A2, Proyectos[nombre], Proyectos[folio]))</f>
        <v/>
      </c>
      <c r="C2" s="83" t="s">
        <v>225</v>
      </c>
      <c r="D2" s="84" t="s">
        <v>232</v>
      </c>
      <c r="E2" s="85" t="s">
        <v>504</v>
      </c>
      <c r="F2" s="85" t="s">
        <v>504</v>
      </c>
      <c r="G2" s="85" t="s">
        <v>505</v>
      </c>
      <c r="H2" s="86" t="s">
        <v>258</v>
      </c>
      <c r="I2" s="87" t="str">
        <f t="array" ref="I2">IF(EXACT(H2, ""), "", XLOOKUP(H2, Equipo[nickname], Equipo[user]))</f>
        <v>avazquez</v>
      </c>
      <c r="J2" s="88" t="s">
        <v>506</v>
      </c>
      <c r="K2" s="89" t="s">
        <v>507</v>
      </c>
      <c r="L2" s="90" t="s">
        <v>433</v>
      </c>
      <c r="M2" s="91" t="s">
        <v>508</v>
      </c>
      <c r="N2" s="92" t="s">
        <v>230</v>
      </c>
      <c r="O2" s="93" t="s">
        <v>509</v>
      </c>
      <c r="P2" s="85" t="s">
        <v>510</v>
      </c>
      <c r="Q2" s="85" t="s">
        <v>504</v>
      </c>
      <c r="R2" s="85" t="s">
        <v>227</v>
      </c>
      <c r="S2" s="91">
        <v>8.0</v>
      </c>
      <c r="T2" s="91">
        <v>8.0</v>
      </c>
      <c r="U2" s="94">
        <v>0.5</v>
      </c>
      <c r="V2" s="95">
        <v>46141.0</v>
      </c>
      <c r="W2" s="95">
        <v>46163.0</v>
      </c>
      <c r="X2" s="95">
        <v>46164.0</v>
      </c>
      <c r="Y2" s="91" t="s">
        <v>511</v>
      </c>
      <c r="Z2" s="91" t="s">
        <v>512</v>
      </c>
    </row>
    <row r="3" ht="22.5" customHeight="1">
      <c r="A3" s="96"/>
      <c r="B3" s="83" t="str">
        <f t="array" ref="B3">IF(EXACT(A3, ""), "", XLOOKUP(A3, Proyectos[nombre], Proyectos[folio]))</f>
        <v/>
      </c>
      <c r="C3" s="83" t="s">
        <v>225</v>
      </c>
      <c r="D3" s="84" t="s">
        <v>232</v>
      </c>
      <c r="E3" s="85" t="s">
        <v>513</v>
      </c>
      <c r="F3" s="97" t="s">
        <v>514</v>
      </c>
      <c r="G3" s="85" t="s">
        <v>515</v>
      </c>
      <c r="H3" s="86" t="s">
        <v>258</v>
      </c>
      <c r="I3" s="87" t="str">
        <f t="array" ref="I3">IF(EXACT(H3, ""), "", XLOOKUP(H3, Equipo[nickname], Equipo[user]))</f>
        <v>avazquez</v>
      </c>
      <c r="J3" s="98" t="s">
        <v>271</v>
      </c>
      <c r="K3" s="99" t="s">
        <v>516</v>
      </c>
      <c r="L3" s="100" t="s">
        <v>517</v>
      </c>
      <c r="M3" s="91" t="s">
        <v>518</v>
      </c>
      <c r="N3" s="92" t="s">
        <v>230</v>
      </c>
      <c r="O3" s="93" t="s">
        <v>509</v>
      </c>
      <c r="P3" s="85" t="s">
        <v>510</v>
      </c>
      <c r="Q3" s="85" t="s">
        <v>504</v>
      </c>
      <c r="R3" s="85" t="s">
        <v>227</v>
      </c>
      <c r="S3" s="91">
        <v>13.0</v>
      </c>
      <c r="T3" s="91"/>
      <c r="U3" s="91"/>
      <c r="V3" s="95">
        <v>46133.0</v>
      </c>
      <c r="W3" s="95">
        <v>46146.0</v>
      </c>
      <c r="X3" s="95">
        <v>46149.0</v>
      </c>
      <c r="Y3" s="91" t="s">
        <v>511</v>
      </c>
      <c r="Z3" s="91" t="s">
        <v>512</v>
      </c>
    </row>
    <row r="4" ht="22.5" customHeight="1">
      <c r="A4" s="96"/>
      <c r="B4" s="83" t="str">
        <f t="array" ref="B4">IF(EXACT(A4, ""), "", XLOOKUP(A4, Proyectos[nombre], Proyectos[folio]))</f>
        <v/>
      </c>
      <c r="C4" s="83" t="s">
        <v>225</v>
      </c>
      <c r="D4" s="84" t="s">
        <v>232</v>
      </c>
      <c r="E4" s="101" t="s">
        <v>519</v>
      </c>
      <c r="F4" s="102" t="s">
        <v>520</v>
      </c>
      <c r="G4" s="101" t="s">
        <v>521</v>
      </c>
      <c r="H4" s="86" t="s">
        <v>258</v>
      </c>
      <c r="I4" s="87" t="str">
        <f t="array" ref="I4">IF(EXACT(H4, ""), "", XLOOKUP(H4, Equipo[nickname], Equipo[user]))</f>
        <v>avazquez</v>
      </c>
      <c r="J4" s="103" t="s">
        <v>271</v>
      </c>
      <c r="K4" s="104" t="s">
        <v>522</v>
      </c>
      <c r="L4" s="105" t="s">
        <v>523</v>
      </c>
      <c r="M4" s="106" t="s">
        <v>524</v>
      </c>
      <c r="N4" s="105" t="s">
        <v>230</v>
      </c>
      <c r="O4" s="107" t="s">
        <v>525</v>
      </c>
      <c r="P4" s="101" t="s">
        <v>510</v>
      </c>
      <c r="Q4" s="101" t="s">
        <v>504</v>
      </c>
      <c r="R4" s="101" t="s">
        <v>227</v>
      </c>
      <c r="S4" s="106">
        <v>8.0</v>
      </c>
      <c r="T4" s="106"/>
      <c r="U4" s="106"/>
      <c r="V4" s="108">
        <v>46141.0</v>
      </c>
      <c r="W4" s="108">
        <v>46141.0</v>
      </c>
      <c r="X4" s="108">
        <v>46141.0</v>
      </c>
      <c r="Y4" s="108">
        <v>46142.0</v>
      </c>
      <c r="Z4" s="106" t="s">
        <v>512</v>
      </c>
    </row>
    <row r="5" ht="22.5" customHeight="1">
      <c r="A5" s="96"/>
      <c r="B5" s="83" t="str">
        <f t="array" ref="B5">IF(EXACT(A5, ""), "", XLOOKUP(A5, Proyectos[nombre], Proyectos[folio]))</f>
        <v/>
      </c>
      <c r="C5" s="83" t="s">
        <v>225</v>
      </c>
      <c r="D5" s="84" t="s">
        <v>232</v>
      </c>
      <c r="E5" s="101" t="s">
        <v>526</v>
      </c>
      <c r="F5" s="102" t="s">
        <v>527</v>
      </c>
      <c r="G5" s="101" t="s">
        <v>528</v>
      </c>
      <c r="H5" s="86" t="s">
        <v>258</v>
      </c>
      <c r="I5" s="87" t="str">
        <f t="array" ref="I5">IF(EXACT(H5, ""), "", XLOOKUP(H5, Equipo[nickname], Equipo[user]))</f>
        <v>avazquez</v>
      </c>
      <c r="J5" s="109" t="s">
        <v>529</v>
      </c>
      <c r="K5" s="110" t="s">
        <v>516</v>
      </c>
      <c r="L5" s="111" t="s">
        <v>517</v>
      </c>
      <c r="M5" s="106" t="s">
        <v>518</v>
      </c>
      <c r="N5" s="112" t="s">
        <v>264</v>
      </c>
      <c r="O5" s="113" t="s">
        <v>509</v>
      </c>
      <c r="P5" s="101" t="s">
        <v>510</v>
      </c>
      <c r="Q5" s="101" t="s">
        <v>504</v>
      </c>
      <c r="R5" s="101" t="s">
        <v>227</v>
      </c>
      <c r="S5" s="106">
        <v>8.0</v>
      </c>
      <c r="T5" s="106"/>
      <c r="U5" s="106"/>
      <c r="V5" s="108">
        <v>46134.0</v>
      </c>
      <c r="W5" s="108">
        <v>46146.0</v>
      </c>
      <c r="X5" s="108">
        <v>46153.0</v>
      </c>
      <c r="Y5" s="106" t="s">
        <v>511</v>
      </c>
      <c r="Z5" s="106" t="s">
        <v>512</v>
      </c>
    </row>
    <row r="6" ht="22.5" customHeight="1">
      <c r="A6" s="96"/>
      <c r="B6" s="83" t="str">
        <f t="array" ref="B6">IF(EXACT(A6, ""), "", XLOOKUP(A6, Proyectos[nombre], Proyectos[folio]))</f>
        <v/>
      </c>
      <c r="C6" s="83" t="s">
        <v>225</v>
      </c>
      <c r="D6" s="84" t="s">
        <v>232</v>
      </c>
      <c r="E6" s="85" t="s">
        <v>530</v>
      </c>
      <c r="F6" s="97" t="s">
        <v>531</v>
      </c>
      <c r="G6" s="85" t="s">
        <v>532</v>
      </c>
      <c r="H6" s="86" t="s">
        <v>258</v>
      </c>
      <c r="I6" s="87" t="str">
        <f t="array" ref="I6">IF(EXACT(H6, ""), "", XLOOKUP(H6, Equipo[nickname], Equipo[user]))</f>
        <v>avazquez</v>
      </c>
      <c r="J6" s="88" t="s">
        <v>271</v>
      </c>
      <c r="K6" s="114" t="s">
        <v>507</v>
      </c>
      <c r="L6" s="100" t="s">
        <v>517</v>
      </c>
      <c r="M6" s="91" t="s">
        <v>518</v>
      </c>
      <c r="N6" s="100" t="s">
        <v>242</v>
      </c>
      <c r="O6" s="115" t="s">
        <v>509</v>
      </c>
      <c r="P6" s="85" t="s">
        <v>510</v>
      </c>
      <c r="Q6" s="85" t="s">
        <v>504</v>
      </c>
      <c r="R6" s="85" t="s">
        <v>227</v>
      </c>
      <c r="S6" s="91">
        <v>8.0</v>
      </c>
      <c r="T6" s="91"/>
      <c r="U6" s="91"/>
      <c r="V6" s="95">
        <v>46133.0</v>
      </c>
      <c r="W6" s="95">
        <v>46147.0</v>
      </c>
      <c r="X6" s="95">
        <v>46157.0</v>
      </c>
      <c r="Y6" s="91" t="s">
        <v>511</v>
      </c>
      <c r="Z6" s="91" t="s">
        <v>512</v>
      </c>
    </row>
    <row r="7" ht="22.5" customHeight="1">
      <c r="A7" s="96"/>
      <c r="B7" s="83" t="str">
        <f t="array" ref="B7">IF(EXACT(A7, ""), "", XLOOKUP(A7, Proyectos[nombre], Proyectos[folio]))</f>
        <v/>
      </c>
      <c r="C7" s="83" t="s">
        <v>225</v>
      </c>
      <c r="D7" s="84" t="s">
        <v>232</v>
      </c>
      <c r="E7" s="101" t="s">
        <v>533</v>
      </c>
      <c r="F7" s="102" t="s">
        <v>534</v>
      </c>
      <c r="G7" s="101" t="s">
        <v>535</v>
      </c>
      <c r="H7" s="86" t="s">
        <v>258</v>
      </c>
      <c r="I7" s="87" t="str">
        <f t="array" ref="I7">IF(EXACT(H7, ""), "", XLOOKUP(H7, Equipo[nickname], Equipo[user]))</f>
        <v>avazquez</v>
      </c>
      <c r="J7" s="109" t="s">
        <v>271</v>
      </c>
      <c r="K7" s="116" t="s">
        <v>536</v>
      </c>
      <c r="L7" s="111" t="s">
        <v>517</v>
      </c>
      <c r="M7" s="106" t="s">
        <v>518</v>
      </c>
      <c r="N7" s="111" t="s">
        <v>242</v>
      </c>
      <c r="O7" s="117" t="s">
        <v>509</v>
      </c>
      <c r="P7" s="101" t="s">
        <v>510</v>
      </c>
      <c r="Q7" s="101" t="s">
        <v>504</v>
      </c>
      <c r="R7" s="101" t="s">
        <v>227</v>
      </c>
      <c r="S7" s="106">
        <v>8.0</v>
      </c>
      <c r="T7" s="106"/>
      <c r="U7" s="106"/>
      <c r="V7" s="108">
        <v>46135.0</v>
      </c>
      <c r="W7" s="108">
        <v>46148.0</v>
      </c>
      <c r="X7" s="108">
        <v>46155.0</v>
      </c>
      <c r="Y7" s="106" t="s">
        <v>511</v>
      </c>
      <c r="Z7" s="106" t="s">
        <v>512</v>
      </c>
    </row>
    <row r="8" ht="22.5" customHeight="1">
      <c r="A8" s="96"/>
      <c r="B8" s="83" t="str">
        <f t="array" ref="B8">IF(EXACT(A8, ""), "", XLOOKUP(A8, Proyectos[nombre], Proyectos[folio]))</f>
        <v/>
      </c>
      <c r="C8" s="83" t="s">
        <v>225</v>
      </c>
      <c r="D8" s="84" t="s">
        <v>232</v>
      </c>
      <c r="E8" s="85" t="s">
        <v>504</v>
      </c>
      <c r="F8" s="85" t="s">
        <v>504</v>
      </c>
      <c r="G8" s="85" t="s">
        <v>537</v>
      </c>
      <c r="H8" s="86" t="s">
        <v>116</v>
      </c>
      <c r="I8" s="87" t="str">
        <f t="array" ref="I8">IF(EXACT(H8, ""), "", XLOOKUP(H8, Equipo[nickname], Equipo[user]))</f>
        <v>alara</v>
      </c>
      <c r="J8" s="118" t="s">
        <v>271</v>
      </c>
      <c r="K8" s="119" t="s">
        <v>522</v>
      </c>
      <c r="L8" s="90" t="s">
        <v>433</v>
      </c>
      <c r="M8" s="91" t="s">
        <v>508</v>
      </c>
      <c r="N8" s="92" t="s">
        <v>230</v>
      </c>
      <c r="O8" s="93" t="s">
        <v>525</v>
      </c>
      <c r="P8" s="85" t="s">
        <v>510</v>
      </c>
      <c r="Q8" s="85" t="s">
        <v>504</v>
      </c>
      <c r="R8" s="85" t="s">
        <v>227</v>
      </c>
      <c r="S8" s="91">
        <v>100.0</v>
      </c>
      <c r="T8" s="91">
        <v>100.0</v>
      </c>
      <c r="U8" s="94">
        <v>0.5</v>
      </c>
      <c r="V8" s="95">
        <v>46141.0</v>
      </c>
      <c r="W8" s="95">
        <v>46141.0</v>
      </c>
      <c r="X8" s="95">
        <v>46164.0</v>
      </c>
      <c r="Y8" s="95">
        <v>46164.0</v>
      </c>
      <c r="Z8" s="91" t="s">
        <v>512</v>
      </c>
    </row>
    <row r="9" ht="22.5" customHeight="1">
      <c r="A9" s="96"/>
      <c r="B9" s="83" t="str">
        <f t="array" ref="B9">IF(EXACT(A9, ""), "", XLOOKUP(A9, Proyectos[nombre], Proyectos[folio]))</f>
        <v/>
      </c>
      <c r="C9" s="83" t="s">
        <v>225</v>
      </c>
      <c r="D9" s="84" t="s">
        <v>232</v>
      </c>
      <c r="E9" s="101" t="s">
        <v>538</v>
      </c>
      <c r="F9" s="102" t="s">
        <v>539</v>
      </c>
      <c r="G9" s="101" t="s">
        <v>540</v>
      </c>
      <c r="H9" s="86" t="s">
        <v>135</v>
      </c>
      <c r="I9" s="87" t="str">
        <f t="array" ref="I9">IF(EXACT(H9, ""), "", XLOOKUP(H9, Equipo[nickname], Equipo[user]))</f>
        <v>ameza</v>
      </c>
      <c r="J9" s="120" t="s">
        <v>506</v>
      </c>
      <c r="K9" s="121" t="s">
        <v>516</v>
      </c>
      <c r="L9" s="111" t="s">
        <v>517</v>
      </c>
      <c r="M9" s="106" t="s">
        <v>541</v>
      </c>
      <c r="N9" s="122" t="s">
        <v>294</v>
      </c>
      <c r="O9" s="123" t="s">
        <v>542</v>
      </c>
      <c r="P9" s="101" t="s">
        <v>510</v>
      </c>
      <c r="Q9" s="101" t="s">
        <v>504</v>
      </c>
      <c r="R9" s="101" t="s">
        <v>227</v>
      </c>
      <c r="S9" s="106">
        <v>13.0</v>
      </c>
      <c r="T9" s="106">
        <v>13.0</v>
      </c>
      <c r="U9" s="94">
        <v>0.5</v>
      </c>
      <c r="V9" s="108">
        <v>46133.0</v>
      </c>
      <c r="W9" s="108">
        <v>46150.0</v>
      </c>
      <c r="X9" s="108">
        <v>46153.0</v>
      </c>
      <c r="Y9" s="106" t="s">
        <v>511</v>
      </c>
      <c r="Z9" s="106" t="s">
        <v>512</v>
      </c>
    </row>
    <row r="10" ht="22.5" customHeight="1">
      <c r="A10" s="96"/>
      <c r="B10" s="83" t="str">
        <f t="array" ref="B10">IF(EXACT(A10, ""), "", XLOOKUP(A10, Proyectos[nombre], Proyectos[folio]))</f>
        <v/>
      </c>
      <c r="C10" s="83" t="s">
        <v>225</v>
      </c>
      <c r="D10" s="84" t="s">
        <v>232</v>
      </c>
      <c r="E10" s="101" t="s">
        <v>504</v>
      </c>
      <c r="F10" s="101" t="s">
        <v>504</v>
      </c>
      <c r="G10" s="101" t="s">
        <v>543</v>
      </c>
      <c r="H10" s="86" t="s">
        <v>544</v>
      </c>
      <c r="I10" s="87" t="str">
        <f t="array" ref="I10">IF(EXACT(H10, ""), "", XLOOKUP(H10, Equipo[nickname], Equipo[user]))</f>
        <v>dperez</v>
      </c>
      <c r="J10" s="124" t="s">
        <v>271</v>
      </c>
      <c r="K10" s="125" t="s">
        <v>507</v>
      </c>
      <c r="L10" s="112" t="s">
        <v>545</v>
      </c>
      <c r="M10" s="106" t="s">
        <v>508</v>
      </c>
      <c r="N10" s="105" t="s">
        <v>230</v>
      </c>
      <c r="O10" s="126"/>
      <c r="P10" s="101" t="s">
        <v>510</v>
      </c>
      <c r="Q10" s="101" t="s">
        <v>504</v>
      </c>
      <c r="R10" s="101" t="s">
        <v>227</v>
      </c>
      <c r="S10" s="106">
        <v>8.0</v>
      </c>
      <c r="T10" s="106"/>
      <c r="U10" s="106"/>
      <c r="V10" s="108">
        <v>46141.0</v>
      </c>
      <c r="W10" s="108">
        <v>46141.0</v>
      </c>
      <c r="X10" s="108">
        <v>46141.0</v>
      </c>
      <c r="Y10" s="106" t="s">
        <v>511</v>
      </c>
      <c r="Z10" s="106" t="s">
        <v>546</v>
      </c>
    </row>
    <row r="11" ht="22.5" customHeight="1">
      <c r="A11" s="96"/>
      <c r="B11" s="83" t="str">
        <f t="array" ref="B11">IF(EXACT(A11, ""), "", XLOOKUP(A11, Proyectos[nombre], Proyectos[folio]))</f>
        <v/>
      </c>
      <c r="C11" s="83" t="s">
        <v>225</v>
      </c>
      <c r="D11" s="84" t="s">
        <v>232</v>
      </c>
      <c r="E11" s="85" t="s">
        <v>504</v>
      </c>
      <c r="F11" s="85" t="s">
        <v>504</v>
      </c>
      <c r="G11" s="85" t="s">
        <v>547</v>
      </c>
      <c r="H11" s="86" t="s">
        <v>544</v>
      </c>
      <c r="I11" s="87" t="str">
        <f t="array" ref="I11">IF(EXACT(H11, ""), "", XLOOKUP(H11, Equipo[nickname], Equipo[user]))</f>
        <v>dperez</v>
      </c>
      <c r="J11" s="88" t="s">
        <v>548</v>
      </c>
      <c r="K11" s="127" t="s">
        <v>536</v>
      </c>
      <c r="L11" s="119" t="s">
        <v>549</v>
      </c>
      <c r="M11" s="91" t="s">
        <v>508</v>
      </c>
      <c r="N11" s="92" t="s">
        <v>230</v>
      </c>
      <c r="O11" s="93" t="s">
        <v>509</v>
      </c>
      <c r="P11" s="128"/>
      <c r="Q11" s="85" t="s">
        <v>504</v>
      </c>
      <c r="R11" s="85" t="s">
        <v>227</v>
      </c>
      <c r="S11" s="91">
        <v>8.0</v>
      </c>
      <c r="T11" s="91">
        <v>8.0</v>
      </c>
      <c r="U11" s="94">
        <v>0.5</v>
      </c>
      <c r="V11" s="95">
        <v>46141.0</v>
      </c>
      <c r="W11" s="95">
        <v>46146.0</v>
      </c>
      <c r="X11" s="95">
        <v>46150.0</v>
      </c>
      <c r="Y11" s="91" t="s">
        <v>511</v>
      </c>
      <c r="Z11" s="91" t="s">
        <v>546</v>
      </c>
    </row>
    <row r="12" ht="22.5" customHeight="1">
      <c r="A12" s="96"/>
      <c r="B12" s="83" t="str">
        <f t="array" ref="B12">IF(EXACT(A12, ""), "", XLOOKUP(A12, Proyectos[nombre], Proyectos[folio]))</f>
        <v/>
      </c>
      <c r="C12" s="83" t="s">
        <v>225</v>
      </c>
      <c r="D12" s="84" t="s">
        <v>232</v>
      </c>
      <c r="E12" s="129"/>
      <c r="F12" s="129"/>
      <c r="G12" s="101" t="s">
        <v>550</v>
      </c>
      <c r="H12" s="86" t="s">
        <v>278</v>
      </c>
      <c r="I12" s="87" t="str">
        <f t="array" ref="I12">IF(EXACT(H12, ""), "", XLOOKUP(H12, Equipo[nickname], Equipo[user]))</f>
        <v>etorres</v>
      </c>
      <c r="J12" s="120" t="s">
        <v>271</v>
      </c>
      <c r="K12" s="130" t="s">
        <v>522</v>
      </c>
      <c r="L12" s="111" t="s">
        <v>517</v>
      </c>
      <c r="M12" s="106" t="s">
        <v>551</v>
      </c>
      <c r="N12" s="105" t="s">
        <v>230</v>
      </c>
      <c r="O12" s="126"/>
      <c r="P12" s="101" t="s">
        <v>510</v>
      </c>
      <c r="Q12" s="101" t="s">
        <v>504</v>
      </c>
      <c r="R12" s="101" t="s">
        <v>227</v>
      </c>
      <c r="S12" s="106">
        <v>40.0</v>
      </c>
      <c r="T12" s="106"/>
      <c r="U12" s="106"/>
      <c r="V12" s="108">
        <v>46139.0</v>
      </c>
      <c r="W12" s="108">
        <v>46155.0</v>
      </c>
      <c r="X12" s="108">
        <v>46160.0</v>
      </c>
      <c r="Y12" s="106" t="s">
        <v>511</v>
      </c>
      <c r="Z12" s="106" t="s">
        <v>512</v>
      </c>
    </row>
    <row r="13" ht="22.5" customHeight="1">
      <c r="A13" s="96"/>
      <c r="B13" s="83" t="str">
        <f t="array" ref="B13">IF(EXACT(A13, ""), "", XLOOKUP(A13, Proyectos[nombre], Proyectos[folio]))</f>
        <v/>
      </c>
      <c r="C13" s="83" t="s">
        <v>225</v>
      </c>
      <c r="D13" s="84" t="s">
        <v>232</v>
      </c>
      <c r="E13" s="85" t="s">
        <v>552</v>
      </c>
      <c r="F13" s="97" t="s">
        <v>553</v>
      </c>
      <c r="G13" s="85" t="s">
        <v>554</v>
      </c>
      <c r="H13" s="86" t="s">
        <v>278</v>
      </c>
      <c r="I13" s="87" t="str">
        <f t="array" ref="I13">IF(EXACT(H13, ""), "", XLOOKUP(H13, Equipo[nickname], Equipo[user]))</f>
        <v>etorres</v>
      </c>
      <c r="J13" s="131" t="s">
        <v>271</v>
      </c>
      <c r="K13" s="132" t="s">
        <v>522</v>
      </c>
      <c r="L13" s="100" t="s">
        <v>517</v>
      </c>
      <c r="M13" s="91" t="s">
        <v>551</v>
      </c>
      <c r="N13" s="119" t="s">
        <v>294</v>
      </c>
      <c r="O13" s="132"/>
      <c r="P13" s="85" t="s">
        <v>510</v>
      </c>
      <c r="Q13" s="85" t="s">
        <v>504</v>
      </c>
      <c r="R13" s="85" t="s">
        <v>227</v>
      </c>
      <c r="S13" s="91">
        <v>8.0</v>
      </c>
      <c r="T13" s="91"/>
      <c r="U13" s="91"/>
      <c r="V13" s="95">
        <v>46139.0</v>
      </c>
      <c r="W13" s="95">
        <v>46154.0</v>
      </c>
      <c r="X13" s="95">
        <v>46154.0</v>
      </c>
      <c r="Y13" s="91" t="s">
        <v>511</v>
      </c>
      <c r="Z13" s="91" t="s">
        <v>512</v>
      </c>
    </row>
    <row r="14" ht="22.5" customHeight="1">
      <c r="A14" s="96"/>
      <c r="B14" s="83" t="str">
        <f t="array" ref="B14">IF(EXACT(A14, ""), "", XLOOKUP(A14, Proyectos[nombre], Proyectos[folio]))</f>
        <v/>
      </c>
      <c r="C14" s="83" t="s">
        <v>225</v>
      </c>
      <c r="D14" s="84" t="s">
        <v>232</v>
      </c>
      <c r="E14" s="101" t="s">
        <v>504</v>
      </c>
      <c r="F14" s="101" t="s">
        <v>504</v>
      </c>
      <c r="G14" s="101" t="s">
        <v>555</v>
      </c>
      <c r="H14" s="86" t="s">
        <v>420</v>
      </c>
      <c r="I14" s="87" t="str">
        <f t="array" ref="I14">IF(EXACT(H14, ""), "", XLOOKUP(H14, Equipo[nickname], Equipo[user]))</f>
        <v>eramirez</v>
      </c>
      <c r="J14" s="124" t="s">
        <v>548</v>
      </c>
      <c r="K14" s="133" t="s">
        <v>516</v>
      </c>
      <c r="L14" s="134" t="s">
        <v>215</v>
      </c>
      <c r="M14" s="106" t="s">
        <v>508</v>
      </c>
      <c r="N14" s="105" t="s">
        <v>230</v>
      </c>
      <c r="O14" s="107" t="s">
        <v>509</v>
      </c>
      <c r="P14" s="101" t="s">
        <v>510</v>
      </c>
      <c r="Q14" s="101" t="s">
        <v>504</v>
      </c>
      <c r="R14" s="101" t="s">
        <v>227</v>
      </c>
      <c r="S14" s="106">
        <v>8.0</v>
      </c>
      <c r="T14" s="106">
        <v>8.0</v>
      </c>
      <c r="U14" s="94">
        <v>0.5</v>
      </c>
      <c r="V14" s="108">
        <v>46141.0</v>
      </c>
      <c r="W14" s="108">
        <v>46155.0</v>
      </c>
      <c r="X14" s="108">
        <v>46160.0</v>
      </c>
      <c r="Y14" s="106" t="s">
        <v>511</v>
      </c>
      <c r="Z14" s="106" t="s">
        <v>419</v>
      </c>
    </row>
    <row r="15" ht="22.5" customHeight="1">
      <c r="A15" s="96"/>
      <c r="B15" s="83" t="str">
        <f t="array" ref="B15">IF(EXACT(A15, ""), "", XLOOKUP(A15, Proyectos[nombre], Proyectos[folio]))</f>
        <v/>
      </c>
      <c r="C15" s="83" t="s">
        <v>225</v>
      </c>
      <c r="D15" s="84" t="s">
        <v>232</v>
      </c>
      <c r="E15" s="85" t="s">
        <v>556</v>
      </c>
      <c r="F15" s="97" t="s">
        <v>557</v>
      </c>
      <c r="G15" s="85" t="s">
        <v>558</v>
      </c>
      <c r="H15" s="86" t="s">
        <v>350</v>
      </c>
      <c r="I15" s="87" t="str">
        <f t="array" ref="I15">IF(EXACT(H15, ""), "", XLOOKUP(H15, Equipo[nickname], Equipo[user]))</f>
        <v>econtreras</v>
      </c>
      <c r="J15" s="135" t="s">
        <v>271</v>
      </c>
      <c r="K15" s="100" t="s">
        <v>516</v>
      </c>
      <c r="L15" s="100" t="s">
        <v>517</v>
      </c>
      <c r="M15" s="91" t="s">
        <v>541</v>
      </c>
      <c r="N15" s="136" t="s">
        <v>249</v>
      </c>
      <c r="O15" s="84" t="s">
        <v>509</v>
      </c>
      <c r="P15" s="85" t="s">
        <v>559</v>
      </c>
      <c r="Q15" s="85" t="s">
        <v>504</v>
      </c>
      <c r="R15" s="85" t="s">
        <v>227</v>
      </c>
      <c r="S15" s="91">
        <v>8.0</v>
      </c>
      <c r="T15" s="91">
        <v>8.0</v>
      </c>
      <c r="U15" s="94">
        <v>0.5</v>
      </c>
      <c r="V15" s="95">
        <v>46135.0</v>
      </c>
      <c r="W15" s="95">
        <v>46146.0</v>
      </c>
      <c r="X15" s="95">
        <v>46146.0</v>
      </c>
      <c r="Y15" s="91" t="s">
        <v>511</v>
      </c>
      <c r="Z15" s="91" t="s">
        <v>560</v>
      </c>
    </row>
    <row r="16" ht="22.5" customHeight="1">
      <c r="A16" s="96"/>
      <c r="B16" s="83" t="str">
        <f t="array" ref="B16">IF(EXACT(A16, ""), "", XLOOKUP(A16, Proyectos[nombre], Proyectos[folio]))</f>
        <v/>
      </c>
      <c r="C16" s="83" t="s">
        <v>225</v>
      </c>
      <c r="D16" s="84" t="s">
        <v>232</v>
      </c>
      <c r="E16" s="85" t="s">
        <v>561</v>
      </c>
      <c r="F16" s="97" t="s">
        <v>562</v>
      </c>
      <c r="G16" s="85" t="s">
        <v>563</v>
      </c>
      <c r="H16" s="86" t="s">
        <v>350</v>
      </c>
      <c r="I16" s="87" t="str">
        <f t="array" ref="I16">IF(EXACT(H16, ""), "", XLOOKUP(H16, Equipo[nickname], Equipo[user]))</f>
        <v>econtreras</v>
      </c>
      <c r="J16" s="131" t="s">
        <v>271</v>
      </c>
      <c r="K16" s="99" t="s">
        <v>516</v>
      </c>
      <c r="L16" s="92" t="s">
        <v>523</v>
      </c>
      <c r="M16" s="91" t="s">
        <v>524</v>
      </c>
      <c r="N16" s="92" t="s">
        <v>230</v>
      </c>
      <c r="O16" s="137"/>
      <c r="P16" s="85" t="s">
        <v>510</v>
      </c>
      <c r="Q16" s="85" t="s">
        <v>504</v>
      </c>
      <c r="R16" s="85" t="s">
        <v>227</v>
      </c>
      <c r="S16" s="91">
        <v>8.0</v>
      </c>
      <c r="T16" s="91"/>
      <c r="U16" s="91"/>
      <c r="V16" s="95">
        <v>46141.0</v>
      </c>
      <c r="W16" s="95">
        <v>46141.0</v>
      </c>
      <c r="X16" s="95">
        <v>46141.0</v>
      </c>
      <c r="Y16" s="95">
        <v>46142.0</v>
      </c>
      <c r="Z16" s="91" t="s">
        <v>560</v>
      </c>
    </row>
    <row r="17" ht="22.5" customHeight="1">
      <c r="A17" s="96"/>
      <c r="B17" s="83" t="str">
        <f t="array" ref="B17">IF(EXACT(A17, ""), "", XLOOKUP(A17, Proyectos[nombre], Proyectos[folio]))</f>
        <v/>
      </c>
      <c r="C17" s="83" t="s">
        <v>225</v>
      </c>
      <c r="D17" s="84" t="s">
        <v>232</v>
      </c>
      <c r="E17" s="101" t="s">
        <v>564</v>
      </c>
      <c r="F17" s="102" t="s">
        <v>565</v>
      </c>
      <c r="G17" s="101" t="s">
        <v>566</v>
      </c>
      <c r="H17" s="86" t="s">
        <v>350</v>
      </c>
      <c r="I17" s="87" t="str">
        <f t="array" ref="I17">IF(EXACT(H17, ""), "", XLOOKUP(H17, Equipo[nickname], Equipo[user]))</f>
        <v>econtreras</v>
      </c>
      <c r="J17" s="103" t="s">
        <v>271</v>
      </c>
      <c r="K17" s="104" t="s">
        <v>522</v>
      </c>
      <c r="L17" s="111" t="s">
        <v>517</v>
      </c>
      <c r="M17" s="106" t="s">
        <v>541</v>
      </c>
      <c r="N17" s="105" t="s">
        <v>230</v>
      </c>
      <c r="O17" s="126"/>
      <c r="P17" s="101" t="s">
        <v>510</v>
      </c>
      <c r="Q17" s="101" t="s">
        <v>504</v>
      </c>
      <c r="R17" s="101" t="s">
        <v>227</v>
      </c>
      <c r="S17" s="106">
        <v>5.0</v>
      </c>
      <c r="T17" s="106"/>
      <c r="U17" s="106"/>
      <c r="V17" s="108">
        <v>46133.0</v>
      </c>
      <c r="W17" s="108">
        <v>46142.0</v>
      </c>
      <c r="X17" s="108">
        <v>46142.0</v>
      </c>
      <c r="Y17" s="106" t="s">
        <v>511</v>
      </c>
      <c r="Z17" s="106" t="s">
        <v>560</v>
      </c>
    </row>
    <row r="18" ht="22.5" customHeight="1">
      <c r="A18" s="96"/>
      <c r="B18" s="83" t="str">
        <f t="array" ref="B18">IF(EXACT(A18, ""), "", XLOOKUP(A18, Proyectos[nombre], Proyectos[folio]))</f>
        <v/>
      </c>
      <c r="C18" s="83" t="s">
        <v>225</v>
      </c>
      <c r="D18" s="84" t="s">
        <v>232</v>
      </c>
      <c r="E18" s="101" t="s">
        <v>567</v>
      </c>
      <c r="F18" s="102" t="s">
        <v>568</v>
      </c>
      <c r="G18" s="101" t="s">
        <v>569</v>
      </c>
      <c r="H18" s="86" t="s">
        <v>350</v>
      </c>
      <c r="I18" s="87" t="str">
        <f t="array" ref="I18">IF(EXACT(H18, ""), "", XLOOKUP(H18, Equipo[nickname], Equipo[user]))</f>
        <v>econtreras</v>
      </c>
      <c r="J18" s="86" t="s">
        <v>570</v>
      </c>
      <c r="K18" s="111" t="s">
        <v>516</v>
      </c>
      <c r="L18" s="111" t="s">
        <v>517</v>
      </c>
      <c r="M18" s="106" t="s">
        <v>518</v>
      </c>
      <c r="N18" s="111" t="s">
        <v>242</v>
      </c>
      <c r="O18" s="117" t="s">
        <v>571</v>
      </c>
      <c r="P18" s="101" t="s">
        <v>572</v>
      </c>
      <c r="Q18" s="101" t="s">
        <v>504</v>
      </c>
      <c r="R18" s="101" t="s">
        <v>227</v>
      </c>
      <c r="S18" s="106">
        <v>8.0</v>
      </c>
      <c r="T18" s="106">
        <v>8.0</v>
      </c>
      <c r="U18" s="94">
        <v>0.5</v>
      </c>
      <c r="V18" s="108">
        <v>46133.0</v>
      </c>
      <c r="W18" s="108">
        <v>46147.0</v>
      </c>
      <c r="X18" s="108">
        <v>46147.0</v>
      </c>
      <c r="Y18" s="106" t="s">
        <v>511</v>
      </c>
      <c r="Z18" s="106" t="s">
        <v>560</v>
      </c>
    </row>
    <row r="19" ht="22.5" customHeight="1">
      <c r="A19" s="96"/>
      <c r="B19" s="83" t="str">
        <f t="array" ref="B19">IF(EXACT(A19, ""), "", XLOOKUP(A19, Proyectos[nombre], Proyectos[folio]))</f>
        <v/>
      </c>
      <c r="C19" s="83" t="s">
        <v>225</v>
      </c>
      <c r="D19" s="84" t="s">
        <v>232</v>
      </c>
      <c r="E19" s="85" t="s">
        <v>573</v>
      </c>
      <c r="F19" s="97" t="s">
        <v>574</v>
      </c>
      <c r="G19" s="138" t="s">
        <v>575</v>
      </c>
      <c r="H19" s="86" t="s">
        <v>350</v>
      </c>
      <c r="I19" s="87" t="str">
        <f t="array" ref="I19">IF(EXACT(H19, ""), "", XLOOKUP(H19, Equipo[nickname], Equipo[user]))</f>
        <v>econtreras</v>
      </c>
      <c r="J19" s="118" t="s">
        <v>529</v>
      </c>
      <c r="K19" s="127" t="s">
        <v>536</v>
      </c>
      <c r="L19" s="100" t="s">
        <v>517</v>
      </c>
      <c r="M19" s="91" t="s">
        <v>524</v>
      </c>
      <c r="N19" s="139" t="s">
        <v>264</v>
      </c>
      <c r="O19" s="140" t="s">
        <v>576</v>
      </c>
      <c r="P19" s="85" t="s">
        <v>577</v>
      </c>
      <c r="Q19" s="85" t="s">
        <v>504</v>
      </c>
      <c r="R19" s="85" t="s">
        <v>227</v>
      </c>
      <c r="S19" s="91">
        <v>50.0</v>
      </c>
      <c r="T19" s="91">
        <v>50.0</v>
      </c>
      <c r="U19" s="94">
        <v>0.5</v>
      </c>
      <c r="V19" s="95">
        <v>46065.0</v>
      </c>
      <c r="W19" s="95">
        <v>46148.0</v>
      </c>
      <c r="X19" s="95">
        <v>46157.0</v>
      </c>
      <c r="Y19" s="91" t="s">
        <v>511</v>
      </c>
      <c r="Z19" s="91" t="s">
        <v>560</v>
      </c>
    </row>
    <row r="20" ht="22.5" customHeight="1">
      <c r="A20" s="96"/>
      <c r="B20" s="83" t="str">
        <f t="array" ref="B20">IF(EXACT(A20, ""), "", XLOOKUP(A20, Proyectos[nombre], Proyectos[folio]))</f>
        <v/>
      </c>
      <c r="C20" s="83" t="s">
        <v>225</v>
      </c>
      <c r="D20" s="84" t="s">
        <v>232</v>
      </c>
      <c r="E20" s="101" t="s">
        <v>504</v>
      </c>
      <c r="F20" s="101" t="s">
        <v>504</v>
      </c>
      <c r="G20" s="101" t="s">
        <v>505</v>
      </c>
      <c r="H20" s="86" t="s">
        <v>350</v>
      </c>
      <c r="I20" s="87" t="str">
        <f t="array" ref="I20">IF(EXACT(H20, ""), "", XLOOKUP(H20, Equipo[nickname], Equipo[user]))</f>
        <v>econtreras</v>
      </c>
      <c r="J20" s="141" t="s">
        <v>578</v>
      </c>
      <c r="K20" s="142" t="s">
        <v>507</v>
      </c>
      <c r="L20" s="141" t="s">
        <v>433</v>
      </c>
      <c r="M20" s="106" t="s">
        <v>508</v>
      </c>
      <c r="N20" s="105" t="s">
        <v>230</v>
      </c>
      <c r="O20" s="126"/>
      <c r="P20" s="101" t="s">
        <v>510</v>
      </c>
      <c r="Q20" s="101" t="s">
        <v>504</v>
      </c>
      <c r="R20" s="101" t="s">
        <v>227</v>
      </c>
      <c r="S20" s="106">
        <v>8.0</v>
      </c>
      <c r="T20" s="106">
        <v>8.0</v>
      </c>
      <c r="U20" s="94">
        <v>0.5</v>
      </c>
      <c r="V20" s="108">
        <v>46141.0</v>
      </c>
      <c r="W20" s="108">
        <v>46163.0</v>
      </c>
      <c r="X20" s="108">
        <v>46164.0</v>
      </c>
      <c r="Y20" s="106" t="s">
        <v>511</v>
      </c>
      <c r="Z20" s="106" t="s">
        <v>560</v>
      </c>
    </row>
    <row r="21" ht="22.5" customHeight="1">
      <c r="A21" s="96"/>
      <c r="B21" s="83" t="str">
        <f t="array" ref="B21">IF(EXACT(A21, ""), "", XLOOKUP(A21, Proyectos[nombre], Proyectos[folio]))</f>
        <v/>
      </c>
      <c r="C21" s="83" t="s">
        <v>225</v>
      </c>
      <c r="D21" s="84" t="s">
        <v>232</v>
      </c>
      <c r="E21" s="85" t="s">
        <v>504</v>
      </c>
      <c r="F21" s="97" t="s">
        <v>579</v>
      </c>
      <c r="G21" s="85" t="s">
        <v>580</v>
      </c>
      <c r="H21" s="86" t="s">
        <v>236</v>
      </c>
      <c r="I21" s="87" t="str">
        <f t="array" ref="I21">IF(EXACT(H21, ""), "", XLOOKUP(H21, Equipo[nickname], Equipo[user]))</f>
        <v>egonzalez</v>
      </c>
      <c r="J21" s="135" t="s">
        <v>271</v>
      </c>
      <c r="K21" s="115" t="s">
        <v>522</v>
      </c>
      <c r="L21" s="139" t="s">
        <v>545</v>
      </c>
      <c r="M21" s="91" t="s">
        <v>508</v>
      </c>
      <c r="N21" s="92" t="s">
        <v>230</v>
      </c>
      <c r="O21" s="137"/>
      <c r="P21" s="85" t="s">
        <v>510</v>
      </c>
      <c r="Q21" s="85" t="s">
        <v>504</v>
      </c>
      <c r="R21" s="85" t="s">
        <v>227</v>
      </c>
      <c r="S21" s="91">
        <v>8.0</v>
      </c>
      <c r="T21" s="91"/>
      <c r="U21" s="91"/>
      <c r="V21" s="95">
        <v>46141.0</v>
      </c>
      <c r="W21" s="95">
        <v>46141.0</v>
      </c>
      <c r="X21" s="95">
        <v>46141.0</v>
      </c>
      <c r="Y21" s="91" t="s">
        <v>511</v>
      </c>
      <c r="Z21" s="91" t="s">
        <v>215</v>
      </c>
    </row>
    <row r="22" ht="22.5" customHeight="1">
      <c r="A22" s="96"/>
      <c r="B22" s="83" t="str">
        <f t="array" ref="B22">IF(EXACT(A22, ""), "", XLOOKUP(A22, Proyectos[nombre], Proyectos[folio]))</f>
        <v/>
      </c>
      <c r="C22" s="83" t="s">
        <v>225</v>
      </c>
      <c r="D22" s="84" t="s">
        <v>232</v>
      </c>
      <c r="E22" s="101" t="s">
        <v>504</v>
      </c>
      <c r="F22" s="101" t="s">
        <v>504</v>
      </c>
      <c r="G22" s="101" t="s">
        <v>581</v>
      </c>
      <c r="H22" s="86" t="s">
        <v>236</v>
      </c>
      <c r="I22" s="87" t="str">
        <f t="array" ref="I22">IF(EXACT(H22, ""), "", XLOOKUP(H22, Equipo[nickname], Equipo[user]))</f>
        <v>egonzalez</v>
      </c>
      <c r="J22" s="134" t="s">
        <v>548</v>
      </c>
      <c r="K22" s="121" t="s">
        <v>516</v>
      </c>
      <c r="L22" s="134" t="s">
        <v>215</v>
      </c>
      <c r="M22" s="106" t="s">
        <v>508</v>
      </c>
      <c r="N22" s="134" t="s">
        <v>249</v>
      </c>
      <c r="O22" s="143"/>
      <c r="P22" s="129"/>
      <c r="Q22" s="101" t="s">
        <v>504</v>
      </c>
      <c r="R22" s="101" t="s">
        <v>227</v>
      </c>
      <c r="S22" s="106">
        <v>8.0</v>
      </c>
      <c r="T22" s="106">
        <v>8.0</v>
      </c>
      <c r="U22" s="94">
        <v>0.5</v>
      </c>
      <c r="V22" s="108">
        <v>46141.0</v>
      </c>
      <c r="W22" s="108">
        <v>46146.0</v>
      </c>
      <c r="X22" s="108">
        <v>46157.0</v>
      </c>
      <c r="Y22" s="106" t="s">
        <v>511</v>
      </c>
      <c r="Z22" s="106" t="s">
        <v>215</v>
      </c>
    </row>
    <row r="23" ht="22.5" customHeight="1">
      <c r="A23" s="96"/>
      <c r="B23" s="83" t="str">
        <f t="array" ref="B23">IF(EXACT(A23, ""), "", XLOOKUP(A23, Proyectos[nombre], Proyectos[folio]))</f>
        <v/>
      </c>
      <c r="C23" s="83" t="s">
        <v>225</v>
      </c>
      <c r="D23" s="84" t="s">
        <v>232</v>
      </c>
      <c r="E23" s="85" t="s">
        <v>504</v>
      </c>
      <c r="F23" s="85" t="s">
        <v>504</v>
      </c>
      <c r="G23" s="85" t="s">
        <v>582</v>
      </c>
      <c r="H23" s="86" t="s">
        <v>236</v>
      </c>
      <c r="I23" s="87" t="str">
        <f t="array" ref="I23">IF(EXACT(H23, ""), "", XLOOKUP(H23, Equipo[nickname], Equipo[user]))</f>
        <v>egonzalez</v>
      </c>
      <c r="J23" s="90" t="s">
        <v>578</v>
      </c>
      <c r="K23" s="98" t="s">
        <v>536</v>
      </c>
      <c r="L23" s="136" t="s">
        <v>215</v>
      </c>
      <c r="M23" s="91" t="s">
        <v>508</v>
      </c>
      <c r="N23" s="139" t="s">
        <v>264</v>
      </c>
      <c r="O23" s="144"/>
      <c r="P23" s="85" t="s">
        <v>510</v>
      </c>
      <c r="Q23" s="85" t="s">
        <v>504</v>
      </c>
      <c r="R23" s="85" t="s">
        <v>227</v>
      </c>
      <c r="S23" s="91">
        <v>16.0</v>
      </c>
      <c r="T23" s="91">
        <v>16.0</v>
      </c>
      <c r="U23" s="94">
        <v>0.5</v>
      </c>
      <c r="V23" s="95">
        <v>46141.0</v>
      </c>
      <c r="W23" s="95">
        <v>46155.0</v>
      </c>
      <c r="X23" s="95">
        <v>46160.0</v>
      </c>
      <c r="Y23" s="91" t="s">
        <v>511</v>
      </c>
      <c r="Z23" s="91" t="s">
        <v>215</v>
      </c>
    </row>
    <row r="24" ht="22.5" customHeight="1">
      <c r="A24" s="96"/>
      <c r="B24" s="83" t="str">
        <f t="array" ref="B24">IF(EXACT(A24, ""), "", XLOOKUP(A24, Proyectos[nombre], Proyectos[folio]))</f>
        <v/>
      </c>
      <c r="C24" s="83" t="s">
        <v>225</v>
      </c>
      <c r="D24" s="84" t="s">
        <v>232</v>
      </c>
      <c r="E24" s="101" t="s">
        <v>504</v>
      </c>
      <c r="F24" s="101" t="s">
        <v>504</v>
      </c>
      <c r="G24" s="101" t="s">
        <v>583</v>
      </c>
      <c r="H24" s="86" t="s">
        <v>236</v>
      </c>
      <c r="I24" s="87" t="str">
        <f t="array" ref="I24">IF(EXACT(H24, ""), "", XLOOKUP(H24, Equipo[nickname], Equipo[user]))</f>
        <v>egonzalez</v>
      </c>
      <c r="J24" s="141" t="s">
        <v>578</v>
      </c>
      <c r="K24" s="133" t="s">
        <v>536</v>
      </c>
      <c r="L24" s="134" t="s">
        <v>215</v>
      </c>
      <c r="M24" s="106" t="s">
        <v>508</v>
      </c>
      <c r="N24" s="112" t="s">
        <v>264</v>
      </c>
      <c r="O24" s="145"/>
      <c r="P24" s="101" t="s">
        <v>510</v>
      </c>
      <c r="Q24" s="101" t="s">
        <v>504</v>
      </c>
      <c r="R24" s="101" t="s">
        <v>227</v>
      </c>
      <c r="S24" s="106">
        <v>16.0</v>
      </c>
      <c r="T24" s="106">
        <v>16.0</v>
      </c>
      <c r="U24" s="94">
        <v>0.5</v>
      </c>
      <c r="V24" s="108">
        <v>46141.0</v>
      </c>
      <c r="W24" s="108">
        <v>46156.0</v>
      </c>
      <c r="X24" s="108">
        <v>46157.0</v>
      </c>
      <c r="Y24" s="106" t="s">
        <v>511</v>
      </c>
      <c r="Z24" s="106" t="s">
        <v>215</v>
      </c>
    </row>
    <row r="25" ht="22.5" customHeight="1">
      <c r="A25" s="96"/>
      <c r="B25" s="83" t="str">
        <f t="array" ref="B25">IF(EXACT(A25, ""), "", XLOOKUP(A25, Proyectos[nombre], Proyectos[folio]))</f>
        <v/>
      </c>
      <c r="C25" s="83" t="s">
        <v>225</v>
      </c>
      <c r="D25" s="84" t="s">
        <v>232</v>
      </c>
      <c r="E25" s="85" t="s">
        <v>504</v>
      </c>
      <c r="F25" s="85" t="s">
        <v>504</v>
      </c>
      <c r="G25" s="85" t="s">
        <v>584</v>
      </c>
      <c r="H25" s="86" t="s">
        <v>236</v>
      </c>
      <c r="I25" s="87" t="str">
        <f t="array" ref="I25">IF(EXACT(H25, ""), "", XLOOKUP(H25, Equipo[nickname], Equipo[user]))</f>
        <v>egonzalez</v>
      </c>
      <c r="J25" s="88" t="s">
        <v>548</v>
      </c>
      <c r="K25" s="146" t="s">
        <v>536</v>
      </c>
      <c r="L25" s="136" t="s">
        <v>215</v>
      </c>
      <c r="M25" s="91" t="s">
        <v>508</v>
      </c>
      <c r="N25" s="92" t="s">
        <v>230</v>
      </c>
      <c r="O25" s="137"/>
      <c r="P25" s="85" t="s">
        <v>510</v>
      </c>
      <c r="Q25" s="85" t="s">
        <v>504</v>
      </c>
      <c r="R25" s="85" t="s">
        <v>227</v>
      </c>
      <c r="S25" s="91">
        <v>8.0</v>
      </c>
      <c r="T25" s="91">
        <v>8.0</v>
      </c>
      <c r="U25" s="94">
        <v>0.5</v>
      </c>
      <c r="V25" s="95">
        <v>46141.0</v>
      </c>
      <c r="W25" s="95">
        <v>46157.0</v>
      </c>
      <c r="X25" s="95">
        <v>46160.0</v>
      </c>
      <c r="Y25" s="91" t="s">
        <v>511</v>
      </c>
      <c r="Z25" s="91" t="s">
        <v>215</v>
      </c>
    </row>
    <row r="26" ht="22.5" customHeight="1">
      <c r="A26" s="96"/>
      <c r="B26" s="83" t="str">
        <f t="array" ref="B26">IF(EXACT(A26, ""), "", XLOOKUP(A26, Proyectos[nombre], Proyectos[folio]))</f>
        <v/>
      </c>
      <c r="C26" s="83" t="s">
        <v>225</v>
      </c>
      <c r="D26" s="84" t="s">
        <v>232</v>
      </c>
      <c r="E26" s="101" t="s">
        <v>504</v>
      </c>
      <c r="F26" s="101" t="s">
        <v>504</v>
      </c>
      <c r="G26" s="101" t="s">
        <v>585</v>
      </c>
      <c r="H26" s="86" t="s">
        <v>236</v>
      </c>
      <c r="I26" s="87" t="str">
        <f t="array" ref="I26">IF(EXACT(H26, ""), "", XLOOKUP(H26, Equipo[nickname], Equipo[user]))</f>
        <v>egonzalez</v>
      </c>
      <c r="J26" s="141" t="s">
        <v>578</v>
      </c>
      <c r="K26" s="142" t="s">
        <v>507</v>
      </c>
      <c r="L26" s="134" t="s">
        <v>215</v>
      </c>
      <c r="M26" s="106" t="s">
        <v>508</v>
      </c>
      <c r="N26" s="111" t="s">
        <v>242</v>
      </c>
      <c r="O26" s="110"/>
      <c r="P26" s="101" t="s">
        <v>510</v>
      </c>
      <c r="Q26" s="101" t="s">
        <v>504</v>
      </c>
      <c r="R26" s="101" t="s">
        <v>227</v>
      </c>
      <c r="S26" s="106">
        <v>8.0</v>
      </c>
      <c r="T26" s="106">
        <v>8.0</v>
      </c>
      <c r="U26" s="94">
        <v>0.5</v>
      </c>
      <c r="V26" s="108">
        <v>46141.0</v>
      </c>
      <c r="W26" s="108">
        <v>46160.0</v>
      </c>
      <c r="X26" s="108">
        <v>46160.0</v>
      </c>
      <c r="Y26" s="106" t="s">
        <v>511</v>
      </c>
      <c r="Z26" s="106" t="s">
        <v>215</v>
      </c>
    </row>
    <row r="27" ht="22.5" customHeight="1">
      <c r="A27" s="96"/>
      <c r="B27" s="83" t="str">
        <f t="array" ref="B27">IF(EXACT(A27, ""), "", XLOOKUP(A27, Proyectos[nombre], Proyectos[folio]))</f>
        <v/>
      </c>
      <c r="C27" s="83" t="s">
        <v>225</v>
      </c>
      <c r="D27" s="84" t="s">
        <v>232</v>
      </c>
      <c r="E27" s="85" t="s">
        <v>586</v>
      </c>
      <c r="F27" s="97" t="s">
        <v>587</v>
      </c>
      <c r="G27" s="85" t="s">
        <v>588</v>
      </c>
      <c r="H27" s="86" t="s">
        <v>235</v>
      </c>
      <c r="I27" s="87" t="str">
        <f t="array" ref="I27">IF(EXACT(H27, ""), "", XLOOKUP(H27, Equipo[nickname], Equipo[user]))</f>
        <v>gguadarrama</v>
      </c>
      <c r="J27" s="131" t="s">
        <v>271</v>
      </c>
      <c r="K27" s="132" t="s">
        <v>522</v>
      </c>
      <c r="L27" s="92" t="s">
        <v>523</v>
      </c>
      <c r="M27" s="91" t="s">
        <v>524</v>
      </c>
      <c r="N27" s="92" t="s">
        <v>230</v>
      </c>
      <c r="O27" s="137"/>
      <c r="P27" s="85" t="s">
        <v>510</v>
      </c>
      <c r="Q27" s="85" t="s">
        <v>504</v>
      </c>
      <c r="R27" s="85" t="s">
        <v>227</v>
      </c>
      <c r="S27" s="91">
        <v>8.0</v>
      </c>
      <c r="T27" s="91"/>
      <c r="U27" s="91"/>
      <c r="V27" s="95">
        <v>46141.0</v>
      </c>
      <c r="W27" s="95">
        <v>46141.0</v>
      </c>
      <c r="X27" s="95">
        <v>46141.0</v>
      </c>
      <c r="Y27" s="95">
        <v>46141.0</v>
      </c>
      <c r="Z27" s="91" t="s">
        <v>560</v>
      </c>
    </row>
    <row r="28" ht="22.5" customHeight="1">
      <c r="A28" s="96"/>
      <c r="B28" s="83" t="str">
        <f t="array" ref="B28">IF(EXACT(A28, ""), "", XLOOKUP(A28, Proyectos[nombre], Proyectos[folio]))</f>
        <v/>
      </c>
      <c r="C28" s="83" t="s">
        <v>225</v>
      </c>
      <c r="D28" s="84" t="s">
        <v>232</v>
      </c>
      <c r="E28" s="101" t="s">
        <v>589</v>
      </c>
      <c r="F28" s="102" t="s">
        <v>590</v>
      </c>
      <c r="G28" s="101" t="s">
        <v>591</v>
      </c>
      <c r="H28" s="86" t="s">
        <v>235</v>
      </c>
      <c r="I28" s="87" t="str">
        <f t="array" ref="I28">IF(EXACT(H28, ""), "", XLOOKUP(H28, Equipo[nickname], Equipo[user]))</f>
        <v>gguadarrama</v>
      </c>
      <c r="J28" s="147" t="s">
        <v>271</v>
      </c>
      <c r="K28" s="116" t="s">
        <v>536</v>
      </c>
      <c r="L28" s="111" t="s">
        <v>517</v>
      </c>
      <c r="M28" s="106" t="s">
        <v>518</v>
      </c>
      <c r="N28" s="105" t="s">
        <v>230</v>
      </c>
      <c r="O28" s="126"/>
      <c r="P28" s="101" t="s">
        <v>481</v>
      </c>
      <c r="Q28" s="101" t="s">
        <v>504</v>
      </c>
      <c r="R28" s="101" t="s">
        <v>227</v>
      </c>
      <c r="S28" s="106">
        <v>13.0</v>
      </c>
      <c r="T28" s="106"/>
      <c r="U28" s="106"/>
      <c r="V28" s="108">
        <v>46140.0</v>
      </c>
      <c r="W28" s="108">
        <v>46142.0</v>
      </c>
      <c r="X28" s="108">
        <v>46146.0</v>
      </c>
      <c r="Y28" s="106" t="s">
        <v>511</v>
      </c>
      <c r="Z28" s="106" t="s">
        <v>560</v>
      </c>
    </row>
    <row r="29" ht="22.5" customHeight="1">
      <c r="A29" s="96"/>
      <c r="B29" s="83" t="str">
        <f t="array" ref="B29">IF(EXACT(A29, ""), "", XLOOKUP(A29, Proyectos[nombre], Proyectos[folio]))</f>
        <v/>
      </c>
      <c r="C29" s="83" t="s">
        <v>225</v>
      </c>
      <c r="D29" s="84" t="s">
        <v>232</v>
      </c>
      <c r="E29" s="101" t="s">
        <v>592</v>
      </c>
      <c r="F29" s="102" t="s">
        <v>593</v>
      </c>
      <c r="G29" s="101" t="s">
        <v>594</v>
      </c>
      <c r="H29" s="86" t="s">
        <v>235</v>
      </c>
      <c r="I29" s="87" t="str">
        <f t="array" ref="I29">IF(EXACT(H29, ""), "", XLOOKUP(H29, Equipo[nickname], Equipo[user]))</f>
        <v>gguadarrama</v>
      </c>
      <c r="J29" s="120" t="s">
        <v>570</v>
      </c>
      <c r="K29" s="148" t="s">
        <v>536</v>
      </c>
      <c r="L29" s="111" t="s">
        <v>517</v>
      </c>
      <c r="M29" s="106" t="s">
        <v>541</v>
      </c>
      <c r="N29" s="112" t="s">
        <v>264</v>
      </c>
      <c r="O29" s="113" t="s">
        <v>576</v>
      </c>
      <c r="P29" s="101" t="s">
        <v>510</v>
      </c>
      <c r="Q29" s="101" t="s">
        <v>504</v>
      </c>
      <c r="R29" s="101" t="s">
        <v>227</v>
      </c>
      <c r="S29" s="106">
        <v>28.0</v>
      </c>
      <c r="T29" s="106">
        <v>28.0</v>
      </c>
      <c r="U29" s="94">
        <v>0.5</v>
      </c>
      <c r="V29" s="108">
        <v>46073.0</v>
      </c>
      <c r="W29" s="108">
        <v>46147.0</v>
      </c>
      <c r="X29" s="108">
        <v>46150.0</v>
      </c>
      <c r="Y29" s="106" t="s">
        <v>511</v>
      </c>
      <c r="Z29" s="106" t="s">
        <v>560</v>
      </c>
    </row>
    <row r="30" ht="22.5" customHeight="1">
      <c r="A30" s="96"/>
      <c r="B30" s="83" t="str">
        <f t="array" ref="B30">IF(EXACT(A30, ""), "", XLOOKUP(A30, Proyectos[nombre], Proyectos[folio]))</f>
        <v/>
      </c>
      <c r="C30" s="83" t="s">
        <v>225</v>
      </c>
      <c r="D30" s="84" t="s">
        <v>232</v>
      </c>
      <c r="E30" s="85" t="s">
        <v>595</v>
      </c>
      <c r="F30" s="97" t="s">
        <v>596</v>
      </c>
      <c r="G30" s="85" t="s">
        <v>597</v>
      </c>
      <c r="H30" s="86" t="s">
        <v>235</v>
      </c>
      <c r="I30" s="87" t="str">
        <f t="array" ref="I30">IF(EXACT(H30, ""), "", XLOOKUP(H30, Equipo[nickname], Equipo[user]))</f>
        <v>gguadarrama</v>
      </c>
      <c r="J30" s="88" t="s">
        <v>570</v>
      </c>
      <c r="K30" s="127" t="s">
        <v>536</v>
      </c>
      <c r="L30" s="100" t="s">
        <v>517</v>
      </c>
      <c r="M30" s="91" t="s">
        <v>541</v>
      </c>
      <c r="N30" s="119" t="s">
        <v>294</v>
      </c>
      <c r="O30" s="132"/>
      <c r="P30" s="85" t="s">
        <v>598</v>
      </c>
      <c r="Q30" s="85" t="s">
        <v>504</v>
      </c>
      <c r="R30" s="85" t="s">
        <v>227</v>
      </c>
      <c r="S30" s="91">
        <v>28.0</v>
      </c>
      <c r="T30" s="91">
        <v>28.0</v>
      </c>
      <c r="U30" s="94">
        <v>0.5</v>
      </c>
      <c r="V30" s="95">
        <v>46119.0</v>
      </c>
      <c r="W30" s="95">
        <v>46153.0</v>
      </c>
      <c r="X30" s="95">
        <v>46156.0</v>
      </c>
      <c r="Y30" s="91" t="s">
        <v>511</v>
      </c>
      <c r="Z30" s="91" t="s">
        <v>560</v>
      </c>
    </row>
    <row r="31" ht="22.5" customHeight="1">
      <c r="A31" s="96"/>
      <c r="B31" s="83" t="str">
        <f t="array" ref="B31">IF(EXACT(A31, ""), "", XLOOKUP(A31, Proyectos[nombre], Proyectos[folio]))</f>
        <v/>
      </c>
      <c r="C31" s="83" t="s">
        <v>225</v>
      </c>
      <c r="D31" s="84" t="s">
        <v>232</v>
      </c>
      <c r="E31" s="85" t="s">
        <v>504</v>
      </c>
      <c r="F31" s="85" t="s">
        <v>504</v>
      </c>
      <c r="G31" s="85" t="s">
        <v>505</v>
      </c>
      <c r="H31" s="86" t="s">
        <v>235</v>
      </c>
      <c r="I31" s="87" t="str">
        <f t="array" ref="I31">IF(EXACT(H31, ""), "", XLOOKUP(H31, Equipo[nickname], Equipo[user]))</f>
        <v>gguadarrama</v>
      </c>
      <c r="J31" s="90" t="s">
        <v>578</v>
      </c>
      <c r="K31" s="89" t="s">
        <v>507</v>
      </c>
      <c r="L31" s="90" t="s">
        <v>433</v>
      </c>
      <c r="M31" s="91" t="s">
        <v>508</v>
      </c>
      <c r="N31" s="92" t="s">
        <v>230</v>
      </c>
      <c r="O31" s="137"/>
      <c r="P31" s="85" t="s">
        <v>510</v>
      </c>
      <c r="Q31" s="85" t="s">
        <v>504</v>
      </c>
      <c r="R31" s="85" t="s">
        <v>227</v>
      </c>
      <c r="S31" s="91">
        <v>8.0</v>
      </c>
      <c r="T31" s="91">
        <v>8.0</v>
      </c>
      <c r="U31" s="94">
        <v>0.5</v>
      </c>
      <c r="V31" s="95">
        <v>46141.0</v>
      </c>
      <c r="W31" s="95">
        <v>46163.0</v>
      </c>
      <c r="X31" s="95">
        <v>46164.0</v>
      </c>
      <c r="Y31" s="91" t="s">
        <v>511</v>
      </c>
      <c r="Z31" s="91" t="s">
        <v>560</v>
      </c>
    </row>
    <row r="32" ht="22.5" customHeight="1">
      <c r="A32" s="96"/>
      <c r="B32" s="83" t="str">
        <f t="array" ref="B32">IF(EXACT(A32, ""), "", XLOOKUP(A32, Proyectos[nombre], Proyectos[folio]))</f>
        <v/>
      </c>
      <c r="C32" s="83" t="s">
        <v>225</v>
      </c>
      <c r="D32" s="84" t="s">
        <v>232</v>
      </c>
      <c r="E32" s="101" t="s">
        <v>504</v>
      </c>
      <c r="F32" s="102" t="s">
        <v>599</v>
      </c>
      <c r="G32" s="101" t="s">
        <v>600</v>
      </c>
      <c r="H32" s="86" t="s">
        <v>151</v>
      </c>
      <c r="I32" s="87" t="str">
        <f t="array" ref="I32">IF(EXACT(H32, ""), "", XLOOKUP(H32, Equipo[nickname], Equipo[user]))</f>
        <v>hloredo</v>
      </c>
      <c r="J32" s="103" t="s">
        <v>271</v>
      </c>
      <c r="K32" s="104" t="s">
        <v>522</v>
      </c>
      <c r="L32" s="148" t="s">
        <v>601</v>
      </c>
      <c r="M32" s="106" t="s">
        <v>602</v>
      </c>
      <c r="N32" s="105" t="s">
        <v>230</v>
      </c>
      <c r="O32" s="126"/>
      <c r="P32" s="129"/>
      <c r="Q32" s="129"/>
      <c r="R32" s="129"/>
      <c r="S32" s="106">
        <v>1.0</v>
      </c>
      <c r="T32" s="106"/>
      <c r="U32" s="106"/>
      <c r="V32" s="108">
        <v>46142.0</v>
      </c>
      <c r="W32" s="108">
        <v>46146.0</v>
      </c>
      <c r="X32" s="108">
        <v>46146.0</v>
      </c>
      <c r="Y32" s="129"/>
      <c r="Z32" s="106" t="s">
        <v>207</v>
      </c>
    </row>
    <row r="33" ht="22.5" customHeight="1">
      <c r="A33" s="96"/>
      <c r="B33" s="83" t="str">
        <f t="array" ref="B33">IF(EXACT(A33, ""), "", XLOOKUP(A33, Proyectos[nombre], Proyectos[folio]))</f>
        <v/>
      </c>
      <c r="C33" s="83" t="s">
        <v>225</v>
      </c>
      <c r="D33" s="84" t="s">
        <v>232</v>
      </c>
      <c r="E33" s="101" t="s">
        <v>504</v>
      </c>
      <c r="F33" s="101" t="s">
        <v>504</v>
      </c>
      <c r="G33" s="101" t="s">
        <v>603</v>
      </c>
      <c r="H33" s="86" t="s">
        <v>151</v>
      </c>
      <c r="I33" s="87" t="str">
        <f t="array" ref="I33">IF(EXACT(H33, ""), "", XLOOKUP(H33, Equipo[nickname], Equipo[user]))</f>
        <v>hloredo</v>
      </c>
      <c r="J33" s="124" t="s">
        <v>529</v>
      </c>
      <c r="K33" s="149" t="s">
        <v>604</v>
      </c>
      <c r="L33" s="122" t="s">
        <v>549</v>
      </c>
      <c r="M33" s="106" t="s">
        <v>508</v>
      </c>
      <c r="N33" s="112" t="s">
        <v>264</v>
      </c>
      <c r="O33" s="145"/>
      <c r="P33" s="129"/>
      <c r="Q33" s="101" t="s">
        <v>504</v>
      </c>
      <c r="R33" s="101" t="s">
        <v>227</v>
      </c>
      <c r="S33" s="106">
        <v>2.0</v>
      </c>
      <c r="T33" s="106">
        <v>2.0</v>
      </c>
      <c r="U33" s="94">
        <v>0.5</v>
      </c>
      <c r="V33" s="108">
        <v>46141.0</v>
      </c>
      <c r="W33" s="108">
        <v>46146.0</v>
      </c>
      <c r="X33" s="108">
        <v>46147.0</v>
      </c>
      <c r="Y33" s="106" t="s">
        <v>511</v>
      </c>
      <c r="Z33" s="106" t="s">
        <v>207</v>
      </c>
    </row>
    <row r="34" ht="22.5" customHeight="1">
      <c r="A34" s="96"/>
      <c r="B34" s="83" t="str">
        <f t="array" ref="B34">IF(EXACT(A34, ""), "", XLOOKUP(A34, Proyectos[nombre], Proyectos[folio]))</f>
        <v/>
      </c>
      <c r="C34" s="83" t="s">
        <v>225</v>
      </c>
      <c r="D34" s="84" t="s">
        <v>232</v>
      </c>
      <c r="E34" s="101" t="s">
        <v>504</v>
      </c>
      <c r="F34" s="101" t="s">
        <v>504</v>
      </c>
      <c r="G34" s="101" t="s">
        <v>605</v>
      </c>
      <c r="H34" s="86" t="s">
        <v>151</v>
      </c>
      <c r="I34" s="87" t="str">
        <f t="array" ref="I34">IF(EXACT(H34, ""), "", XLOOKUP(H34, Equipo[nickname], Equipo[user]))</f>
        <v>hloredo</v>
      </c>
      <c r="J34" s="124" t="s">
        <v>548</v>
      </c>
      <c r="K34" s="111" t="s">
        <v>516</v>
      </c>
      <c r="L34" s="112" t="s">
        <v>545</v>
      </c>
      <c r="M34" s="106" t="s">
        <v>508</v>
      </c>
      <c r="N34" s="111" t="s">
        <v>242</v>
      </c>
      <c r="O34" s="110"/>
      <c r="P34" s="101" t="s">
        <v>510</v>
      </c>
      <c r="Q34" s="101" t="s">
        <v>504</v>
      </c>
      <c r="R34" s="101" t="s">
        <v>227</v>
      </c>
      <c r="S34" s="106">
        <v>8.0</v>
      </c>
      <c r="T34" s="106">
        <v>8.0</v>
      </c>
      <c r="U34" s="94">
        <v>0.5</v>
      </c>
      <c r="V34" s="108">
        <v>46141.0</v>
      </c>
      <c r="W34" s="108">
        <v>46155.0</v>
      </c>
      <c r="X34" s="108">
        <v>46155.0</v>
      </c>
      <c r="Y34" s="106" t="s">
        <v>511</v>
      </c>
      <c r="Z34" s="106" t="s">
        <v>207</v>
      </c>
    </row>
    <row r="35" ht="22.5" customHeight="1">
      <c r="A35" s="96"/>
      <c r="B35" s="83" t="str">
        <f t="array" ref="B35">IF(EXACT(A35, ""), "", XLOOKUP(A35, Proyectos[nombre], Proyectos[folio]))</f>
        <v/>
      </c>
      <c r="C35" s="83" t="s">
        <v>225</v>
      </c>
      <c r="D35" s="84" t="s">
        <v>232</v>
      </c>
      <c r="E35" s="85" t="s">
        <v>504</v>
      </c>
      <c r="F35" s="85" t="s">
        <v>504</v>
      </c>
      <c r="G35" s="85" t="s">
        <v>606</v>
      </c>
      <c r="H35" s="86" t="s">
        <v>151</v>
      </c>
      <c r="I35" s="87" t="str">
        <f t="array" ref="I35">IF(EXACT(H35, ""), "", XLOOKUP(H35, Equipo[nickname], Equipo[user]))</f>
        <v>hloredo</v>
      </c>
      <c r="J35" s="90" t="s">
        <v>578</v>
      </c>
      <c r="K35" s="150" t="s">
        <v>507</v>
      </c>
      <c r="L35" s="127" t="s">
        <v>601</v>
      </c>
      <c r="M35" s="91" t="s">
        <v>508</v>
      </c>
      <c r="N35" s="92" t="s">
        <v>230</v>
      </c>
      <c r="O35" s="137"/>
      <c r="P35" s="85" t="s">
        <v>510</v>
      </c>
      <c r="Q35" s="85" t="s">
        <v>504</v>
      </c>
      <c r="R35" s="85" t="s">
        <v>227</v>
      </c>
      <c r="S35" s="91">
        <v>1.0</v>
      </c>
      <c r="T35" s="91">
        <v>1.0</v>
      </c>
      <c r="U35" s="94">
        <v>0.5</v>
      </c>
      <c r="V35" s="95">
        <v>46141.0</v>
      </c>
      <c r="W35" s="95">
        <v>46157.0</v>
      </c>
      <c r="X35" s="95">
        <v>46157.0</v>
      </c>
      <c r="Y35" s="91" t="s">
        <v>511</v>
      </c>
      <c r="Z35" s="91" t="s">
        <v>207</v>
      </c>
    </row>
    <row r="36" ht="22.5" customHeight="1">
      <c r="A36" s="96"/>
      <c r="B36" s="83" t="str">
        <f t="array" ref="B36">IF(EXACT(A36, ""), "", XLOOKUP(A36, Proyectos[nombre], Proyectos[folio]))</f>
        <v/>
      </c>
      <c r="C36" s="83" t="s">
        <v>225</v>
      </c>
      <c r="D36" s="84" t="s">
        <v>232</v>
      </c>
      <c r="E36" s="85" t="s">
        <v>504</v>
      </c>
      <c r="F36" s="85" t="s">
        <v>504</v>
      </c>
      <c r="G36" s="85" t="s">
        <v>607</v>
      </c>
      <c r="H36" s="86" t="s">
        <v>151</v>
      </c>
      <c r="I36" s="87" t="str">
        <f t="array" ref="I36">IF(EXACT(H36, ""), "", XLOOKUP(H36, Equipo[nickname], Equipo[user]))</f>
        <v>hloredo</v>
      </c>
      <c r="J36" s="90" t="s">
        <v>578</v>
      </c>
      <c r="K36" s="151" t="s">
        <v>604</v>
      </c>
      <c r="L36" s="119" t="s">
        <v>549</v>
      </c>
      <c r="M36" s="91" t="s">
        <v>508</v>
      </c>
      <c r="N36" s="139" t="s">
        <v>264</v>
      </c>
      <c r="O36" s="144"/>
      <c r="P36" s="85" t="s">
        <v>510</v>
      </c>
      <c r="Q36" s="85" t="s">
        <v>504</v>
      </c>
      <c r="R36" s="85" t="s">
        <v>227</v>
      </c>
      <c r="S36" s="91">
        <v>2.0</v>
      </c>
      <c r="T36" s="91">
        <v>2.0</v>
      </c>
      <c r="U36" s="94">
        <v>0.5</v>
      </c>
      <c r="V36" s="95">
        <v>46141.0</v>
      </c>
      <c r="W36" s="95">
        <v>46153.0</v>
      </c>
      <c r="X36" s="95">
        <v>46155.0</v>
      </c>
      <c r="Y36" s="91" t="s">
        <v>511</v>
      </c>
      <c r="Z36" s="91" t="s">
        <v>207</v>
      </c>
    </row>
    <row r="37" ht="22.5" customHeight="1">
      <c r="A37" s="96"/>
      <c r="B37" s="83" t="str">
        <f t="array" ref="B37">IF(EXACT(A37, ""), "", XLOOKUP(A37, Proyectos[nombre], Proyectos[folio]))</f>
        <v/>
      </c>
      <c r="C37" s="83" t="s">
        <v>225</v>
      </c>
      <c r="D37" s="84" t="s">
        <v>232</v>
      </c>
      <c r="E37" s="85" t="s">
        <v>504</v>
      </c>
      <c r="F37" s="85" t="s">
        <v>504</v>
      </c>
      <c r="G37" s="85" t="s">
        <v>608</v>
      </c>
      <c r="H37" s="86" t="s">
        <v>151</v>
      </c>
      <c r="I37" s="87" t="str">
        <f t="array" ref="I37">IF(EXACT(H37, ""), "", XLOOKUP(H37, Equipo[nickname], Equipo[user]))</f>
        <v>hloredo</v>
      </c>
      <c r="J37" s="90" t="s">
        <v>578</v>
      </c>
      <c r="K37" s="89" t="s">
        <v>507</v>
      </c>
      <c r="L37" s="90" t="s">
        <v>433</v>
      </c>
      <c r="M37" s="91" t="s">
        <v>508</v>
      </c>
      <c r="N37" s="92" t="s">
        <v>230</v>
      </c>
      <c r="O37" s="137"/>
      <c r="P37" s="85" t="s">
        <v>510</v>
      </c>
      <c r="Q37" s="85" t="s">
        <v>504</v>
      </c>
      <c r="R37" s="85" t="s">
        <v>227</v>
      </c>
      <c r="S37" s="91">
        <v>8.0</v>
      </c>
      <c r="T37" s="91">
        <v>8.0</v>
      </c>
      <c r="U37" s="94">
        <v>0.5</v>
      </c>
      <c r="V37" s="95">
        <v>46141.0</v>
      </c>
      <c r="W37" s="95">
        <v>46163.0</v>
      </c>
      <c r="X37" s="95">
        <v>46164.0</v>
      </c>
      <c r="Y37" s="91" t="s">
        <v>511</v>
      </c>
      <c r="Z37" s="91" t="s">
        <v>207</v>
      </c>
    </row>
    <row r="38" ht="22.5" customHeight="1">
      <c r="A38" s="96"/>
      <c r="B38" s="83" t="str">
        <f t="array" ref="B38">IF(EXACT(A38, ""), "", XLOOKUP(A38, Proyectos[nombre], Proyectos[folio]))</f>
        <v/>
      </c>
      <c r="C38" s="83" t="s">
        <v>225</v>
      </c>
      <c r="D38" s="84" t="s">
        <v>232</v>
      </c>
      <c r="E38" s="101" t="s">
        <v>609</v>
      </c>
      <c r="F38" s="102" t="s">
        <v>610</v>
      </c>
      <c r="G38" s="101" t="s">
        <v>611</v>
      </c>
      <c r="H38" s="86" t="s">
        <v>457</v>
      </c>
      <c r="I38" s="87" t="str">
        <f t="array" ref="I38">IF(EXACT(H38, ""), "", XLOOKUP(H38, Equipo[nickname], Equipo[user]))</f>
        <v>jlopez</v>
      </c>
      <c r="J38" s="103" t="s">
        <v>271</v>
      </c>
      <c r="K38" s="104" t="s">
        <v>522</v>
      </c>
      <c r="L38" s="105" t="s">
        <v>523</v>
      </c>
      <c r="M38" s="106" t="s">
        <v>524</v>
      </c>
      <c r="N38" s="105" t="s">
        <v>230</v>
      </c>
      <c r="O38" s="126"/>
      <c r="P38" s="101" t="s">
        <v>510</v>
      </c>
      <c r="Q38" s="101" t="s">
        <v>504</v>
      </c>
      <c r="R38" s="101" t="s">
        <v>227</v>
      </c>
      <c r="S38" s="106">
        <v>8.0</v>
      </c>
      <c r="T38" s="106"/>
      <c r="U38" s="106"/>
      <c r="V38" s="108">
        <v>46141.0</v>
      </c>
      <c r="W38" s="108">
        <v>46141.0</v>
      </c>
      <c r="X38" s="108">
        <v>46141.0</v>
      </c>
      <c r="Y38" s="108">
        <v>46141.0</v>
      </c>
      <c r="Z38" s="106" t="s">
        <v>512</v>
      </c>
    </row>
    <row r="39" ht="22.5" customHeight="1">
      <c r="A39" s="96"/>
      <c r="B39" s="83" t="str">
        <f t="array" ref="B39">IF(EXACT(A39, ""), "", XLOOKUP(A39, Proyectos[nombre], Proyectos[folio]))</f>
        <v/>
      </c>
      <c r="C39" s="83" t="s">
        <v>225</v>
      </c>
      <c r="D39" s="84" t="s">
        <v>232</v>
      </c>
      <c r="E39" s="85" t="s">
        <v>612</v>
      </c>
      <c r="F39" s="97" t="s">
        <v>613</v>
      </c>
      <c r="G39" s="85" t="s">
        <v>614</v>
      </c>
      <c r="H39" s="86" t="s">
        <v>457</v>
      </c>
      <c r="I39" s="87" t="str">
        <f t="array" ref="I39">IF(EXACT(H39, ""), "", XLOOKUP(H39, Equipo[nickname], Equipo[user]))</f>
        <v>jlopez</v>
      </c>
      <c r="J39" s="118" t="s">
        <v>271</v>
      </c>
      <c r="K39" s="132" t="s">
        <v>522</v>
      </c>
      <c r="L39" s="100" t="s">
        <v>517</v>
      </c>
      <c r="M39" s="91" t="s">
        <v>541</v>
      </c>
      <c r="N39" s="92" t="s">
        <v>230</v>
      </c>
      <c r="O39" s="137"/>
      <c r="P39" s="85" t="s">
        <v>577</v>
      </c>
      <c r="Q39" s="85" t="s">
        <v>504</v>
      </c>
      <c r="R39" s="85" t="s">
        <v>227</v>
      </c>
      <c r="S39" s="91">
        <v>21.0</v>
      </c>
      <c r="T39" s="91"/>
      <c r="U39" s="91"/>
      <c r="V39" s="95">
        <v>46140.0</v>
      </c>
      <c r="W39" s="95">
        <v>46142.0</v>
      </c>
      <c r="X39" s="95">
        <v>46148.0</v>
      </c>
      <c r="Y39" s="152">
        <v>46147.0</v>
      </c>
      <c r="Z39" s="91" t="s">
        <v>512</v>
      </c>
    </row>
    <row r="40" ht="22.5" customHeight="1">
      <c r="A40" s="96"/>
      <c r="B40" s="83" t="str">
        <f t="array" ref="B40">IF(EXACT(A40, ""), "", XLOOKUP(A40, Proyectos[nombre], Proyectos[folio]))</f>
        <v/>
      </c>
      <c r="C40" s="83" t="s">
        <v>225</v>
      </c>
      <c r="D40" s="84" t="s">
        <v>232</v>
      </c>
      <c r="E40" s="101" t="s">
        <v>615</v>
      </c>
      <c r="F40" s="102" t="s">
        <v>616</v>
      </c>
      <c r="G40" s="101" t="s">
        <v>617</v>
      </c>
      <c r="H40" s="86" t="s">
        <v>457</v>
      </c>
      <c r="I40" s="87" t="str">
        <f t="array" ref="I40">IF(EXACT(H40, ""), "", XLOOKUP(H40, Equipo[nickname], Equipo[user]))</f>
        <v>jlopez</v>
      </c>
      <c r="J40" s="103" t="s">
        <v>271</v>
      </c>
      <c r="K40" s="104" t="s">
        <v>522</v>
      </c>
      <c r="L40" s="111" t="s">
        <v>517</v>
      </c>
      <c r="M40" s="106" t="s">
        <v>541</v>
      </c>
      <c r="N40" s="111" t="s">
        <v>242</v>
      </c>
      <c r="O40" s="110"/>
      <c r="P40" s="101" t="s">
        <v>577</v>
      </c>
      <c r="Q40" s="101" t="s">
        <v>504</v>
      </c>
      <c r="R40" s="101" t="s">
        <v>227</v>
      </c>
      <c r="S40" s="106">
        <v>1.0</v>
      </c>
      <c r="T40" s="106"/>
      <c r="U40" s="106"/>
      <c r="V40" s="108">
        <v>46140.0</v>
      </c>
      <c r="W40" s="108">
        <v>46146.0</v>
      </c>
      <c r="X40" s="108">
        <v>46147.0</v>
      </c>
      <c r="Y40" s="153">
        <v>46142.0</v>
      </c>
      <c r="Z40" s="106" t="s">
        <v>512</v>
      </c>
    </row>
    <row r="41" ht="22.5" customHeight="1">
      <c r="A41" s="96"/>
      <c r="B41" s="83" t="str">
        <f t="array" ref="B41">IF(EXACT(A41, ""), "", XLOOKUP(A41, Proyectos[nombre], Proyectos[folio]))</f>
        <v/>
      </c>
      <c r="C41" s="83" t="s">
        <v>225</v>
      </c>
      <c r="D41" s="84" t="s">
        <v>232</v>
      </c>
      <c r="E41" s="85" t="s">
        <v>618</v>
      </c>
      <c r="F41" s="97" t="s">
        <v>619</v>
      </c>
      <c r="G41" s="85" t="s">
        <v>620</v>
      </c>
      <c r="H41" s="86" t="s">
        <v>457</v>
      </c>
      <c r="I41" s="87" t="str">
        <f t="array" ref="I41">IF(EXACT(H41, ""), "", XLOOKUP(H41, Equipo[nickname], Equipo[user]))</f>
        <v>jlopez</v>
      </c>
      <c r="J41" s="118" t="s">
        <v>529</v>
      </c>
      <c r="K41" s="154" t="s">
        <v>516</v>
      </c>
      <c r="L41" s="100" t="s">
        <v>517</v>
      </c>
      <c r="M41" s="91" t="s">
        <v>541</v>
      </c>
      <c r="N41" s="92" t="s">
        <v>230</v>
      </c>
      <c r="O41" s="137"/>
      <c r="P41" s="85" t="s">
        <v>577</v>
      </c>
      <c r="Q41" s="85" t="s">
        <v>504</v>
      </c>
      <c r="R41" s="85" t="s">
        <v>227</v>
      </c>
      <c r="S41" s="91">
        <v>21.0</v>
      </c>
      <c r="T41" s="91">
        <v>21.0</v>
      </c>
      <c r="U41" s="94">
        <v>0.5</v>
      </c>
      <c r="V41" s="95">
        <v>46133.0</v>
      </c>
      <c r="W41" s="95">
        <v>46149.0</v>
      </c>
      <c r="X41" s="95">
        <v>46153.0</v>
      </c>
      <c r="Y41" s="152">
        <v>46150.0</v>
      </c>
      <c r="Z41" s="91" t="s">
        <v>512</v>
      </c>
    </row>
    <row r="42" ht="22.5" customHeight="1">
      <c r="A42" s="96"/>
      <c r="B42" s="83" t="str">
        <f t="array" ref="B42">IF(EXACT(A42, ""), "", XLOOKUP(A42, Proyectos[nombre], Proyectos[folio]))</f>
        <v/>
      </c>
      <c r="C42" s="83" t="s">
        <v>225</v>
      </c>
      <c r="D42" s="84" t="s">
        <v>232</v>
      </c>
      <c r="E42" s="101" t="s">
        <v>621</v>
      </c>
      <c r="F42" s="102" t="s">
        <v>622</v>
      </c>
      <c r="G42" s="101" t="s">
        <v>623</v>
      </c>
      <c r="H42" s="86" t="s">
        <v>457</v>
      </c>
      <c r="I42" s="87" t="str">
        <f t="array" ref="I42">IF(EXACT(H42, ""), "", XLOOKUP(H42, Equipo[nickname], Equipo[user]))</f>
        <v>jlopez</v>
      </c>
      <c r="J42" s="141" t="s">
        <v>578</v>
      </c>
      <c r="K42" s="141" t="s">
        <v>604</v>
      </c>
      <c r="L42" s="111" t="s">
        <v>517</v>
      </c>
      <c r="M42" s="106" t="s">
        <v>541</v>
      </c>
      <c r="N42" s="122" t="s">
        <v>294</v>
      </c>
      <c r="O42" s="104"/>
      <c r="P42" s="101" t="s">
        <v>481</v>
      </c>
      <c r="Q42" s="101" t="s">
        <v>504</v>
      </c>
      <c r="R42" s="101" t="s">
        <v>227</v>
      </c>
      <c r="S42" s="106">
        <v>8.0</v>
      </c>
      <c r="T42" s="106">
        <v>8.0</v>
      </c>
      <c r="U42" s="94">
        <v>0.5</v>
      </c>
      <c r="V42" s="108">
        <v>46133.0</v>
      </c>
      <c r="W42" s="108">
        <v>46157.0</v>
      </c>
      <c r="X42" s="108">
        <v>46157.0</v>
      </c>
      <c r="Y42" s="153"/>
      <c r="Z42" s="106" t="s">
        <v>512</v>
      </c>
    </row>
    <row r="43" ht="22.5" customHeight="1">
      <c r="A43" s="96"/>
      <c r="B43" s="83" t="str">
        <f t="array" ref="B43">IF(EXACT(A43, ""), "", XLOOKUP(A43, Proyectos[nombre], Proyectos[folio]))</f>
        <v/>
      </c>
      <c r="C43" s="83" t="s">
        <v>225</v>
      </c>
      <c r="D43" s="84" t="s">
        <v>232</v>
      </c>
      <c r="E43" s="85" t="s">
        <v>504</v>
      </c>
      <c r="F43" s="85" t="s">
        <v>504</v>
      </c>
      <c r="G43" s="85" t="s">
        <v>505</v>
      </c>
      <c r="H43" s="86" t="s">
        <v>457</v>
      </c>
      <c r="I43" s="87" t="str">
        <f t="array" ref="I43">IF(EXACT(H43, ""), "", XLOOKUP(H43, Equipo[nickname], Equipo[user]))</f>
        <v>jlopez</v>
      </c>
      <c r="J43" s="90" t="s">
        <v>578</v>
      </c>
      <c r="K43" s="89" t="s">
        <v>507</v>
      </c>
      <c r="L43" s="90" t="s">
        <v>433</v>
      </c>
      <c r="M43" s="91" t="s">
        <v>508</v>
      </c>
      <c r="N43" s="92" t="s">
        <v>230</v>
      </c>
      <c r="O43" s="137"/>
      <c r="P43" s="85" t="s">
        <v>510</v>
      </c>
      <c r="Q43" s="85" t="s">
        <v>504</v>
      </c>
      <c r="R43" s="85" t="s">
        <v>227</v>
      </c>
      <c r="S43" s="91">
        <v>8.0</v>
      </c>
      <c r="T43" s="91">
        <v>8.0</v>
      </c>
      <c r="U43" s="94">
        <v>0.5</v>
      </c>
      <c r="V43" s="95">
        <v>46141.0</v>
      </c>
      <c r="W43" s="95">
        <v>46163.0</v>
      </c>
      <c r="X43" s="95">
        <v>46164.0</v>
      </c>
      <c r="Y43" s="91" t="s">
        <v>511</v>
      </c>
      <c r="Z43" s="91" t="s">
        <v>512</v>
      </c>
    </row>
    <row r="44" ht="22.5" customHeight="1">
      <c r="A44" s="96"/>
      <c r="B44" s="83" t="str">
        <f t="array" ref="B44">IF(EXACT(A44, ""), "", XLOOKUP(A44, Proyectos[nombre], Proyectos[folio]))</f>
        <v/>
      </c>
      <c r="C44" s="83" t="s">
        <v>225</v>
      </c>
      <c r="D44" s="84" t="s">
        <v>232</v>
      </c>
      <c r="E44" s="85" t="s">
        <v>624</v>
      </c>
      <c r="F44" s="97" t="s">
        <v>625</v>
      </c>
      <c r="G44" s="85" t="s">
        <v>626</v>
      </c>
      <c r="H44" s="86" t="s">
        <v>457</v>
      </c>
      <c r="I44" s="87" t="str">
        <f t="array" ref="I44">IF(EXACT(H44, ""), "", XLOOKUP(H44, Equipo[nickname], Equipo[user]))</f>
        <v>jlopez</v>
      </c>
      <c r="J44" s="155" t="s">
        <v>529</v>
      </c>
      <c r="K44" s="99" t="s">
        <v>516</v>
      </c>
      <c r="L44" s="100" t="s">
        <v>517</v>
      </c>
      <c r="M44" s="91" t="s">
        <v>541</v>
      </c>
      <c r="N44" s="100" t="s">
        <v>242</v>
      </c>
      <c r="O44" s="99"/>
      <c r="P44" s="85" t="s">
        <v>577</v>
      </c>
      <c r="Q44" s="85" t="s">
        <v>504</v>
      </c>
      <c r="R44" s="85" t="s">
        <v>227</v>
      </c>
      <c r="S44" s="91">
        <v>1.0</v>
      </c>
      <c r="T44" s="91"/>
      <c r="U44" s="91"/>
      <c r="V44" s="95">
        <v>46140.0</v>
      </c>
      <c r="W44" s="95">
        <v>46147.0</v>
      </c>
      <c r="X44" s="95">
        <v>46148.0</v>
      </c>
      <c r="Y44" s="152">
        <v>46147.0</v>
      </c>
      <c r="Z44" s="91" t="s">
        <v>512</v>
      </c>
    </row>
    <row r="45" ht="22.5" customHeight="1">
      <c r="A45" s="96"/>
      <c r="B45" s="83" t="str">
        <f t="array" ref="B45">IF(EXACT(A45, ""), "", XLOOKUP(A45, Proyectos[nombre], Proyectos[folio]))</f>
        <v/>
      </c>
      <c r="C45" s="83" t="s">
        <v>225</v>
      </c>
      <c r="D45" s="84" t="s">
        <v>232</v>
      </c>
      <c r="E45" s="101" t="s">
        <v>627</v>
      </c>
      <c r="F45" s="102" t="s">
        <v>628</v>
      </c>
      <c r="G45" s="101" t="s">
        <v>629</v>
      </c>
      <c r="H45" s="86" t="s">
        <v>457</v>
      </c>
      <c r="I45" s="87" t="str">
        <f t="array" ref="I45">IF(EXACT(H45, ""), "", XLOOKUP(H45, Equipo[nickname], Equipo[user]))</f>
        <v>jlopez</v>
      </c>
      <c r="J45" s="147" t="s">
        <v>529</v>
      </c>
      <c r="K45" s="104" t="s">
        <v>522</v>
      </c>
      <c r="L45" s="111" t="s">
        <v>517</v>
      </c>
      <c r="M45" s="106" t="s">
        <v>541</v>
      </c>
      <c r="N45" s="112" t="s">
        <v>264</v>
      </c>
      <c r="O45" s="145"/>
      <c r="P45" s="101" t="s">
        <v>577</v>
      </c>
      <c r="Q45" s="101" t="s">
        <v>504</v>
      </c>
      <c r="R45" s="101" t="s">
        <v>227</v>
      </c>
      <c r="S45" s="106">
        <v>1.0</v>
      </c>
      <c r="T45" s="106"/>
      <c r="U45" s="106"/>
      <c r="V45" s="108">
        <v>46140.0</v>
      </c>
      <c r="W45" s="108">
        <v>46153.0</v>
      </c>
      <c r="X45" s="108">
        <v>46154.0</v>
      </c>
      <c r="Y45" s="153">
        <v>46150.0</v>
      </c>
      <c r="Z45" s="106" t="s">
        <v>512</v>
      </c>
    </row>
    <row r="46" ht="22.5" customHeight="1">
      <c r="A46" s="96"/>
      <c r="B46" s="83" t="str">
        <f t="array" ref="B46">IF(EXACT(A46, ""), "", XLOOKUP(A46, Proyectos[nombre], Proyectos[folio]))</f>
        <v/>
      </c>
      <c r="C46" s="83" t="s">
        <v>225</v>
      </c>
      <c r="D46" s="84" t="s">
        <v>232</v>
      </c>
      <c r="E46" s="101" t="s">
        <v>504</v>
      </c>
      <c r="F46" s="101" t="s">
        <v>504</v>
      </c>
      <c r="G46" s="101" t="s">
        <v>630</v>
      </c>
      <c r="H46" s="86" t="s">
        <v>234</v>
      </c>
      <c r="I46" s="87" t="str">
        <f t="array" ref="I46">IF(EXACT(H46, ""), "", XLOOKUP(H46, Equipo[nickname], Equipo[user]))</f>
        <v>lbernal</v>
      </c>
      <c r="J46" s="141" t="s">
        <v>578</v>
      </c>
      <c r="K46" s="156" t="s">
        <v>536</v>
      </c>
      <c r="L46" s="148" t="s">
        <v>601</v>
      </c>
      <c r="M46" s="106" t="s">
        <v>508</v>
      </c>
      <c r="N46" s="112" t="s">
        <v>264</v>
      </c>
      <c r="O46" s="145"/>
      <c r="P46" s="101" t="s">
        <v>510</v>
      </c>
      <c r="Q46" s="101" t="s">
        <v>504</v>
      </c>
      <c r="R46" s="101" t="s">
        <v>227</v>
      </c>
      <c r="S46" s="106">
        <v>3.0</v>
      </c>
      <c r="T46" s="106">
        <v>3.0</v>
      </c>
      <c r="U46" s="94">
        <v>0.5</v>
      </c>
      <c r="V46" s="108">
        <v>46141.0</v>
      </c>
      <c r="W46" s="108">
        <v>46156.0</v>
      </c>
      <c r="X46" s="108">
        <v>46156.0</v>
      </c>
      <c r="Y46" s="106" t="s">
        <v>511</v>
      </c>
      <c r="Z46" s="106" t="s">
        <v>631</v>
      </c>
    </row>
    <row r="47" ht="22.5" customHeight="1">
      <c r="A47" s="96"/>
      <c r="B47" s="83" t="str">
        <f t="array" ref="B47">IF(EXACT(A47, ""), "", XLOOKUP(A47, Proyectos[nombre], Proyectos[folio]))</f>
        <v/>
      </c>
      <c r="C47" s="83" t="s">
        <v>225</v>
      </c>
      <c r="D47" s="84" t="s">
        <v>232</v>
      </c>
      <c r="E47" s="85" t="s">
        <v>632</v>
      </c>
      <c r="F47" s="97" t="s">
        <v>633</v>
      </c>
      <c r="G47" s="85" t="s">
        <v>634</v>
      </c>
      <c r="H47" s="86" t="s">
        <v>234</v>
      </c>
      <c r="I47" s="87" t="str">
        <f t="array" ref="I47">IF(EXACT(H47, ""), "", XLOOKUP(H47, Equipo[nickname], Equipo[user]))</f>
        <v>lbernal</v>
      </c>
      <c r="J47" s="90" t="s">
        <v>578</v>
      </c>
      <c r="K47" s="88" t="s">
        <v>536</v>
      </c>
      <c r="L47" s="100" t="s">
        <v>517</v>
      </c>
      <c r="M47" s="91" t="s">
        <v>541</v>
      </c>
      <c r="N47" s="100" t="s">
        <v>242</v>
      </c>
      <c r="O47" s="99"/>
      <c r="P47" s="85" t="s">
        <v>635</v>
      </c>
      <c r="Q47" s="85" t="s">
        <v>504</v>
      </c>
      <c r="R47" s="85" t="s">
        <v>227</v>
      </c>
      <c r="S47" s="91">
        <v>34.0</v>
      </c>
      <c r="T47" s="91">
        <v>34.0</v>
      </c>
      <c r="U47" s="94">
        <v>0.5</v>
      </c>
      <c r="V47" s="95">
        <v>46133.0</v>
      </c>
      <c r="W47" s="95">
        <v>46153.0</v>
      </c>
      <c r="X47" s="95">
        <v>46157.0</v>
      </c>
      <c r="Y47" s="91" t="s">
        <v>511</v>
      </c>
      <c r="Z47" s="91" t="s">
        <v>631</v>
      </c>
    </row>
    <row r="48" ht="22.5" customHeight="1">
      <c r="A48" s="96"/>
      <c r="B48" s="83" t="str">
        <f t="array" ref="B48">IF(EXACT(A48, ""), "", XLOOKUP(A48, Proyectos[nombre], Proyectos[folio]))</f>
        <v/>
      </c>
      <c r="C48" s="83" t="s">
        <v>225</v>
      </c>
      <c r="D48" s="84" t="s">
        <v>232</v>
      </c>
      <c r="E48" s="101" t="s">
        <v>636</v>
      </c>
      <c r="F48" s="102" t="s">
        <v>637</v>
      </c>
      <c r="G48" s="101" t="s">
        <v>638</v>
      </c>
      <c r="H48" s="86" t="s">
        <v>234</v>
      </c>
      <c r="I48" s="87" t="str">
        <f t="array" ref="I48">IF(EXACT(H48, ""), "", XLOOKUP(H48, Equipo[nickname], Equipo[user]))</f>
        <v>lbernal</v>
      </c>
      <c r="J48" s="141" t="s">
        <v>578</v>
      </c>
      <c r="K48" s="88" t="s">
        <v>536</v>
      </c>
      <c r="L48" s="111" t="s">
        <v>517</v>
      </c>
      <c r="M48" s="106" t="s">
        <v>541</v>
      </c>
      <c r="N48" s="111" t="s">
        <v>242</v>
      </c>
      <c r="O48" s="110"/>
      <c r="P48" s="101" t="s">
        <v>635</v>
      </c>
      <c r="Q48" s="101" t="s">
        <v>504</v>
      </c>
      <c r="R48" s="101" t="s">
        <v>227</v>
      </c>
      <c r="S48" s="106">
        <v>8.0</v>
      </c>
      <c r="T48" s="106">
        <v>8.0</v>
      </c>
      <c r="U48" s="94">
        <v>0.5</v>
      </c>
      <c r="V48" s="108">
        <v>46141.0</v>
      </c>
      <c r="W48" s="108">
        <v>46153.0</v>
      </c>
      <c r="X48" s="108">
        <v>46157.0</v>
      </c>
      <c r="Y48" s="106" t="s">
        <v>511</v>
      </c>
      <c r="Z48" s="106" t="s">
        <v>631</v>
      </c>
    </row>
    <row r="49" ht="22.5" customHeight="1">
      <c r="A49" s="96"/>
      <c r="B49" s="83" t="str">
        <f t="array" ref="B49">IF(EXACT(A49, ""), "", XLOOKUP(A49, Proyectos[nombre], Proyectos[folio]))</f>
        <v/>
      </c>
      <c r="C49" s="83" t="s">
        <v>225</v>
      </c>
      <c r="D49" s="84" t="s">
        <v>232</v>
      </c>
      <c r="E49" s="85" t="s">
        <v>639</v>
      </c>
      <c r="F49" s="97" t="s">
        <v>640</v>
      </c>
      <c r="G49" s="85" t="s">
        <v>641</v>
      </c>
      <c r="H49" s="86" t="s">
        <v>234</v>
      </c>
      <c r="I49" s="87" t="str">
        <f t="array" ref="I49">IF(EXACT(H49, ""), "", XLOOKUP(H49, Equipo[nickname], Equipo[user]))</f>
        <v>lbernal</v>
      </c>
      <c r="J49" s="90" t="s">
        <v>578</v>
      </c>
      <c r="K49" s="88" t="s">
        <v>536</v>
      </c>
      <c r="L49" s="100" t="s">
        <v>517</v>
      </c>
      <c r="M49" s="91" t="s">
        <v>541</v>
      </c>
      <c r="N49" s="136" t="s">
        <v>249</v>
      </c>
      <c r="O49" s="157"/>
      <c r="P49" s="85" t="s">
        <v>635</v>
      </c>
      <c r="Q49" s="85" t="s">
        <v>504</v>
      </c>
      <c r="R49" s="85" t="s">
        <v>227</v>
      </c>
      <c r="S49" s="91">
        <v>8.0</v>
      </c>
      <c r="T49" s="91">
        <v>8.0</v>
      </c>
      <c r="U49" s="94">
        <v>0.5</v>
      </c>
      <c r="V49" s="95">
        <v>46141.0</v>
      </c>
      <c r="W49" s="95">
        <v>46153.0</v>
      </c>
      <c r="X49" s="95">
        <v>46157.0</v>
      </c>
      <c r="Y49" s="91" t="s">
        <v>511</v>
      </c>
      <c r="Z49" s="91" t="s">
        <v>631</v>
      </c>
    </row>
    <row r="50" ht="22.5" customHeight="1">
      <c r="A50" s="96"/>
      <c r="B50" s="83" t="str">
        <f t="array" ref="B50">IF(EXACT(A50, ""), "", XLOOKUP(A50, Proyectos[nombre], Proyectos[folio]))</f>
        <v/>
      </c>
      <c r="C50" s="83" t="s">
        <v>225</v>
      </c>
      <c r="D50" s="84" t="s">
        <v>232</v>
      </c>
      <c r="E50" s="101" t="s">
        <v>642</v>
      </c>
      <c r="F50" s="102" t="s">
        <v>643</v>
      </c>
      <c r="G50" s="101" t="s">
        <v>644</v>
      </c>
      <c r="H50" s="86" t="s">
        <v>234</v>
      </c>
      <c r="I50" s="87" t="str">
        <f t="array" ref="I50">IF(EXACT(H50, ""), "", XLOOKUP(H50, Equipo[nickname], Equipo[user]))</f>
        <v>lbernal</v>
      </c>
      <c r="J50" s="141" t="s">
        <v>578</v>
      </c>
      <c r="K50" s="88" t="s">
        <v>536</v>
      </c>
      <c r="L50" s="111" t="s">
        <v>517</v>
      </c>
      <c r="M50" s="106" t="s">
        <v>541</v>
      </c>
      <c r="N50" s="122" t="s">
        <v>294</v>
      </c>
      <c r="O50" s="104"/>
      <c r="P50" s="101" t="s">
        <v>635</v>
      </c>
      <c r="Q50" s="101" t="s">
        <v>504</v>
      </c>
      <c r="R50" s="101" t="s">
        <v>227</v>
      </c>
      <c r="S50" s="106">
        <v>8.0</v>
      </c>
      <c r="T50" s="106">
        <v>8.0</v>
      </c>
      <c r="U50" s="94">
        <v>0.5</v>
      </c>
      <c r="V50" s="108">
        <v>46141.0</v>
      </c>
      <c r="W50" s="108">
        <v>46153.0</v>
      </c>
      <c r="X50" s="108">
        <v>46157.0</v>
      </c>
      <c r="Y50" s="106" t="s">
        <v>511</v>
      </c>
      <c r="Z50" s="106" t="s">
        <v>631</v>
      </c>
    </row>
    <row r="51" ht="22.5" customHeight="1">
      <c r="A51" s="96"/>
      <c r="B51" s="83" t="str">
        <f t="array" ref="B51">IF(EXACT(A51, ""), "", XLOOKUP(A51, Proyectos[nombre], Proyectos[folio]))</f>
        <v/>
      </c>
      <c r="C51" s="83" t="s">
        <v>225</v>
      </c>
      <c r="D51" s="84" t="s">
        <v>232</v>
      </c>
      <c r="E51" s="85" t="s">
        <v>504</v>
      </c>
      <c r="F51" s="85" t="s">
        <v>504</v>
      </c>
      <c r="G51" s="85" t="s">
        <v>645</v>
      </c>
      <c r="H51" s="86" t="s">
        <v>234</v>
      </c>
      <c r="I51" s="87" t="str">
        <f t="array" ref="I51">IF(EXACT(H51, ""), "", XLOOKUP(H51, Equipo[nickname], Equipo[user]))</f>
        <v>lbernal</v>
      </c>
      <c r="J51" s="90" t="s">
        <v>578</v>
      </c>
      <c r="K51" s="127" t="s">
        <v>536</v>
      </c>
      <c r="L51" s="119" t="s">
        <v>549</v>
      </c>
      <c r="M51" s="91" t="s">
        <v>508</v>
      </c>
      <c r="N51" s="92" t="s">
        <v>230</v>
      </c>
      <c r="O51" s="137"/>
      <c r="P51" s="85" t="s">
        <v>510</v>
      </c>
      <c r="Q51" s="85" t="s">
        <v>504</v>
      </c>
      <c r="R51" s="85" t="s">
        <v>227</v>
      </c>
      <c r="S51" s="91">
        <v>1.0</v>
      </c>
      <c r="T51" s="91">
        <v>1.0</v>
      </c>
      <c r="U51" s="94">
        <v>0.5</v>
      </c>
      <c r="V51" s="95">
        <v>46141.0</v>
      </c>
      <c r="W51" s="95">
        <v>46162.0</v>
      </c>
      <c r="X51" s="95">
        <v>46162.0</v>
      </c>
      <c r="Y51" s="91" t="s">
        <v>511</v>
      </c>
      <c r="Z51" s="91" t="s">
        <v>631</v>
      </c>
    </row>
    <row r="52" ht="22.5" customHeight="1">
      <c r="A52" s="96"/>
      <c r="B52" s="83" t="str">
        <f t="array" ref="B52">IF(EXACT(A52, ""), "", XLOOKUP(A52, Proyectos[nombre], Proyectos[folio]))</f>
        <v/>
      </c>
      <c r="C52" s="83" t="s">
        <v>225</v>
      </c>
      <c r="D52" s="84" t="s">
        <v>232</v>
      </c>
      <c r="E52" s="101" t="s">
        <v>504</v>
      </c>
      <c r="F52" s="101" t="s">
        <v>504</v>
      </c>
      <c r="G52" s="101" t="s">
        <v>646</v>
      </c>
      <c r="H52" s="86" t="s">
        <v>234</v>
      </c>
      <c r="I52" s="87" t="str">
        <f t="array" ref="I52">IF(EXACT(H52, ""), "", XLOOKUP(H52, Equipo[nickname], Equipo[user]))</f>
        <v>lbernal</v>
      </c>
      <c r="J52" s="141" t="s">
        <v>578</v>
      </c>
      <c r="K52" s="133" t="s">
        <v>536</v>
      </c>
      <c r="L52" s="134" t="s">
        <v>215</v>
      </c>
      <c r="M52" s="106" t="s">
        <v>508</v>
      </c>
      <c r="N52" s="105" t="s">
        <v>230</v>
      </c>
      <c r="O52" s="126"/>
      <c r="P52" s="101" t="s">
        <v>510</v>
      </c>
      <c r="Q52" s="101" t="s">
        <v>504</v>
      </c>
      <c r="R52" s="101" t="s">
        <v>227</v>
      </c>
      <c r="S52" s="106">
        <v>3.0</v>
      </c>
      <c r="T52" s="106">
        <v>3.0</v>
      </c>
      <c r="U52" s="94">
        <v>0.5</v>
      </c>
      <c r="V52" s="108">
        <v>46141.0</v>
      </c>
      <c r="W52" s="108">
        <v>46161.0</v>
      </c>
      <c r="X52" s="108">
        <v>46161.0</v>
      </c>
      <c r="Y52" s="106" t="s">
        <v>511</v>
      </c>
      <c r="Z52" s="106" t="s">
        <v>631</v>
      </c>
    </row>
    <row r="53" ht="22.5" customHeight="1">
      <c r="A53" s="96"/>
      <c r="B53" s="83" t="str">
        <f t="array" ref="B53">IF(EXACT(A53, ""), "", XLOOKUP(A53, Proyectos[nombre], Proyectos[folio]))</f>
        <v/>
      </c>
      <c r="C53" s="83" t="s">
        <v>225</v>
      </c>
      <c r="D53" s="84" t="s">
        <v>232</v>
      </c>
      <c r="E53" s="85" t="s">
        <v>504</v>
      </c>
      <c r="F53" s="85" t="s">
        <v>504</v>
      </c>
      <c r="G53" s="85" t="s">
        <v>647</v>
      </c>
      <c r="H53" s="86" t="s">
        <v>648</v>
      </c>
      <c r="I53" s="87" t="str">
        <f t="array" ref="I53">IF(EXACT(H53, ""), "", XLOOKUP(H53, Equipo[nickname], Equipo[user]))</f>
        <v>mramirez</v>
      </c>
      <c r="J53" s="136" t="s">
        <v>548</v>
      </c>
      <c r="K53" s="119" t="s">
        <v>522</v>
      </c>
      <c r="L53" s="90" t="s">
        <v>433</v>
      </c>
      <c r="M53" s="91" t="s">
        <v>508</v>
      </c>
      <c r="N53" s="92" t="s">
        <v>230</v>
      </c>
      <c r="O53" s="137"/>
      <c r="P53" s="85" t="s">
        <v>510</v>
      </c>
      <c r="Q53" s="85" t="s">
        <v>504</v>
      </c>
      <c r="R53" s="85" t="s">
        <v>227</v>
      </c>
      <c r="S53" s="91">
        <v>100.0</v>
      </c>
      <c r="T53" s="91">
        <v>100.0</v>
      </c>
      <c r="U53" s="94">
        <v>0.5</v>
      </c>
      <c r="V53" s="95">
        <v>46141.0</v>
      </c>
      <c r="W53" s="95">
        <v>46141.0</v>
      </c>
      <c r="X53" s="95">
        <v>46164.0</v>
      </c>
      <c r="Y53" s="95">
        <v>46164.0</v>
      </c>
      <c r="Z53" s="91" t="s">
        <v>649</v>
      </c>
    </row>
    <row r="54" ht="22.5" customHeight="1">
      <c r="A54" s="96"/>
      <c r="B54" s="83" t="str">
        <f t="array" ref="B54">IF(EXACT(A54, ""), "", XLOOKUP(A54, Proyectos[nombre], Proyectos[folio]))</f>
        <v/>
      </c>
      <c r="C54" s="83" t="s">
        <v>225</v>
      </c>
      <c r="D54" s="158" t="s">
        <v>379</v>
      </c>
      <c r="E54" s="101" t="s">
        <v>504</v>
      </c>
      <c r="F54" s="101" t="s">
        <v>504</v>
      </c>
      <c r="G54" s="101" t="s">
        <v>650</v>
      </c>
      <c r="H54" s="107" t="s">
        <v>258</v>
      </c>
      <c r="I54" s="87" t="str">
        <f t="array" ref="I54">IF(EXACT(H54, ""), "", XLOOKUP(H54, Equipo[nickname], Equipo[user]))</f>
        <v>avazquez</v>
      </c>
      <c r="J54" s="159" t="s">
        <v>578</v>
      </c>
      <c r="K54" s="142" t="s">
        <v>507</v>
      </c>
      <c r="L54" s="86" t="s">
        <v>601</v>
      </c>
      <c r="M54" s="106" t="s">
        <v>508</v>
      </c>
      <c r="N54" s="105" t="s">
        <v>230</v>
      </c>
      <c r="O54" s="126"/>
      <c r="P54" s="101" t="s">
        <v>510</v>
      </c>
      <c r="Q54" s="101" t="s">
        <v>504</v>
      </c>
      <c r="R54" s="101" t="s">
        <v>227</v>
      </c>
      <c r="S54" s="106">
        <v>8.0</v>
      </c>
      <c r="T54" s="106">
        <v>8.0</v>
      </c>
      <c r="U54" s="94">
        <v>0.5</v>
      </c>
      <c r="V54" s="108">
        <v>46143.0</v>
      </c>
      <c r="W54" s="108">
        <v>46164.0</v>
      </c>
      <c r="X54" s="108">
        <v>46164.0</v>
      </c>
      <c r="Y54" s="106" t="s">
        <v>511</v>
      </c>
      <c r="Z54" s="106" t="s">
        <v>512</v>
      </c>
    </row>
    <row r="55" ht="22.5" customHeight="1">
      <c r="A55" s="96"/>
      <c r="B55" s="83" t="str">
        <f t="array" ref="B55">IF(EXACT(A55, ""), "", XLOOKUP(A55, Proyectos[nombre], Proyectos[folio]))</f>
        <v/>
      </c>
      <c r="C55" s="83" t="s">
        <v>225</v>
      </c>
      <c r="D55" s="158" t="s">
        <v>379</v>
      </c>
      <c r="E55" s="85" t="s">
        <v>504</v>
      </c>
      <c r="F55" s="85" t="s">
        <v>504</v>
      </c>
      <c r="G55" s="85" t="s">
        <v>651</v>
      </c>
      <c r="H55" s="107" t="s">
        <v>544</v>
      </c>
      <c r="I55" s="87" t="str">
        <f t="array" ref="I55">IF(EXACT(H55, ""), "", XLOOKUP(H55, Equipo[nickname], Equipo[user]))</f>
        <v>dperez</v>
      </c>
      <c r="J55" s="160" t="s">
        <v>578</v>
      </c>
      <c r="K55" s="89" t="s">
        <v>507</v>
      </c>
      <c r="L55" s="119" t="s">
        <v>549</v>
      </c>
      <c r="M55" s="91" t="s">
        <v>508</v>
      </c>
      <c r="N55" s="92" t="s">
        <v>230</v>
      </c>
      <c r="O55" s="137"/>
      <c r="P55" s="85" t="s">
        <v>510</v>
      </c>
      <c r="Q55" s="85" t="s">
        <v>504</v>
      </c>
      <c r="R55" s="85" t="s">
        <v>227</v>
      </c>
      <c r="S55" s="91">
        <v>8.0</v>
      </c>
      <c r="T55" s="91">
        <v>8.0</v>
      </c>
      <c r="U55" s="94">
        <v>0.5</v>
      </c>
      <c r="V55" s="95">
        <v>46143.0</v>
      </c>
      <c r="W55" s="95">
        <v>46174.0</v>
      </c>
      <c r="X55" s="95">
        <v>46190.0</v>
      </c>
      <c r="Y55" s="91" t="s">
        <v>511</v>
      </c>
      <c r="Z55" s="91" t="s">
        <v>546</v>
      </c>
    </row>
    <row r="56" ht="22.5" customHeight="1">
      <c r="A56" s="96"/>
      <c r="B56" s="83" t="str">
        <f t="array" ref="B56">IF(EXACT(A56, ""), "", XLOOKUP(A56, Proyectos[nombre], Proyectos[folio]))</f>
        <v/>
      </c>
      <c r="C56" s="83" t="s">
        <v>225</v>
      </c>
      <c r="D56" s="158" t="s">
        <v>379</v>
      </c>
      <c r="E56" s="101" t="s">
        <v>504</v>
      </c>
      <c r="F56" s="101" t="s">
        <v>504</v>
      </c>
      <c r="G56" s="101" t="s">
        <v>652</v>
      </c>
      <c r="H56" s="107" t="s">
        <v>544</v>
      </c>
      <c r="I56" s="87" t="str">
        <f t="array" ref="I56">IF(EXACT(H56, ""), "", XLOOKUP(H56, Equipo[nickname], Equipo[user]))</f>
        <v>dperez</v>
      </c>
      <c r="J56" s="159" t="s">
        <v>578</v>
      </c>
      <c r="K56" s="142" t="s">
        <v>507</v>
      </c>
      <c r="L56" s="112" t="s">
        <v>545</v>
      </c>
      <c r="M56" s="106" t="s">
        <v>508</v>
      </c>
      <c r="N56" s="105" t="s">
        <v>230</v>
      </c>
      <c r="O56" s="126"/>
      <c r="P56" s="101" t="s">
        <v>510</v>
      </c>
      <c r="Q56" s="101" t="s">
        <v>504</v>
      </c>
      <c r="R56" s="101" t="s">
        <v>227</v>
      </c>
      <c r="S56" s="106">
        <v>8.0</v>
      </c>
      <c r="T56" s="106">
        <v>8.0</v>
      </c>
      <c r="U56" s="94">
        <v>0.5</v>
      </c>
      <c r="V56" s="108">
        <v>46143.0</v>
      </c>
      <c r="W56" s="108">
        <v>46164.0</v>
      </c>
      <c r="X56" s="108">
        <v>46164.0</v>
      </c>
      <c r="Y56" s="106" t="s">
        <v>511</v>
      </c>
      <c r="Z56" s="106" t="s">
        <v>546</v>
      </c>
    </row>
    <row r="57" ht="22.5" customHeight="1">
      <c r="A57" s="96"/>
      <c r="B57" s="83" t="str">
        <f t="array" ref="B57">IF(EXACT(A57, ""), "", XLOOKUP(A57, Proyectos[nombre], Proyectos[folio]))</f>
        <v/>
      </c>
      <c r="C57" s="83" t="s">
        <v>225</v>
      </c>
      <c r="D57" s="158" t="s">
        <v>379</v>
      </c>
      <c r="E57" s="85" t="s">
        <v>504</v>
      </c>
      <c r="F57" s="85" t="s">
        <v>504</v>
      </c>
      <c r="G57" s="85" t="s">
        <v>653</v>
      </c>
      <c r="H57" s="107" t="s">
        <v>420</v>
      </c>
      <c r="I57" s="87" t="str">
        <f t="array" ref="I57">IF(EXACT(H57, ""), "", XLOOKUP(H57, Equipo[nickname], Equipo[user]))</f>
        <v>eramirez</v>
      </c>
      <c r="J57" s="160" t="s">
        <v>578</v>
      </c>
      <c r="K57" s="89" t="s">
        <v>507</v>
      </c>
      <c r="L57" s="136" t="s">
        <v>215</v>
      </c>
      <c r="M57" s="91" t="s">
        <v>508</v>
      </c>
      <c r="N57" s="92" t="s">
        <v>230</v>
      </c>
      <c r="O57" s="137"/>
      <c r="P57" s="85" t="s">
        <v>510</v>
      </c>
      <c r="Q57" s="85" t="s">
        <v>504</v>
      </c>
      <c r="R57" s="85" t="s">
        <v>227</v>
      </c>
      <c r="S57" s="91">
        <v>8.0</v>
      </c>
      <c r="T57" s="91">
        <v>8.0</v>
      </c>
      <c r="U57" s="94">
        <v>0.5</v>
      </c>
      <c r="V57" s="95">
        <v>46143.0</v>
      </c>
      <c r="W57" s="95">
        <v>46184.0</v>
      </c>
      <c r="X57" s="95">
        <v>46190.0</v>
      </c>
      <c r="Y57" s="91" t="s">
        <v>511</v>
      </c>
      <c r="Z57" s="91" t="s">
        <v>419</v>
      </c>
    </row>
    <row r="58" ht="22.5" customHeight="1">
      <c r="A58" s="96"/>
      <c r="B58" s="83" t="str">
        <f t="array" ref="B58">IF(EXACT(A58, ""), "", XLOOKUP(A58, Proyectos[nombre], Proyectos[folio]))</f>
        <v/>
      </c>
      <c r="C58" s="83" t="s">
        <v>225</v>
      </c>
      <c r="D58" s="158" t="s">
        <v>379</v>
      </c>
      <c r="E58" s="101" t="s">
        <v>504</v>
      </c>
      <c r="F58" s="101" t="s">
        <v>504</v>
      </c>
      <c r="G58" s="101" t="s">
        <v>654</v>
      </c>
      <c r="H58" s="107" t="s">
        <v>350</v>
      </c>
      <c r="I58" s="87" t="str">
        <f t="array" ref="I58">IF(EXACT(H58, ""), "", XLOOKUP(H58, Equipo[nickname], Equipo[user]))</f>
        <v>econtreras</v>
      </c>
      <c r="J58" s="159" t="s">
        <v>578</v>
      </c>
      <c r="K58" s="142" t="s">
        <v>507</v>
      </c>
      <c r="L58" s="148" t="s">
        <v>601</v>
      </c>
      <c r="M58" s="106" t="s">
        <v>508</v>
      </c>
      <c r="N58" s="105" t="s">
        <v>230</v>
      </c>
      <c r="O58" s="126"/>
      <c r="P58" s="101" t="s">
        <v>510</v>
      </c>
      <c r="Q58" s="101" t="s">
        <v>504</v>
      </c>
      <c r="R58" s="101" t="s">
        <v>227</v>
      </c>
      <c r="S58" s="106">
        <v>8.0</v>
      </c>
      <c r="T58" s="106">
        <v>8.0</v>
      </c>
      <c r="U58" s="94">
        <v>0.5</v>
      </c>
      <c r="V58" s="108">
        <v>46143.0</v>
      </c>
      <c r="W58" s="108">
        <v>46164.0</v>
      </c>
      <c r="X58" s="108">
        <v>46164.0</v>
      </c>
      <c r="Y58" s="106" t="s">
        <v>511</v>
      </c>
      <c r="Z58" s="106" t="s">
        <v>560</v>
      </c>
    </row>
    <row r="59" ht="22.5" customHeight="1">
      <c r="A59" s="96"/>
      <c r="B59" s="83" t="str">
        <f t="array" ref="B59">IF(EXACT(A59, ""), "", XLOOKUP(A59, Proyectos[nombre], Proyectos[folio]))</f>
        <v/>
      </c>
      <c r="C59" s="83" t="s">
        <v>225</v>
      </c>
      <c r="D59" s="158" t="s">
        <v>379</v>
      </c>
      <c r="E59" s="85" t="s">
        <v>504</v>
      </c>
      <c r="F59" s="85" t="s">
        <v>504</v>
      </c>
      <c r="G59" s="85" t="s">
        <v>655</v>
      </c>
      <c r="H59" s="107" t="s">
        <v>236</v>
      </c>
      <c r="I59" s="87" t="str">
        <f t="array" ref="I59">IF(EXACT(H59, ""), "", XLOOKUP(H59, Equipo[nickname], Equipo[user]))</f>
        <v>egonzalez</v>
      </c>
      <c r="J59" s="160" t="s">
        <v>578</v>
      </c>
      <c r="K59" s="89" t="s">
        <v>507</v>
      </c>
      <c r="L59" s="139" t="s">
        <v>545</v>
      </c>
      <c r="M59" s="91" t="s">
        <v>508</v>
      </c>
      <c r="N59" s="92" t="s">
        <v>230</v>
      </c>
      <c r="O59" s="137"/>
      <c r="P59" s="85" t="s">
        <v>510</v>
      </c>
      <c r="Q59" s="85" t="s">
        <v>504</v>
      </c>
      <c r="R59" s="85" t="s">
        <v>227</v>
      </c>
      <c r="S59" s="91">
        <v>8.0</v>
      </c>
      <c r="T59" s="91">
        <v>8.0</v>
      </c>
      <c r="U59" s="94">
        <v>0.5</v>
      </c>
      <c r="V59" s="95">
        <v>46143.0</v>
      </c>
      <c r="W59" s="95">
        <v>46164.0</v>
      </c>
      <c r="X59" s="95">
        <v>46164.0</v>
      </c>
      <c r="Y59" s="91" t="s">
        <v>511</v>
      </c>
      <c r="Z59" s="91" t="s">
        <v>215</v>
      </c>
    </row>
    <row r="60" ht="22.5" customHeight="1">
      <c r="A60" s="96"/>
      <c r="B60" s="83" t="str">
        <f t="array" ref="B60">IF(EXACT(A60, ""), "", XLOOKUP(A60, Proyectos[nombre], Proyectos[folio]))</f>
        <v/>
      </c>
      <c r="C60" s="83" t="s">
        <v>225</v>
      </c>
      <c r="D60" s="158" t="s">
        <v>379</v>
      </c>
      <c r="E60" s="101" t="s">
        <v>504</v>
      </c>
      <c r="F60" s="101" t="s">
        <v>504</v>
      </c>
      <c r="G60" s="101" t="s">
        <v>656</v>
      </c>
      <c r="H60" s="107" t="s">
        <v>236</v>
      </c>
      <c r="I60" s="87" t="str">
        <f t="array" ref="I60">IF(EXACT(H60, ""), "", XLOOKUP(H60, Equipo[nickname], Equipo[user]))</f>
        <v>egonzalez</v>
      </c>
      <c r="J60" s="159" t="s">
        <v>578</v>
      </c>
      <c r="K60" s="142" t="s">
        <v>507</v>
      </c>
      <c r="L60" s="134" t="s">
        <v>215</v>
      </c>
      <c r="M60" s="106" t="s">
        <v>508</v>
      </c>
      <c r="N60" s="134" t="s">
        <v>249</v>
      </c>
      <c r="O60" s="143"/>
      <c r="P60" s="101" t="s">
        <v>510</v>
      </c>
      <c r="Q60" s="101" t="s">
        <v>504</v>
      </c>
      <c r="R60" s="101" t="s">
        <v>227</v>
      </c>
      <c r="S60" s="106">
        <v>8.0</v>
      </c>
      <c r="T60" s="106">
        <v>8.0</v>
      </c>
      <c r="U60" s="94">
        <v>0.5</v>
      </c>
      <c r="V60" s="108">
        <v>46143.0</v>
      </c>
      <c r="W60" s="108">
        <v>46174.0</v>
      </c>
      <c r="X60" s="108">
        <v>46190.0</v>
      </c>
      <c r="Y60" s="106" t="s">
        <v>511</v>
      </c>
      <c r="Z60" s="106" t="s">
        <v>215</v>
      </c>
    </row>
    <row r="61" ht="22.5" customHeight="1">
      <c r="A61" s="96"/>
      <c r="B61" s="83" t="str">
        <f t="array" ref="B61">IF(EXACT(A61, ""), "", XLOOKUP(A61, Proyectos[nombre], Proyectos[folio]))</f>
        <v/>
      </c>
      <c r="C61" s="83" t="s">
        <v>225</v>
      </c>
      <c r="D61" s="158" t="s">
        <v>379</v>
      </c>
      <c r="E61" s="85" t="s">
        <v>504</v>
      </c>
      <c r="F61" s="85" t="s">
        <v>504</v>
      </c>
      <c r="G61" s="85" t="s">
        <v>657</v>
      </c>
      <c r="H61" s="107" t="s">
        <v>236</v>
      </c>
      <c r="I61" s="87" t="str">
        <f t="array" ref="I61">IF(EXACT(H61, ""), "", XLOOKUP(H61, Equipo[nickname], Equipo[user]))</f>
        <v>egonzalez</v>
      </c>
      <c r="J61" s="160" t="s">
        <v>578</v>
      </c>
      <c r="K61" s="89" t="s">
        <v>507</v>
      </c>
      <c r="L61" s="136" t="s">
        <v>215</v>
      </c>
      <c r="M61" s="91" t="s">
        <v>508</v>
      </c>
      <c r="N61" s="139" t="s">
        <v>264</v>
      </c>
      <c r="O61" s="144"/>
      <c r="P61" s="85" t="s">
        <v>510</v>
      </c>
      <c r="Q61" s="85" t="s">
        <v>504</v>
      </c>
      <c r="R61" s="85" t="s">
        <v>227</v>
      </c>
      <c r="S61" s="91">
        <v>16.0</v>
      </c>
      <c r="T61" s="91">
        <v>16.0</v>
      </c>
      <c r="U61" s="94">
        <v>0.5</v>
      </c>
      <c r="V61" s="95">
        <v>46143.0</v>
      </c>
      <c r="W61" s="95">
        <v>46174.0</v>
      </c>
      <c r="X61" s="95">
        <v>46188.0</v>
      </c>
      <c r="Y61" s="91" t="s">
        <v>511</v>
      </c>
      <c r="Z61" s="91" t="s">
        <v>215</v>
      </c>
    </row>
    <row r="62" ht="22.5" customHeight="1">
      <c r="A62" s="96"/>
      <c r="B62" s="83" t="str">
        <f t="array" ref="B62">IF(EXACT(A62, ""), "", XLOOKUP(A62, Proyectos[nombre], Proyectos[folio]))</f>
        <v/>
      </c>
      <c r="C62" s="83" t="s">
        <v>225</v>
      </c>
      <c r="D62" s="158" t="s">
        <v>379</v>
      </c>
      <c r="E62" s="101" t="s">
        <v>504</v>
      </c>
      <c r="F62" s="101" t="s">
        <v>504</v>
      </c>
      <c r="G62" s="101" t="s">
        <v>658</v>
      </c>
      <c r="H62" s="107" t="s">
        <v>236</v>
      </c>
      <c r="I62" s="87" t="str">
        <f t="array" ref="I62">IF(EXACT(H62, ""), "", XLOOKUP(H62, Equipo[nickname], Equipo[user]))</f>
        <v>egonzalez</v>
      </c>
      <c r="J62" s="159" t="s">
        <v>578</v>
      </c>
      <c r="K62" s="142" t="s">
        <v>507</v>
      </c>
      <c r="L62" s="134" t="s">
        <v>215</v>
      </c>
      <c r="M62" s="106" t="s">
        <v>508</v>
      </c>
      <c r="N62" s="112" t="s">
        <v>264</v>
      </c>
      <c r="O62" s="145"/>
      <c r="P62" s="101" t="s">
        <v>510</v>
      </c>
      <c r="Q62" s="101" t="s">
        <v>504</v>
      </c>
      <c r="R62" s="101" t="s">
        <v>227</v>
      </c>
      <c r="S62" s="106">
        <v>16.0</v>
      </c>
      <c r="T62" s="106">
        <v>16.0</v>
      </c>
      <c r="U62" s="94">
        <v>0.5</v>
      </c>
      <c r="V62" s="108">
        <v>46143.0</v>
      </c>
      <c r="W62" s="108">
        <v>46188.0</v>
      </c>
      <c r="X62" s="108">
        <v>46188.0</v>
      </c>
      <c r="Y62" s="106" t="s">
        <v>511</v>
      </c>
      <c r="Z62" s="106" t="s">
        <v>215</v>
      </c>
    </row>
    <row r="63" ht="22.5" customHeight="1">
      <c r="A63" s="96"/>
      <c r="B63" s="83" t="str">
        <f t="array" ref="B63">IF(EXACT(A63, ""), "", XLOOKUP(A63, Proyectos[nombre], Proyectos[folio]))</f>
        <v/>
      </c>
      <c r="C63" s="83" t="s">
        <v>225</v>
      </c>
      <c r="D63" s="158" t="s">
        <v>379</v>
      </c>
      <c r="E63" s="85" t="s">
        <v>504</v>
      </c>
      <c r="F63" s="85" t="s">
        <v>504</v>
      </c>
      <c r="G63" s="85" t="s">
        <v>659</v>
      </c>
      <c r="H63" s="107" t="s">
        <v>236</v>
      </c>
      <c r="I63" s="87" t="str">
        <f t="array" ref="I63">IF(EXACT(H63, ""), "", XLOOKUP(H63, Equipo[nickname], Equipo[user]))</f>
        <v>egonzalez</v>
      </c>
      <c r="J63" s="160" t="s">
        <v>578</v>
      </c>
      <c r="K63" s="89" t="s">
        <v>507</v>
      </c>
      <c r="L63" s="136" t="s">
        <v>215</v>
      </c>
      <c r="M63" s="91" t="s">
        <v>508</v>
      </c>
      <c r="N63" s="92" t="s">
        <v>230</v>
      </c>
      <c r="O63" s="137"/>
      <c r="P63" s="85" t="s">
        <v>510</v>
      </c>
      <c r="Q63" s="85" t="s">
        <v>504</v>
      </c>
      <c r="R63" s="85" t="s">
        <v>227</v>
      </c>
      <c r="S63" s="91">
        <v>8.0</v>
      </c>
      <c r="T63" s="91">
        <v>8.0</v>
      </c>
      <c r="U63" s="94">
        <v>0.5</v>
      </c>
      <c r="V63" s="95">
        <v>46143.0</v>
      </c>
      <c r="W63" s="95">
        <v>46188.0</v>
      </c>
      <c r="X63" s="95">
        <v>46189.0</v>
      </c>
      <c r="Y63" s="91" t="s">
        <v>511</v>
      </c>
      <c r="Z63" s="91" t="s">
        <v>215</v>
      </c>
    </row>
    <row r="64" ht="22.5" customHeight="1">
      <c r="A64" s="96"/>
      <c r="B64" s="83" t="str">
        <f t="array" ref="B64">IF(EXACT(A64, ""), "", XLOOKUP(A64, Proyectos[nombre], Proyectos[folio]))</f>
        <v/>
      </c>
      <c r="C64" s="83" t="s">
        <v>225</v>
      </c>
      <c r="D64" s="158" t="s">
        <v>379</v>
      </c>
      <c r="E64" s="101" t="s">
        <v>504</v>
      </c>
      <c r="F64" s="101" t="s">
        <v>504</v>
      </c>
      <c r="G64" s="101" t="s">
        <v>660</v>
      </c>
      <c r="H64" s="107" t="s">
        <v>236</v>
      </c>
      <c r="I64" s="87" t="str">
        <f t="array" ref="I64">IF(EXACT(H64, ""), "", XLOOKUP(H64, Equipo[nickname], Equipo[user]))</f>
        <v>egonzalez</v>
      </c>
      <c r="J64" s="159" t="s">
        <v>578</v>
      </c>
      <c r="K64" s="142" t="s">
        <v>507</v>
      </c>
      <c r="L64" s="134" t="s">
        <v>215</v>
      </c>
      <c r="M64" s="106" t="s">
        <v>508</v>
      </c>
      <c r="N64" s="111" t="s">
        <v>242</v>
      </c>
      <c r="O64" s="110"/>
      <c r="P64" s="101" t="s">
        <v>510</v>
      </c>
      <c r="Q64" s="101" t="s">
        <v>504</v>
      </c>
      <c r="R64" s="101" t="s">
        <v>227</v>
      </c>
      <c r="S64" s="106">
        <v>8.0</v>
      </c>
      <c r="T64" s="106">
        <v>8.0</v>
      </c>
      <c r="U64" s="94">
        <v>0.5</v>
      </c>
      <c r="V64" s="108">
        <v>46143.0</v>
      </c>
      <c r="W64" s="108">
        <v>46189.0</v>
      </c>
      <c r="X64" s="108">
        <v>46189.0</v>
      </c>
      <c r="Y64" s="106" t="s">
        <v>511</v>
      </c>
      <c r="Z64" s="106" t="s">
        <v>215</v>
      </c>
    </row>
    <row r="65" ht="22.5" customHeight="1">
      <c r="A65" s="96"/>
      <c r="B65" s="83" t="str">
        <f t="array" ref="B65">IF(EXACT(A65, ""), "", XLOOKUP(A65, Proyectos[nombre], Proyectos[folio]))</f>
        <v/>
      </c>
      <c r="C65" s="83" t="s">
        <v>225</v>
      </c>
      <c r="D65" s="158" t="s">
        <v>379</v>
      </c>
      <c r="E65" s="85" t="s">
        <v>504</v>
      </c>
      <c r="F65" s="85" t="s">
        <v>504</v>
      </c>
      <c r="G65" s="85" t="s">
        <v>661</v>
      </c>
      <c r="H65" s="107" t="s">
        <v>235</v>
      </c>
      <c r="I65" s="87" t="str">
        <f t="array" ref="I65">IF(EXACT(H65, ""), "", XLOOKUP(H65, Equipo[nickname], Equipo[user]))</f>
        <v>gguadarrama</v>
      </c>
      <c r="J65" s="160" t="s">
        <v>578</v>
      </c>
      <c r="K65" s="89" t="s">
        <v>507</v>
      </c>
      <c r="L65" s="135" t="s">
        <v>601</v>
      </c>
      <c r="M65" s="91" t="s">
        <v>508</v>
      </c>
      <c r="N65" s="92" t="s">
        <v>230</v>
      </c>
      <c r="O65" s="137"/>
      <c r="P65" s="85" t="s">
        <v>510</v>
      </c>
      <c r="Q65" s="85" t="s">
        <v>504</v>
      </c>
      <c r="R65" s="85" t="s">
        <v>227</v>
      </c>
      <c r="S65" s="91">
        <v>8.0</v>
      </c>
      <c r="T65" s="91">
        <v>8.0</v>
      </c>
      <c r="U65" s="94">
        <v>0.5</v>
      </c>
      <c r="V65" s="95">
        <v>46143.0</v>
      </c>
      <c r="W65" s="95">
        <v>46164.0</v>
      </c>
      <c r="X65" s="95">
        <v>46164.0</v>
      </c>
      <c r="Y65" s="91" t="s">
        <v>511</v>
      </c>
      <c r="Z65" s="91" t="s">
        <v>560</v>
      </c>
    </row>
    <row r="66" ht="22.5" customHeight="1">
      <c r="A66" s="96"/>
      <c r="B66" s="83" t="str">
        <f t="array" ref="B66">IF(EXACT(A66, ""), "", XLOOKUP(A66, Proyectos[nombre], Proyectos[folio]))</f>
        <v/>
      </c>
      <c r="C66" s="83" t="s">
        <v>225</v>
      </c>
      <c r="D66" s="158" t="s">
        <v>379</v>
      </c>
      <c r="E66" s="101" t="s">
        <v>504</v>
      </c>
      <c r="F66" s="101" t="s">
        <v>504</v>
      </c>
      <c r="G66" s="101" t="s">
        <v>662</v>
      </c>
      <c r="H66" s="107" t="s">
        <v>151</v>
      </c>
      <c r="I66" s="87" t="str">
        <f t="array" ref="I66">IF(EXACT(H66, ""), "", XLOOKUP(H66, Equipo[nickname], Equipo[user]))</f>
        <v>hloredo</v>
      </c>
      <c r="J66" s="159" t="s">
        <v>578</v>
      </c>
      <c r="K66" s="142" t="s">
        <v>507</v>
      </c>
      <c r="L66" s="148" t="s">
        <v>601</v>
      </c>
      <c r="M66" s="106" t="s">
        <v>508</v>
      </c>
      <c r="N66" s="105" t="s">
        <v>230</v>
      </c>
      <c r="O66" s="126"/>
      <c r="P66" s="101" t="s">
        <v>510</v>
      </c>
      <c r="Q66" s="101" t="s">
        <v>504</v>
      </c>
      <c r="R66" s="101" t="s">
        <v>227</v>
      </c>
      <c r="S66" s="106">
        <v>1.0</v>
      </c>
      <c r="T66" s="106">
        <v>1.0</v>
      </c>
      <c r="U66" s="94">
        <v>0.5</v>
      </c>
      <c r="V66" s="108">
        <v>46143.0</v>
      </c>
      <c r="W66" s="108">
        <v>46188.0</v>
      </c>
      <c r="X66" s="108">
        <v>46188.0</v>
      </c>
      <c r="Y66" s="106" t="s">
        <v>511</v>
      </c>
      <c r="Z66" s="106" t="s">
        <v>207</v>
      </c>
    </row>
    <row r="67" ht="22.5" customHeight="1">
      <c r="A67" s="96"/>
      <c r="B67" s="83" t="str">
        <f t="array" ref="B67">IF(EXACT(A67, ""), "", XLOOKUP(A67, Proyectos[nombre], Proyectos[folio]))</f>
        <v/>
      </c>
      <c r="C67" s="83" t="s">
        <v>225</v>
      </c>
      <c r="D67" s="158" t="s">
        <v>379</v>
      </c>
      <c r="E67" s="85" t="s">
        <v>504</v>
      </c>
      <c r="F67" s="85" t="s">
        <v>504</v>
      </c>
      <c r="G67" s="85" t="s">
        <v>663</v>
      </c>
      <c r="H67" s="107" t="s">
        <v>151</v>
      </c>
      <c r="I67" s="87" t="str">
        <f t="array" ref="I67">IF(EXACT(H67, ""), "", XLOOKUP(H67, Equipo[nickname], Equipo[user]))</f>
        <v>hloredo</v>
      </c>
      <c r="J67" s="160" t="s">
        <v>578</v>
      </c>
      <c r="K67" s="89" t="s">
        <v>507</v>
      </c>
      <c r="L67" s="119" t="s">
        <v>549</v>
      </c>
      <c r="M67" s="91" t="s">
        <v>508</v>
      </c>
      <c r="N67" s="139" t="s">
        <v>264</v>
      </c>
      <c r="O67" s="144"/>
      <c r="P67" s="85" t="s">
        <v>510</v>
      </c>
      <c r="Q67" s="85" t="s">
        <v>504</v>
      </c>
      <c r="R67" s="85" t="s">
        <v>227</v>
      </c>
      <c r="S67" s="91">
        <v>2.0</v>
      </c>
      <c r="T67" s="91">
        <v>2.0</v>
      </c>
      <c r="U67" s="94">
        <v>0.5</v>
      </c>
      <c r="V67" s="95">
        <v>46143.0</v>
      </c>
      <c r="W67" s="95">
        <v>46174.0</v>
      </c>
      <c r="X67" s="95">
        <v>46174.0</v>
      </c>
      <c r="Y67" s="91" t="s">
        <v>511</v>
      </c>
      <c r="Z67" s="91" t="s">
        <v>207</v>
      </c>
    </row>
    <row r="68" ht="22.5" customHeight="1">
      <c r="A68" s="96"/>
      <c r="B68" s="83" t="str">
        <f t="array" ref="B68">IF(EXACT(A68, ""), "", XLOOKUP(A68, Proyectos[nombre], Proyectos[folio]))</f>
        <v/>
      </c>
      <c r="C68" s="83" t="s">
        <v>225</v>
      </c>
      <c r="D68" s="158" t="s">
        <v>379</v>
      </c>
      <c r="E68" s="101" t="s">
        <v>504</v>
      </c>
      <c r="F68" s="101" t="s">
        <v>504</v>
      </c>
      <c r="G68" s="101" t="s">
        <v>664</v>
      </c>
      <c r="H68" s="107" t="s">
        <v>151</v>
      </c>
      <c r="I68" s="87" t="str">
        <f t="array" ref="I68">IF(EXACT(H68, ""), "", XLOOKUP(H68, Equipo[nickname], Equipo[user]))</f>
        <v>hloredo</v>
      </c>
      <c r="J68" s="159" t="s">
        <v>578</v>
      </c>
      <c r="K68" s="142" t="s">
        <v>507</v>
      </c>
      <c r="L68" s="122" t="s">
        <v>549</v>
      </c>
      <c r="M68" s="106" t="s">
        <v>508</v>
      </c>
      <c r="N68" s="112" t="s">
        <v>264</v>
      </c>
      <c r="O68" s="145"/>
      <c r="P68" s="101" t="s">
        <v>510</v>
      </c>
      <c r="Q68" s="101" t="s">
        <v>504</v>
      </c>
      <c r="R68" s="101" t="s">
        <v>227</v>
      </c>
      <c r="S68" s="106">
        <v>2.0</v>
      </c>
      <c r="T68" s="106">
        <v>2.0</v>
      </c>
      <c r="U68" s="94">
        <v>0.5</v>
      </c>
      <c r="V68" s="108">
        <v>46143.0</v>
      </c>
      <c r="W68" s="108">
        <v>46183.0</v>
      </c>
      <c r="X68" s="108">
        <v>46183.0</v>
      </c>
      <c r="Y68" s="106" t="s">
        <v>511</v>
      </c>
      <c r="Z68" s="106" t="s">
        <v>207</v>
      </c>
    </row>
    <row r="69" ht="22.5" customHeight="1">
      <c r="A69" s="96"/>
      <c r="B69" s="83" t="str">
        <f t="array" ref="B69">IF(EXACT(A69, ""), "", XLOOKUP(A69, Proyectos[nombre], Proyectos[folio]))</f>
        <v/>
      </c>
      <c r="C69" s="83" t="s">
        <v>225</v>
      </c>
      <c r="D69" s="158" t="s">
        <v>379</v>
      </c>
      <c r="E69" s="128"/>
      <c r="F69" s="128"/>
      <c r="G69" s="85" t="s">
        <v>665</v>
      </c>
      <c r="H69" s="107" t="s">
        <v>151</v>
      </c>
      <c r="I69" s="87" t="str">
        <f t="array" ref="I69">IF(EXACT(H69, ""), "", XLOOKUP(H69, Equipo[nickname], Equipo[user]))</f>
        <v>hloredo</v>
      </c>
      <c r="J69" s="160" t="s">
        <v>578</v>
      </c>
      <c r="K69" s="89" t="s">
        <v>507</v>
      </c>
      <c r="L69" s="119" t="s">
        <v>549</v>
      </c>
      <c r="M69" s="91" t="s">
        <v>508</v>
      </c>
      <c r="N69" s="92" t="s">
        <v>230</v>
      </c>
      <c r="O69" s="137"/>
      <c r="P69" s="85" t="s">
        <v>510</v>
      </c>
      <c r="Q69" s="85" t="s">
        <v>504</v>
      </c>
      <c r="R69" s="85" t="s">
        <v>227</v>
      </c>
      <c r="S69" s="91">
        <v>1.0</v>
      </c>
      <c r="T69" s="91">
        <v>1.0</v>
      </c>
      <c r="U69" s="94">
        <v>0.5</v>
      </c>
      <c r="V69" s="95">
        <v>46143.0</v>
      </c>
      <c r="W69" s="95">
        <v>46191.0</v>
      </c>
      <c r="X69" s="95">
        <v>46191.0</v>
      </c>
      <c r="Y69" s="91" t="s">
        <v>511</v>
      </c>
      <c r="Z69" s="91" t="s">
        <v>207</v>
      </c>
    </row>
    <row r="70" ht="22.5" customHeight="1">
      <c r="A70" s="96"/>
      <c r="B70" s="83" t="str">
        <f t="array" ref="B70">IF(EXACT(A70, ""), "", XLOOKUP(A70, Proyectos[nombre], Proyectos[folio]))</f>
        <v/>
      </c>
      <c r="C70" s="83" t="s">
        <v>225</v>
      </c>
      <c r="D70" s="158" t="s">
        <v>379</v>
      </c>
      <c r="E70" s="101" t="s">
        <v>504</v>
      </c>
      <c r="F70" s="101" t="s">
        <v>504</v>
      </c>
      <c r="G70" s="101" t="s">
        <v>666</v>
      </c>
      <c r="H70" s="107" t="s">
        <v>151</v>
      </c>
      <c r="I70" s="87" t="str">
        <f t="array" ref="I70">IF(EXACT(H70, ""), "", XLOOKUP(H70, Equipo[nickname], Equipo[user]))</f>
        <v>hloredo</v>
      </c>
      <c r="J70" s="159" t="s">
        <v>578</v>
      </c>
      <c r="K70" s="142" t="s">
        <v>507</v>
      </c>
      <c r="L70" s="112" t="s">
        <v>545</v>
      </c>
      <c r="M70" s="106" t="s">
        <v>508</v>
      </c>
      <c r="N70" s="111" t="s">
        <v>242</v>
      </c>
      <c r="O70" s="110"/>
      <c r="P70" s="101" t="s">
        <v>510</v>
      </c>
      <c r="Q70" s="101" t="s">
        <v>504</v>
      </c>
      <c r="R70" s="101" t="s">
        <v>227</v>
      </c>
      <c r="S70" s="106">
        <v>8.0</v>
      </c>
      <c r="T70" s="106">
        <v>8.0</v>
      </c>
      <c r="U70" s="94">
        <v>0.5</v>
      </c>
      <c r="V70" s="108">
        <v>46143.0</v>
      </c>
      <c r="W70" s="108">
        <v>46183.0</v>
      </c>
      <c r="X70" s="108">
        <v>46183.0</v>
      </c>
      <c r="Y70" s="106" t="s">
        <v>511</v>
      </c>
      <c r="Z70" s="106" t="s">
        <v>207</v>
      </c>
    </row>
    <row r="71" ht="22.5" customHeight="1">
      <c r="A71" s="96"/>
      <c r="B71" s="83" t="str">
        <f t="array" ref="B71">IF(EXACT(A71, ""), "", XLOOKUP(A71, Proyectos[nombre], Proyectos[folio]))</f>
        <v/>
      </c>
      <c r="C71" s="83" t="s">
        <v>225</v>
      </c>
      <c r="D71" s="158" t="s">
        <v>379</v>
      </c>
      <c r="E71" s="85" t="s">
        <v>504</v>
      </c>
      <c r="F71" s="85" t="s">
        <v>504</v>
      </c>
      <c r="G71" s="85" t="s">
        <v>667</v>
      </c>
      <c r="H71" s="107" t="s">
        <v>457</v>
      </c>
      <c r="I71" s="87" t="str">
        <f t="array" ref="I71">IF(EXACT(H71, ""), "", XLOOKUP(H71, Equipo[nickname], Equipo[user]))</f>
        <v>jlopez</v>
      </c>
      <c r="J71" s="160" t="s">
        <v>578</v>
      </c>
      <c r="K71" s="89" t="s">
        <v>507</v>
      </c>
      <c r="L71" s="92" t="s">
        <v>523</v>
      </c>
      <c r="M71" s="91" t="s">
        <v>508</v>
      </c>
      <c r="N71" s="92" t="s">
        <v>230</v>
      </c>
      <c r="O71" s="137"/>
      <c r="P71" s="85" t="s">
        <v>510</v>
      </c>
      <c r="Q71" s="85" t="s">
        <v>504</v>
      </c>
      <c r="R71" s="85" t="s">
        <v>227</v>
      </c>
      <c r="S71" s="91">
        <v>8.0</v>
      </c>
      <c r="T71" s="91">
        <v>8.0</v>
      </c>
      <c r="U71" s="94">
        <v>0.5</v>
      </c>
      <c r="V71" s="95">
        <v>46143.0</v>
      </c>
      <c r="W71" s="95">
        <v>46164.0</v>
      </c>
      <c r="X71" s="95">
        <v>46164.0</v>
      </c>
      <c r="Y71" s="152"/>
      <c r="Z71" s="91" t="s">
        <v>512</v>
      </c>
    </row>
    <row r="72" ht="22.5" customHeight="1">
      <c r="A72" s="96"/>
      <c r="B72" s="83" t="str">
        <f t="array" ref="B72">IF(EXACT(A72, ""), "", XLOOKUP(A72, Proyectos[nombre], Proyectos[folio]))</f>
        <v/>
      </c>
      <c r="C72" s="83" t="s">
        <v>225</v>
      </c>
      <c r="D72" s="158" t="s">
        <v>379</v>
      </c>
      <c r="E72" s="101" t="s">
        <v>504</v>
      </c>
      <c r="F72" s="101" t="s">
        <v>504</v>
      </c>
      <c r="G72" s="101" t="s">
        <v>668</v>
      </c>
      <c r="H72" s="107" t="s">
        <v>234</v>
      </c>
      <c r="I72" s="87" t="str">
        <f t="array" ref="I72">IF(EXACT(H72, ""), "", XLOOKUP(H72, Equipo[nickname], Equipo[user]))</f>
        <v>lbernal</v>
      </c>
      <c r="J72" s="159" t="s">
        <v>578</v>
      </c>
      <c r="K72" s="142" t="s">
        <v>507</v>
      </c>
      <c r="L72" s="148" t="s">
        <v>601</v>
      </c>
      <c r="M72" s="106" t="s">
        <v>508</v>
      </c>
      <c r="N72" s="105" t="s">
        <v>230</v>
      </c>
      <c r="O72" s="126"/>
      <c r="P72" s="101" t="s">
        <v>510</v>
      </c>
      <c r="Q72" s="101" t="s">
        <v>504</v>
      </c>
      <c r="R72" s="101" t="s">
        <v>227</v>
      </c>
      <c r="S72" s="106">
        <v>8.0</v>
      </c>
      <c r="T72" s="106">
        <v>8.0</v>
      </c>
      <c r="U72" s="94">
        <v>0.5</v>
      </c>
      <c r="V72" s="108">
        <v>46141.0</v>
      </c>
      <c r="W72" s="108">
        <v>46164.0</v>
      </c>
      <c r="X72" s="108">
        <v>46167.0</v>
      </c>
      <c r="Y72" s="129"/>
      <c r="Z72" s="106" t="s">
        <v>631</v>
      </c>
    </row>
    <row r="73" ht="22.5" customHeight="1">
      <c r="A73" s="96"/>
      <c r="B73" s="83" t="str">
        <f t="array" ref="B73">IF(EXACT(A73, ""), "", XLOOKUP(A73, Proyectos[nombre], Proyectos[folio]))</f>
        <v/>
      </c>
      <c r="C73" s="83" t="s">
        <v>225</v>
      </c>
      <c r="D73" s="158" t="s">
        <v>379</v>
      </c>
      <c r="E73" s="85" t="s">
        <v>504</v>
      </c>
      <c r="F73" s="85" t="s">
        <v>504</v>
      </c>
      <c r="G73" s="85" t="s">
        <v>669</v>
      </c>
      <c r="H73" s="107" t="s">
        <v>234</v>
      </c>
      <c r="I73" s="87" t="str">
        <f t="array" ref="I73">IF(EXACT(H73, ""), "", XLOOKUP(H73, Equipo[nickname], Equipo[user]))</f>
        <v>lbernal</v>
      </c>
      <c r="J73" s="160" t="s">
        <v>578</v>
      </c>
      <c r="K73" s="89" t="s">
        <v>507</v>
      </c>
      <c r="L73" s="127" t="s">
        <v>601</v>
      </c>
      <c r="M73" s="91" t="s">
        <v>508</v>
      </c>
      <c r="N73" s="139" t="s">
        <v>264</v>
      </c>
      <c r="O73" s="144"/>
      <c r="P73" s="85" t="s">
        <v>510</v>
      </c>
      <c r="Q73" s="85" t="s">
        <v>504</v>
      </c>
      <c r="R73" s="85" t="s">
        <v>227</v>
      </c>
      <c r="S73" s="91">
        <v>3.0</v>
      </c>
      <c r="T73" s="91">
        <v>3.0</v>
      </c>
      <c r="U73" s="94">
        <v>0.5</v>
      </c>
      <c r="V73" s="95">
        <v>46143.0</v>
      </c>
      <c r="W73" s="95">
        <v>46184.0</v>
      </c>
      <c r="X73" s="95">
        <v>46185.0</v>
      </c>
      <c r="Y73" s="91" t="s">
        <v>511</v>
      </c>
      <c r="Z73" s="91" t="s">
        <v>631</v>
      </c>
    </row>
    <row r="74" ht="22.5" customHeight="1">
      <c r="A74" s="96"/>
      <c r="B74" s="83" t="str">
        <f t="array" ref="B74">IF(EXACT(A74, ""), "", XLOOKUP(A74, Proyectos[nombre], Proyectos[folio]))</f>
        <v/>
      </c>
      <c r="C74" s="83" t="s">
        <v>225</v>
      </c>
      <c r="D74" s="158" t="s">
        <v>379</v>
      </c>
      <c r="E74" s="101" t="s">
        <v>504</v>
      </c>
      <c r="F74" s="101" t="s">
        <v>504</v>
      </c>
      <c r="G74" s="101" t="s">
        <v>670</v>
      </c>
      <c r="H74" s="107" t="s">
        <v>234</v>
      </c>
      <c r="I74" s="87" t="str">
        <f t="array" ref="I74">IF(EXACT(H74, ""), "", XLOOKUP(H74, Equipo[nickname], Equipo[user]))</f>
        <v>lbernal</v>
      </c>
      <c r="J74" s="159" t="s">
        <v>578</v>
      </c>
      <c r="K74" s="142" t="s">
        <v>507</v>
      </c>
      <c r="L74" s="111" t="s">
        <v>517</v>
      </c>
      <c r="M74" s="106" t="s">
        <v>508</v>
      </c>
      <c r="N74" s="105" t="s">
        <v>230</v>
      </c>
      <c r="O74" s="126"/>
      <c r="P74" s="101" t="s">
        <v>510</v>
      </c>
      <c r="Q74" s="101" t="s">
        <v>504</v>
      </c>
      <c r="R74" s="101" t="s">
        <v>227</v>
      </c>
      <c r="S74" s="106">
        <v>100.0</v>
      </c>
      <c r="T74" s="106">
        <v>100.0</v>
      </c>
      <c r="U74" s="94">
        <v>0.5</v>
      </c>
      <c r="V74" s="108">
        <v>46143.0</v>
      </c>
      <c r="W74" s="108">
        <v>46167.0</v>
      </c>
      <c r="X74" s="108">
        <v>46185.0</v>
      </c>
      <c r="Y74" s="106" t="s">
        <v>511</v>
      </c>
      <c r="Z74" s="106" t="s">
        <v>631</v>
      </c>
    </row>
    <row r="75" ht="22.5" customHeight="1">
      <c r="A75" s="96"/>
      <c r="B75" s="83" t="str">
        <f t="array" ref="B75">IF(EXACT(A75, ""), "", XLOOKUP(A75, Proyectos[nombre], Proyectos[folio]))</f>
        <v/>
      </c>
      <c r="C75" s="83" t="s">
        <v>225</v>
      </c>
      <c r="D75" s="158" t="s">
        <v>379</v>
      </c>
      <c r="E75" s="85" t="s">
        <v>504</v>
      </c>
      <c r="F75" s="85" t="s">
        <v>504</v>
      </c>
      <c r="G75" s="85" t="s">
        <v>671</v>
      </c>
      <c r="H75" s="107" t="s">
        <v>234</v>
      </c>
      <c r="I75" s="87" t="str">
        <f t="array" ref="I75">IF(EXACT(H75, ""), "", XLOOKUP(H75, Equipo[nickname], Equipo[user]))</f>
        <v>lbernal</v>
      </c>
      <c r="J75" s="160" t="s">
        <v>578</v>
      </c>
      <c r="K75" s="89" t="s">
        <v>507</v>
      </c>
      <c r="L75" s="119" t="s">
        <v>549</v>
      </c>
      <c r="M75" s="91" t="s">
        <v>508</v>
      </c>
      <c r="N75" s="92" t="s">
        <v>230</v>
      </c>
      <c r="O75" s="137"/>
      <c r="P75" s="85" t="s">
        <v>510</v>
      </c>
      <c r="Q75" s="85" t="s">
        <v>504</v>
      </c>
      <c r="R75" s="85" t="s">
        <v>227</v>
      </c>
      <c r="S75" s="91">
        <v>1.0</v>
      </c>
      <c r="T75" s="91">
        <v>1.0</v>
      </c>
      <c r="U75" s="94">
        <v>0.5</v>
      </c>
      <c r="V75" s="95">
        <v>46143.0</v>
      </c>
      <c r="W75" s="95">
        <v>46189.0</v>
      </c>
      <c r="X75" s="95">
        <v>46190.0</v>
      </c>
      <c r="Y75" s="91" t="s">
        <v>511</v>
      </c>
      <c r="Z75" s="91" t="s">
        <v>631</v>
      </c>
    </row>
    <row r="76" ht="22.5" customHeight="1">
      <c r="A76" s="96"/>
      <c r="B76" s="83" t="str">
        <f t="array" ref="B76">IF(EXACT(A76, ""), "", XLOOKUP(A76, Proyectos[nombre], Proyectos[folio]))</f>
        <v/>
      </c>
      <c r="C76" s="161" t="s">
        <v>225</v>
      </c>
      <c r="D76" s="158" t="s">
        <v>379</v>
      </c>
      <c r="E76" s="162" t="s">
        <v>504</v>
      </c>
      <c r="F76" s="162" t="s">
        <v>504</v>
      </c>
      <c r="G76" s="162" t="s">
        <v>672</v>
      </c>
      <c r="H76" s="163"/>
      <c r="I76" s="87" t="str">
        <f t="array" ref="I76">IF(EXACT(H76, ""), "", XLOOKUP(H76, Equipo[nickname], Equipo[user]))</f>
        <v/>
      </c>
      <c r="J76" s="164" t="s">
        <v>578</v>
      </c>
      <c r="K76" s="165" t="s">
        <v>507</v>
      </c>
      <c r="L76" s="166" t="s">
        <v>215</v>
      </c>
      <c r="M76" s="167" t="s">
        <v>508</v>
      </c>
      <c r="N76" s="168" t="s">
        <v>230</v>
      </c>
      <c r="O76" s="163"/>
      <c r="P76" s="162" t="s">
        <v>510</v>
      </c>
      <c r="Q76" s="162" t="s">
        <v>504</v>
      </c>
      <c r="R76" s="162" t="s">
        <v>227</v>
      </c>
      <c r="S76" s="167">
        <v>3.0</v>
      </c>
      <c r="T76" s="167">
        <v>3.0</v>
      </c>
      <c r="U76" s="169">
        <v>0.5</v>
      </c>
      <c r="V76" s="170">
        <v>46143.0</v>
      </c>
      <c r="W76" s="170">
        <v>46189.0</v>
      </c>
      <c r="X76" s="170">
        <v>46189.0</v>
      </c>
      <c r="Y76" s="167" t="s">
        <v>511</v>
      </c>
      <c r="Z76" s="167" t="s">
        <v>631</v>
      </c>
    </row>
    <row r="77" ht="22.5" hidden="1" customHeight="1">
      <c r="A77" s="96"/>
      <c r="B77" s="83" t="str">
        <f t="array" ref="B77">IF(EXACT(A77, ""), "", XLOOKUP(A77, Proyectos[nombre], Proyectos[folio]))</f>
        <v/>
      </c>
      <c r="C77" s="171"/>
      <c r="D77" s="172"/>
      <c r="E77" s="173"/>
      <c r="F77" s="173"/>
      <c r="G77" s="173"/>
      <c r="H77" s="174"/>
      <c r="I77" s="175" t="str">
        <f t="array" ref="I77">IF(EXACT(H77, ""), "", XLOOKUP(H77, Equipo[nickname], Equipo[user]))</f>
        <v/>
      </c>
      <c r="J77" s="176"/>
      <c r="K77" s="177"/>
      <c r="L77" s="178"/>
      <c r="M77" s="179"/>
      <c r="N77" s="180"/>
      <c r="O77" s="174"/>
      <c r="P77" s="173"/>
      <c r="Q77" s="173"/>
      <c r="R77" s="173"/>
      <c r="S77" s="179"/>
      <c r="T77" s="179"/>
      <c r="U77" s="181"/>
      <c r="V77" s="182"/>
      <c r="W77" s="182"/>
      <c r="X77" s="182"/>
      <c r="Y77" s="179"/>
      <c r="Z77" s="179"/>
    </row>
    <row r="78" ht="22.5" hidden="1" customHeight="1">
      <c r="A78" s="96"/>
      <c r="B78" s="83" t="str">
        <f t="array" ref="B78">IF(EXACT(A78, ""), "", XLOOKUP(A78, Proyectos[nombre], Proyectos[folio]))</f>
        <v/>
      </c>
      <c r="C78" s="171"/>
      <c r="D78" s="172"/>
      <c r="E78" s="173"/>
      <c r="F78" s="173"/>
      <c r="G78" s="173"/>
      <c r="H78" s="174"/>
      <c r="I78" s="175" t="str">
        <f t="array" ref="I78">IF(EXACT(H78, ""), "", XLOOKUP(H78, Equipo[nickname], Equipo[user]))</f>
        <v/>
      </c>
      <c r="J78" s="176"/>
      <c r="K78" s="177"/>
      <c r="L78" s="178"/>
      <c r="M78" s="179"/>
      <c r="N78" s="180"/>
      <c r="O78" s="174"/>
      <c r="P78" s="173"/>
      <c r="Q78" s="173"/>
      <c r="R78" s="173"/>
      <c r="S78" s="179"/>
      <c r="T78" s="179"/>
      <c r="U78" s="181"/>
      <c r="V78" s="182"/>
      <c r="W78" s="182"/>
      <c r="X78" s="182"/>
      <c r="Y78" s="179"/>
      <c r="Z78" s="179"/>
    </row>
    <row r="79" ht="22.5" hidden="1" customHeight="1">
      <c r="A79" s="96"/>
      <c r="B79" s="83" t="str">
        <f t="array" ref="B79">IF(EXACT(A79, ""), "", XLOOKUP(A79, Proyectos[nombre], Proyectos[folio]))</f>
        <v/>
      </c>
      <c r="C79" s="171"/>
      <c r="D79" s="172"/>
      <c r="E79" s="173"/>
      <c r="F79" s="173"/>
      <c r="G79" s="173"/>
      <c r="H79" s="174"/>
      <c r="I79" s="175" t="str">
        <f t="array" ref="I79">IF(EXACT(H79, ""), "", XLOOKUP(H79, Equipo[nickname], Equipo[user]))</f>
        <v/>
      </c>
      <c r="J79" s="176"/>
      <c r="K79" s="177"/>
      <c r="L79" s="178"/>
      <c r="M79" s="179"/>
      <c r="N79" s="180"/>
      <c r="O79" s="174"/>
      <c r="P79" s="173"/>
      <c r="Q79" s="173"/>
      <c r="R79" s="173"/>
      <c r="S79" s="179"/>
      <c r="T79" s="179"/>
      <c r="U79" s="181"/>
      <c r="V79" s="182"/>
      <c r="W79" s="182"/>
      <c r="X79" s="182"/>
      <c r="Y79" s="179"/>
      <c r="Z79" s="179"/>
    </row>
    <row r="80" ht="22.5" hidden="1" customHeight="1">
      <c r="A80" s="96"/>
      <c r="B80" s="83" t="str">
        <f t="array" ref="B80">IF(EXACT(A80, ""), "", XLOOKUP(A80, Proyectos[nombre], Proyectos[folio]))</f>
        <v/>
      </c>
      <c r="C80" s="171"/>
      <c r="D80" s="172"/>
      <c r="E80" s="173"/>
      <c r="F80" s="173"/>
      <c r="G80" s="173"/>
      <c r="H80" s="174"/>
      <c r="I80" s="175" t="str">
        <f t="array" ref="I80">IF(EXACT(H80, ""), "", XLOOKUP(H80, Equipo[nickname], Equipo[user]))</f>
        <v/>
      </c>
      <c r="J80" s="176"/>
      <c r="K80" s="177"/>
      <c r="L80" s="178"/>
      <c r="M80" s="179"/>
      <c r="N80" s="180"/>
      <c r="O80" s="174"/>
      <c r="P80" s="173"/>
      <c r="Q80" s="173"/>
      <c r="R80" s="173"/>
      <c r="S80" s="179"/>
      <c r="T80" s="179"/>
      <c r="U80" s="181"/>
      <c r="V80" s="182"/>
      <c r="W80" s="182"/>
      <c r="X80" s="182"/>
      <c r="Y80" s="179"/>
      <c r="Z80" s="179"/>
    </row>
    <row r="81" ht="22.5" hidden="1" customHeight="1">
      <c r="A81" s="96"/>
      <c r="B81" s="83" t="str">
        <f t="array" ref="B81">IF(EXACT(A81, ""), "", XLOOKUP(A81, Proyectos[nombre], Proyectos[folio]))</f>
        <v/>
      </c>
      <c r="C81" s="171"/>
      <c r="D81" s="172"/>
      <c r="E81" s="173"/>
      <c r="F81" s="173"/>
      <c r="G81" s="173"/>
      <c r="H81" s="174"/>
      <c r="I81" s="175" t="str">
        <f t="array" ref="I81">IF(EXACT(H81, ""), "", XLOOKUP(H81, Equipo[nickname], Equipo[user]))</f>
        <v/>
      </c>
      <c r="J81" s="176"/>
      <c r="K81" s="177"/>
      <c r="L81" s="178"/>
      <c r="M81" s="179"/>
      <c r="N81" s="180"/>
      <c r="O81" s="174"/>
      <c r="P81" s="173"/>
      <c r="Q81" s="173"/>
      <c r="R81" s="173"/>
      <c r="S81" s="179"/>
      <c r="T81" s="179"/>
      <c r="U81" s="181"/>
      <c r="V81" s="182"/>
      <c r="W81" s="182"/>
      <c r="X81" s="182"/>
      <c r="Y81" s="179"/>
      <c r="Z81" s="179"/>
    </row>
    <row r="82" ht="22.5" hidden="1" customHeight="1">
      <c r="A82" s="96"/>
      <c r="B82" s="83" t="str">
        <f t="array" ref="B82">IF(EXACT(A82, ""), "", XLOOKUP(A82, Proyectos[nombre], Proyectos[folio]))</f>
        <v/>
      </c>
      <c r="C82" s="171"/>
      <c r="D82" s="172"/>
      <c r="E82" s="173"/>
      <c r="F82" s="173"/>
      <c r="G82" s="173"/>
      <c r="H82" s="174"/>
      <c r="I82" s="175" t="str">
        <f t="array" ref="I82">IF(EXACT(H82, ""), "", XLOOKUP(H82, Equipo[nickname], Equipo[user]))</f>
        <v/>
      </c>
      <c r="J82" s="176"/>
      <c r="K82" s="177"/>
      <c r="L82" s="178"/>
      <c r="M82" s="179"/>
      <c r="N82" s="180"/>
      <c r="O82" s="174"/>
      <c r="P82" s="173"/>
      <c r="Q82" s="173"/>
      <c r="R82" s="173"/>
      <c r="S82" s="179"/>
      <c r="T82" s="179"/>
      <c r="U82" s="181"/>
      <c r="V82" s="182"/>
      <c r="W82" s="182"/>
      <c r="X82" s="182"/>
      <c r="Y82" s="179"/>
      <c r="Z82" s="179"/>
    </row>
    <row r="83" ht="22.5" hidden="1" customHeight="1">
      <c r="A83" s="96"/>
      <c r="B83" s="83" t="str">
        <f t="array" ref="B83">IF(EXACT(A83, ""), "", XLOOKUP(A83, Proyectos[nombre], Proyectos[folio]))</f>
        <v/>
      </c>
      <c r="C83" s="171"/>
      <c r="D83" s="172"/>
      <c r="E83" s="173"/>
      <c r="F83" s="173"/>
      <c r="G83" s="173"/>
      <c r="H83" s="174"/>
      <c r="I83" s="175" t="str">
        <f t="array" ref="I83">IF(EXACT(H83, ""), "", XLOOKUP(H83, Equipo[nickname], Equipo[user]))</f>
        <v/>
      </c>
      <c r="J83" s="176"/>
      <c r="K83" s="177"/>
      <c r="L83" s="178"/>
      <c r="M83" s="179"/>
      <c r="N83" s="180"/>
      <c r="O83" s="174"/>
      <c r="P83" s="173"/>
      <c r="Q83" s="173"/>
      <c r="R83" s="173"/>
      <c r="S83" s="179"/>
      <c r="T83" s="179"/>
      <c r="U83" s="181"/>
      <c r="V83" s="182"/>
      <c r="W83" s="182"/>
      <c r="X83" s="182"/>
      <c r="Y83" s="179"/>
      <c r="Z83" s="179"/>
    </row>
    <row r="84" ht="22.5" hidden="1" customHeight="1">
      <c r="A84" s="96"/>
      <c r="B84" s="83" t="str">
        <f t="array" ref="B84">IF(EXACT(A84, ""), "", XLOOKUP(A84, Proyectos[nombre], Proyectos[folio]))</f>
        <v/>
      </c>
      <c r="C84" s="171"/>
      <c r="D84" s="172"/>
      <c r="E84" s="173"/>
      <c r="F84" s="173"/>
      <c r="G84" s="173"/>
      <c r="H84" s="174"/>
      <c r="I84" s="175" t="str">
        <f t="array" ref="I84">IF(EXACT(H84, ""), "", XLOOKUP(H84, Equipo[nickname], Equipo[user]))</f>
        <v/>
      </c>
      <c r="J84" s="176"/>
      <c r="K84" s="177"/>
      <c r="L84" s="178"/>
      <c r="M84" s="179"/>
      <c r="N84" s="180"/>
      <c r="O84" s="174"/>
      <c r="P84" s="173"/>
      <c r="Q84" s="173"/>
      <c r="R84" s="173"/>
      <c r="S84" s="179"/>
      <c r="T84" s="179"/>
      <c r="U84" s="181"/>
      <c r="V84" s="182"/>
      <c r="W84" s="182"/>
      <c r="X84" s="182"/>
      <c r="Y84" s="179"/>
      <c r="Z84" s="179"/>
    </row>
    <row r="85" ht="22.5" hidden="1" customHeight="1">
      <c r="A85" s="96"/>
      <c r="B85" s="83" t="str">
        <f t="array" ref="B85">IF(EXACT(A85, ""), "", XLOOKUP(A85, Proyectos[nombre], Proyectos[folio]))</f>
        <v/>
      </c>
      <c r="C85" s="171"/>
      <c r="D85" s="172"/>
      <c r="E85" s="173"/>
      <c r="F85" s="173"/>
      <c r="G85" s="173"/>
      <c r="H85" s="174"/>
      <c r="I85" s="175" t="str">
        <f t="array" ref="I85">IF(EXACT(H85, ""), "", XLOOKUP(H85, Equipo[nickname], Equipo[user]))</f>
        <v/>
      </c>
      <c r="J85" s="176"/>
      <c r="K85" s="177"/>
      <c r="L85" s="178"/>
      <c r="M85" s="179"/>
      <c r="N85" s="180"/>
      <c r="O85" s="174"/>
      <c r="P85" s="173"/>
      <c r="Q85" s="173"/>
      <c r="R85" s="173"/>
      <c r="S85" s="179"/>
      <c r="T85" s="179"/>
      <c r="U85" s="181"/>
      <c r="V85" s="182"/>
      <c r="W85" s="182"/>
      <c r="X85" s="182"/>
      <c r="Y85" s="179"/>
      <c r="Z85" s="179"/>
    </row>
    <row r="86" ht="22.5" hidden="1" customHeight="1">
      <c r="A86" s="96"/>
      <c r="B86" s="83" t="str">
        <f t="array" ref="B86">IF(EXACT(A86, ""), "", XLOOKUP(A86, Proyectos[nombre], Proyectos[folio]))</f>
        <v/>
      </c>
      <c r="C86" s="171"/>
      <c r="D86" s="172"/>
      <c r="E86" s="173"/>
      <c r="F86" s="173"/>
      <c r="G86" s="173"/>
      <c r="H86" s="174"/>
      <c r="I86" s="175" t="str">
        <f t="array" ref="I86">IF(EXACT(H86, ""), "", XLOOKUP(H86, Equipo[nickname], Equipo[user]))</f>
        <v/>
      </c>
      <c r="J86" s="176"/>
      <c r="K86" s="177"/>
      <c r="L86" s="178"/>
      <c r="M86" s="179"/>
      <c r="N86" s="180"/>
      <c r="O86" s="174"/>
      <c r="P86" s="173"/>
      <c r="Q86" s="173"/>
      <c r="R86" s="173"/>
      <c r="S86" s="179"/>
      <c r="T86" s="179"/>
      <c r="U86" s="181"/>
      <c r="V86" s="182"/>
      <c r="W86" s="182"/>
      <c r="X86" s="182"/>
      <c r="Y86" s="179"/>
      <c r="Z86" s="179"/>
    </row>
  </sheetData>
  <dataValidations>
    <dataValidation type="list" allowBlank="1" sqref="J2:J86">
      <formula1>"In progress,Pending,Done,TL Review,QA Testing,Change request,PO Review"</formula1>
    </dataValidation>
    <dataValidation type="list" allowBlank="1" sqref="N2:N86">
      <formula1>"Bloqueadora,Crítica,Mayor,Menor,Trivial"</formula1>
    </dataValidation>
    <dataValidation type="list" allowBlank="1" sqref="H2:H86">
      <formula1>#REF!</formula1>
    </dataValidation>
    <dataValidation type="list" allowBlank="1" sqref="D2:D86">
      <formula1>#REF!</formula1>
    </dataValidation>
    <dataValidation type="list" allowBlank="1" sqref="L2:L86">
      <formula1>"Analisis,Arquitectrura,Planeacion,Desarrollo,SQA,Liberacion,Soporte"</formula1>
    </dataValidation>
    <dataValidation type="custom" allowBlank="1" showDropDown="1" sqref="V2:V86 X2:X86">
      <formula1>OR(NOT(ISERROR(DATEVALUE(V2))), AND(ISNUMBER(V2), LEFT(CELL("format", V2))="D"))</formula1>
    </dataValidation>
    <dataValidation type="list" allowBlank="1" sqref="K2:K86">
      <formula1>"A tiempo,Atrazada,Bloqueada,Sin avance,Compormetida,Cancelada"</formula1>
    </dataValidation>
    <dataValidation type="list" allowBlank="1" sqref="A2:A86">
      <formula1>#REF!</formula1>
    </dataValidation>
    <dataValidation type="list" allowBlank="1" sqref="O2:O86">
      <formula1>"Baja,Media,Alta,Nula,Ninguna"</formula1>
    </dataValidation>
  </dataValidations>
  <hyperlinks>
    <hyperlink r:id="rId1" ref="F3"/>
    <hyperlink r:id="rId2" ref="F4"/>
    <hyperlink r:id="rId3" ref="F5"/>
    <hyperlink r:id="rId4" ref="F6"/>
    <hyperlink r:id="rId5" ref="F7"/>
    <hyperlink r:id="rId6" ref="F9"/>
    <hyperlink r:id="rId7" ref="F13"/>
    <hyperlink r:id="rId8" ref="F15"/>
    <hyperlink r:id="rId9" ref="F16"/>
    <hyperlink r:id="rId10" ref="F17"/>
    <hyperlink r:id="rId11" ref="F18"/>
    <hyperlink r:id="rId12" ref="F19"/>
    <hyperlink r:id="rId13" ref="F21"/>
    <hyperlink r:id="rId14" ref="F27"/>
    <hyperlink r:id="rId15" ref="F28"/>
    <hyperlink r:id="rId16" ref="F29"/>
    <hyperlink r:id="rId17" ref="F30"/>
    <hyperlink r:id="rId18" ref="F32"/>
    <hyperlink r:id="rId19" ref="F38"/>
    <hyperlink r:id="rId20" ref="F39"/>
    <hyperlink r:id="rId21" ref="F40"/>
    <hyperlink r:id="rId22" ref="F41"/>
    <hyperlink r:id="rId23" ref="F42"/>
    <hyperlink r:id="rId24" ref="F44"/>
    <hyperlink r:id="rId25" ref="F45"/>
    <hyperlink r:id="rId26" ref="F47"/>
    <hyperlink r:id="rId27" ref="F48"/>
    <hyperlink r:id="rId28" ref="F49"/>
    <hyperlink r:id="rId29" ref="F50"/>
  </hyperlinks>
  <drawing r:id="rId30"/>
  <tableParts count="1">
    <tablePart r:id="rId3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0.13"/>
    <col customWidth="1" min="7" max="7" width="18.38"/>
    <col customWidth="1" min="10" max="10" width="18.13"/>
  </cols>
  <sheetData>
    <row r="1" ht="22.5" customHeight="1">
      <c r="A1" s="41" t="s">
        <v>673</v>
      </c>
      <c r="B1" s="41" t="s">
        <v>674</v>
      </c>
      <c r="C1" s="48" t="s">
        <v>675</v>
      </c>
      <c r="D1" s="41" t="s">
        <v>676</v>
      </c>
      <c r="E1" s="41" t="s">
        <v>677</v>
      </c>
      <c r="F1" s="41" t="s">
        <v>678</v>
      </c>
      <c r="G1" s="41" t="s">
        <v>205</v>
      </c>
      <c r="H1" s="41" t="s">
        <v>206</v>
      </c>
      <c r="I1" s="41" t="s">
        <v>679</v>
      </c>
      <c r="J1" s="41" t="s">
        <v>680</v>
      </c>
      <c r="K1" s="41" t="s">
        <v>681</v>
      </c>
    </row>
    <row r="2" ht="22.5" customHeight="1">
      <c r="A2" s="41" t="s">
        <v>265</v>
      </c>
      <c r="B2" s="41" t="s">
        <v>682</v>
      </c>
      <c r="C2" s="41">
        <v>2026.0</v>
      </c>
      <c r="D2" s="41"/>
      <c r="E2" s="58">
        <v>46027.0</v>
      </c>
      <c r="F2" s="58">
        <v>46027.0</v>
      </c>
      <c r="G2" s="58">
        <v>46052.0</v>
      </c>
      <c r="H2" s="58">
        <v>46052.0</v>
      </c>
      <c r="I2" s="73"/>
      <c r="J2" s="41"/>
      <c r="K2" s="41"/>
    </row>
    <row r="3" ht="22.5" customHeight="1">
      <c r="A3" s="41" t="s">
        <v>273</v>
      </c>
      <c r="B3" s="41" t="s">
        <v>683</v>
      </c>
      <c r="C3" s="41">
        <v>2026.0</v>
      </c>
      <c r="D3" s="41"/>
      <c r="E3" s="58">
        <v>46055.0</v>
      </c>
      <c r="F3" s="58">
        <v>46055.0</v>
      </c>
      <c r="G3" s="58">
        <v>46080.0</v>
      </c>
      <c r="H3" s="58">
        <v>46080.0</v>
      </c>
      <c r="I3" s="73"/>
      <c r="J3" s="41"/>
      <c r="K3" s="41"/>
    </row>
    <row r="4" ht="22.5" customHeight="1">
      <c r="A4" s="41" t="s">
        <v>356</v>
      </c>
      <c r="B4" s="41" t="s">
        <v>684</v>
      </c>
      <c r="C4" s="41">
        <v>2026.0</v>
      </c>
      <c r="D4" s="41"/>
      <c r="E4" s="58">
        <v>46083.0</v>
      </c>
      <c r="F4" s="58">
        <v>46083.0</v>
      </c>
      <c r="G4" s="58">
        <v>46108.0</v>
      </c>
      <c r="H4" s="58">
        <v>46108.0</v>
      </c>
      <c r="I4" s="73"/>
      <c r="J4" s="41"/>
      <c r="K4" s="41"/>
    </row>
    <row r="5" ht="22.5" customHeight="1">
      <c r="A5" s="183" t="s">
        <v>295</v>
      </c>
      <c r="B5" s="41" t="s">
        <v>685</v>
      </c>
      <c r="C5" s="41">
        <v>2026.0</v>
      </c>
      <c r="D5" s="41"/>
      <c r="E5" s="58">
        <v>46113.0</v>
      </c>
      <c r="F5" s="58">
        <v>46113.0</v>
      </c>
      <c r="G5" s="58">
        <v>46136.0</v>
      </c>
      <c r="H5" s="58">
        <v>46136.0</v>
      </c>
      <c r="I5" s="73"/>
      <c r="J5" s="41"/>
      <c r="K5" s="41"/>
    </row>
    <row r="6" ht="22.5" customHeight="1">
      <c r="A6" s="41" t="s">
        <v>232</v>
      </c>
      <c r="B6" s="41" t="s">
        <v>686</v>
      </c>
      <c r="C6" s="41">
        <v>2026.0</v>
      </c>
      <c r="D6" s="41"/>
      <c r="E6" s="58">
        <v>46146.0</v>
      </c>
      <c r="F6" s="58">
        <v>46146.0</v>
      </c>
      <c r="G6" s="58">
        <v>46164.0</v>
      </c>
      <c r="H6" s="58">
        <v>46169.0</v>
      </c>
      <c r="I6" s="73"/>
      <c r="J6" s="41"/>
      <c r="K6" s="41"/>
    </row>
    <row r="7" ht="22.5" customHeight="1">
      <c r="A7" s="41" t="s">
        <v>379</v>
      </c>
      <c r="B7" s="41" t="s">
        <v>687</v>
      </c>
      <c r="C7" s="41">
        <v>2026.0</v>
      </c>
      <c r="D7" s="41">
        <v>17.0</v>
      </c>
      <c r="E7" s="58">
        <v>46170.0</v>
      </c>
      <c r="F7" s="73"/>
      <c r="G7" s="58">
        <v>46192.0</v>
      </c>
      <c r="H7" s="73"/>
      <c r="I7" s="73"/>
      <c r="J7" s="41">
        <v>884.0</v>
      </c>
      <c r="K7" s="41">
        <v>286.0</v>
      </c>
    </row>
    <row r="8" ht="22.5" customHeight="1">
      <c r="A8" s="183" t="s">
        <v>479</v>
      </c>
      <c r="B8" s="183" t="s">
        <v>688</v>
      </c>
      <c r="C8" s="41">
        <v>2026.0</v>
      </c>
      <c r="D8" s="183">
        <v>13.0</v>
      </c>
      <c r="E8" s="58">
        <v>46204.0</v>
      </c>
      <c r="F8" s="184"/>
      <c r="G8" s="58">
        <v>46220.0</v>
      </c>
      <c r="H8" s="184"/>
      <c r="I8" s="184"/>
      <c r="J8" s="183"/>
      <c r="K8" s="183"/>
    </row>
    <row r="9" ht="22.5" customHeight="1">
      <c r="A9" s="183" t="s">
        <v>689</v>
      </c>
      <c r="B9" s="183" t="s">
        <v>690</v>
      </c>
      <c r="C9" s="41">
        <v>2026.0</v>
      </c>
      <c r="D9" s="183">
        <v>12.0</v>
      </c>
      <c r="E9" s="58">
        <v>46233.0</v>
      </c>
      <c r="F9" s="184"/>
      <c r="G9" s="58">
        <v>46248.0</v>
      </c>
      <c r="H9" s="184"/>
      <c r="I9" s="184"/>
      <c r="J9" s="183"/>
      <c r="K9" s="183"/>
    </row>
    <row r="10">
      <c r="A10" s="185"/>
      <c r="B10" s="185"/>
      <c r="C10" s="185"/>
      <c r="D10" s="185"/>
      <c r="E10" s="185"/>
      <c r="F10" s="185"/>
      <c r="G10" s="185"/>
      <c r="H10" s="185"/>
      <c r="I10" s="185"/>
      <c r="J10" s="185"/>
      <c r="K10" s="185"/>
    </row>
  </sheetData>
  <dataValidations>
    <dataValidation type="custom" allowBlank="1" showDropDown="1" sqref="E2:E9 G2:G9">
      <formula1>OR(NOT(ISERROR(DATEVALUE(E2))), AND(ISNUMBER(E2), LEFT(CELL("format", E2))="D"))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13"/>
    <col customWidth="1" hidden="1" min="3" max="3" width="29.13"/>
    <col customWidth="1" min="4" max="4" width="15.13"/>
    <col customWidth="1" min="5" max="5" width="13.88"/>
    <col customWidth="1" min="6" max="6" width="13.13"/>
  </cols>
  <sheetData>
    <row r="1" ht="22.5" customHeight="1">
      <c r="A1" s="47" t="s">
        <v>691</v>
      </c>
      <c r="B1" s="186" t="s">
        <v>692</v>
      </c>
      <c r="C1" s="186" t="s">
        <v>693</v>
      </c>
      <c r="D1" s="41" t="s">
        <v>694</v>
      </c>
      <c r="E1" s="41" t="s">
        <v>695</v>
      </c>
      <c r="F1" s="41" t="s">
        <v>696</v>
      </c>
    </row>
    <row r="2" ht="22.5" customHeight="1">
      <c r="A2" s="41">
        <v>15.0</v>
      </c>
      <c r="B2" s="187" t="s">
        <v>140</v>
      </c>
      <c r="C2" s="42" t="str">
        <f t="array" ref="C2">IF(EXACT(B2, ""), "", XLOOKUP(B2, Equipo[tag], Equipo[user], ""))</f>
        <v>lbernal</v>
      </c>
      <c r="D2" s="69" t="s">
        <v>379</v>
      </c>
      <c r="E2" s="41">
        <v>0.0</v>
      </c>
      <c r="F2" s="41">
        <v>0.0</v>
      </c>
    </row>
    <row r="3" ht="22.5" customHeight="1">
      <c r="A3" s="41">
        <v>2.0</v>
      </c>
      <c r="B3" s="188" t="s">
        <v>115</v>
      </c>
      <c r="C3" s="42" t="str">
        <f t="array" ref="C3">IF(EXACT(B3, ""), "", XLOOKUP(B3, Equipo[tag], Equipo[user], ""))</f>
        <v>alara</v>
      </c>
      <c r="D3" s="69" t="s">
        <v>379</v>
      </c>
      <c r="E3" s="41">
        <v>0.0</v>
      </c>
      <c r="F3" s="41">
        <v>0.0</v>
      </c>
    </row>
    <row r="4" ht="22.5" customHeight="1">
      <c r="A4" s="41">
        <v>5.0</v>
      </c>
      <c r="B4" s="188" t="s">
        <v>122</v>
      </c>
      <c r="C4" s="42" t="str">
        <f t="array" ref="C4">IF(EXACT(B4, ""), "", XLOOKUP(B4, Equipo[tag], Equipo[user], ""))</f>
        <v>etorres</v>
      </c>
      <c r="D4" s="69" t="s">
        <v>379</v>
      </c>
      <c r="E4" s="41">
        <v>0.0</v>
      </c>
      <c r="F4" s="41">
        <v>68.0</v>
      </c>
    </row>
    <row r="5" ht="22.5" customHeight="1">
      <c r="A5" s="41">
        <v>10.0</v>
      </c>
      <c r="B5" s="188" t="s">
        <v>131</v>
      </c>
      <c r="C5" s="42" t="str">
        <f t="array" ref="C5">IF(EXACT(B5, ""), "", XLOOKUP(B5, Equipo[tag], Equipo[user], ""))</f>
        <v>jlopez</v>
      </c>
      <c r="D5" s="69" t="s">
        <v>379</v>
      </c>
      <c r="E5" s="41">
        <v>0.0</v>
      </c>
      <c r="F5" s="41">
        <v>136.0</v>
      </c>
    </row>
    <row r="6" ht="22.5" customHeight="1">
      <c r="A6" s="41">
        <v>12.0</v>
      </c>
      <c r="B6" s="188" t="s">
        <v>134</v>
      </c>
      <c r="C6" s="42" t="str">
        <f t="array" ref="C6">IF(EXACT(B6, ""), "", XLOOKUP(B6, Equipo[tag], Equipo[user], ""))</f>
        <v>ameza</v>
      </c>
      <c r="D6" s="69" t="s">
        <v>379</v>
      </c>
      <c r="E6" s="41">
        <v>0.0</v>
      </c>
      <c r="F6" s="41">
        <v>68.0</v>
      </c>
    </row>
    <row r="7" ht="22.5" customHeight="1">
      <c r="A7" s="41">
        <v>26.0</v>
      </c>
      <c r="B7" s="188" t="s">
        <v>161</v>
      </c>
      <c r="C7" s="42" t="str">
        <f t="array" ref="C7">IF(EXACT(B7, ""), "", XLOOKUP(B7, Equipo[tag], Equipo[user], ""))</f>
        <v>lolvera</v>
      </c>
      <c r="D7" s="69" t="s">
        <v>379</v>
      </c>
      <c r="E7" s="41">
        <v>0.0</v>
      </c>
      <c r="F7" s="41">
        <v>68.0</v>
      </c>
    </row>
    <row r="8" ht="22.5" customHeight="1">
      <c r="A8" s="41">
        <v>11.0</v>
      </c>
      <c r="B8" s="188" t="s">
        <v>132</v>
      </c>
      <c r="C8" s="42" t="str">
        <f t="array" ref="C8">IF(EXACT(B8, ""), "", XLOOKUP(B8, Equipo[tag], Equipo[user], ""))</f>
        <v>asierra</v>
      </c>
      <c r="D8" s="69" t="s">
        <v>379</v>
      </c>
      <c r="E8" s="41">
        <v>0.0</v>
      </c>
      <c r="F8" s="41">
        <v>136.0</v>
      </c>
    </row>
    <row r="9" ht="22.5" customHeight="1">
      <c r="A9" s="41">
        <v>16.0</v>
      </c>
      <c r="B9" s="188" t="s">
        <v>141</v>
      </c>
      <c r="C9" s="42" t="str">
        <f t="array" ref="C9">IF(EXACT(B9, ""), "", XLOOKUP(B9, Equipo[tag], Equipo[user], ""))</f>
        <v>mramirez</v>
      </c>
      <c r="D9" s="69" t="s">
        <v>379</v>
      </c>
      <c r="E9" s="41">
        <v>0.0</v>
      </c>
      <c r="F9" s="41">
        <v>0.0</v>
      </c>
    </row>
    <row r="10" ht="22.5" customHeight="1">
      <c r="A10" s="41">
        <v>18.0</v>
      </c>
      <c r="B10" s="188" t="s">
        <v>143</v>
      </c>
      <c r="C10" s="42" t="str">
        <f t="array" ref="C10">IF(EXACT(B10, ""), "", XLOOKUP(B10, Equipo[tag], Equipo[user], ""))</f>
        <v>avazquez</v>
      </c>
      <c r="D10" s="69" t="s">
        <v>379</v>
      </c>
      <c r="E10" s="41">
        <v>0.0</v>
      </c>
      <c r="F10" s="41">
        <v>68.0</v>
      </c>
    </row>
    <row r="11" ht="22.5" customHeight="1">
      <c r="A11" s="41">
        <v>6.0</v>
      </c>
      <c r="B11" s="188" t="s">
        <v>123</v>
      </c>
      <c r="C11" s="42" t="str">
        <f t="array" ref="C11">IF(EXACT(B11, ""), "", XLOOKUP(B11, Equipo[tag], Equipo[user], ""))</f>
        <v>econtreras</v>
      </c>
      <c r="D11" s="69" t="s">
        <v>379</v>
      </c>
      <c r="E11" s="41">
        <v>0.0</v>
      </c>
      <c r="F11" s="41">
        <v>136.0</v>
      </c>
    </row>
    <row r="12" ht="22.5" customHeight="1">
      <c r="A12" s="41">
        <v>8.0</v>
      </c>
      <c r="B12" s="188" t="s">
        <v>128</v>
      </c>
      <c r="C12" s="42" t="str">
        <f t="array" ref="C12">IF(EXACT(B12, ""), "", XLOOKUP(B12, Equipo[tag], Equipo[user], ""))</f>
        <v>gguadarrama</v>
      </c>
      <c r="D12" s="69" t="s">
        <v>379</v>
      </c>
      <c r="E12" s="41">
        <v>0.0</v>
      </c>
      <c r="F12" s="41">
        <v>136.0</v>
      </c>
    </row>
    <row r="13" ht="22.5" customHeight="1">
      <c r="A13" s="41">
        <v>28.0</v>
      </c>
      <c r="B13" s="188" t="s">
        <v>167</v>
      </c>
      <c r="C13" s="42" t="str">
        <f t="array" ref="C13">IF(EXACT(B13, ""), "", XLOOKUP(B13, Equipo[tag], Equipo[user], ""))</f>
        <v>rescobar</v>
      </c>
      <c r="D13" s="69" t="s">
        <v>379</v>
      </c>
      <c r="E13" s="41">
        <v>0.0</v>
      </c>
      <c r="F13" s="41">
        <v>34.0</v>
      </c>
    </row>
    <row r="14" ht="22.5" customHeight="1">
      <c r="A14" s="41">
        <v>4.0</v>
      </c>
      <c r="B14" s="188" t="s">
        <v>120</v>
      </c>
      <c r="C14" s="42" t="str">
        <f t="array" ref="C14">IF(EXACT(B14, ""), "", XLOOKUP(B14, Equipo[tag], Equipo[user], ""))</f>
        <v>dperez</v>
      </c>
      <c r="D14" s="69" t="s">
        <v>379</v>
      </c>
      <c r="E14" s="41">
        <v>0.0</v>
      </c>
      <c r="F14" s="41">
        <v>34.0</v>
      </c>
    </row>
    <row r="15" ht="22.5" customHeight="1">
      <c r="A15" s="41">
        <v>22.0</v>
      </c>
      <c r="B15" s="188" t="s">
        <v>150</v>
      </c>
      <c r="C15" s="42" t="str">
        <f t="array" ref="C15">IF(EXACT(B15, ""), "", XLOOKUP(B15, Equipo[tag], Equipo[user], ""))</f>
        <v>hloredo</v>
      </c>
      <c r="D15" s="69" t="s">
        <v>379</v>
      </c>
      <c r="E15" s="41">
        <v>0.0</v>
      </c>
      <c r="F15" s="41">
        <v>34.0</v>
      </c>
    </row>
    <row r="16" ht="22.5" customHeight="1">
      <c r="A16" s="41">
        <v>20.0</v>
      </c>
      <c r="B16" s="188" t="s">
        <v>146</v>
      </c>
      <c r="C16" s="42" t="str">
        <f t="array" ref="C16">IF(EXACT(B16, ""), "", XLOOKUP(B16, Equipo[tag], Equipo[user], ""))</f>
        <v>czamudio</v>
      </c>
      <c r="D16" s="69" t="s">
        <v>379</v>
      </c>
      <c r="E16" s="41">
        <v>0.0</v>
      </c>
      <c r="F16" s="41">
        <v>34.0</v>
      </c>
    </row>
    <row r="17" ht="22.5" customHeight="1">
      <c r="A17" s="41">
        <v>21.0</v>
      </c>
      <c r="B17" s="188" t="s">
        <v>148</v>
      </c>
      <c r="C17" s="42" t="str">
        <f t="array" ref="C17">IF(EXACT(B17, ""), "", XLOOKUP(B17, Equipo[tag], Equipo[user], ""))</f>
        <v>dgonzalez</v>
      </c>
      <c r="D17" s="69" t="s">
        <v>379</v>
      </c>
      <c r="E17" s="41">
        <v>0.0</v>
      </c>
      <c r="F17" s="41">
        <v>34.0</v>
      </c>
    </row>
    <row r="18" ht="22.5" customHeight="1">
      <c r="A18" s="41">
        <v>25.0</v>
      </c>
      <c r="B18" s="188" t="s">
        <v>159</v>
      </c>
      <c r="C18" s="42" t="str">
        <f t="array" ref="C18">IF(EXACT(B18, ""), "", XLOOKUP(B18, Equipo[tag], Equipo[user], ""))</f>
        <v>egonzalez</v>
      </c>
      <c r="D18" s="69" t="s">
        <v>379</v>
      </c>
      <c r="E18" s="41">
        <v>0.0</v>
      </c>
      <c r="F18" s="41">
        <v>34.0</v>
      </c>
    </row>
    <row r="19" ht="22.5" customHeight="1">
      <c r="A19" s="41">
        <v>23.0</v>
      </c>
      <c r="B19" s="188" t="s">
        <v>153</v>
      </c>
      <c r="C19" s="42" t="str">
        <f t="array" ref="C19">IF(EXACT(B19, ""), "", XLOOKUP(B19, Equipo[tag], Equipo[user], ""))</f>
        <v>eramirez</v>
      </c>
      <c r="D19" s="69" t="s">
        <v>379</v>
      </c>
      <c r="E19" s="41">
        <v>0.0</v>
      </c>
      <c r="F19" s="41">
        <v>17.0</v>
      </c>
    </row>
  </sheetData>
  <dataValidations>
    <dataValidation type="list" allowBlank="1" sqref="B2:B19 D2:D19">
      <formula1>#REF!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</hyperlinks>
  <drawing r:id="rId19"/>
  <tableParts count="1">
    <tablePart r:id="rId2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88"/>
    <col customWidth="1" min="2" max="3" width="16.75"/>
    <col customWidth="1" min="4" max="4" width="13.38"/>
    <col customWidth="1" min="5" max="5" width="15.5"/>
    <col customWidth="1" min="6" max="6" width="27.75"/>
    <col customWidth="1" min="7" max="11" width="30.88"/>
  </cols>
  <sheetData>
    <row r="1" ht="22.5" customHeight="1">
      <c r="A1" s="47" t="s">
        <v>697</v>
      </c>
      <c r="B1" s="186" t="s">
        <v>698</v>
      </c>
      <c r="C1" s="48" t="s">
        <v>493</v>
      </c>
      <c r="D1" s="186" t="s">
        <v>699</v>
      </c>
      <c r="E1" s="48" t="s">
        <v>488</v>
      </c>
      <c r="F1" s="47" t="s">
        <v>700</v>
      </c>
      <c r="G1" s="48" t="s">
        <v>701</v>
      </c>
      <c r="H1" s="48" t="s">
        <v>211</v>
      </c>
      <c r="I1" s="49" t="s">
        <v>702</v>
      </c>
      <c r="J1" s="48" t="s">
        <v>703</v>
      </c>
      <c r="K1" s="49" t="s">
        <v>704</v>
      </c>
    </row>
    <row r="2" ht="22.5" customHeight="1">
      <c r="A2" s="42" t="s">
        <v>705</v>
      </c>
      <c r="B2" s="68" t="s">
        <v>706</v>
      </c>
      <c r="C2" s="44" t="s">
        <v>707</v>
      </c>
      <c r="D2" s="69" t="s">
        <v>225</v>
      </c>
      <c r="E2" s="44" t="s">
        <v>225</v>
      </c>
      <c r="F2" s="42" t="s">
        <v>708</v>
      </c>
      <c r="G2" s="189" t="s">
        <v>173</v>
      </c>
      <c r="H2" s="189" t="s">
        <v>140</v>
      </c>
      <c r="I2" s="190" t="s">
        <v>161</v>
      </c>
      <c r="J2" s="189" t="s">
        <v>148</v>
      </c>
      <c r="K2" s="57" t="s">
        <v>709</v>
      </c>
    </row>
    <row r="3" ht="22.5" customHeight="1">
      <c r="A3" s="42" t="s">
        <v>710</v>
      </c>
      <c r="B3" s="42" t="s">
        <v>706</v>
      </c>
      <c r="C3" s="44" t="s">
        <v>707</v>
      </c>
      <c r="D3" s="69" t="s">
        <v>225</v>
      </c>
      <c r="E3" s="44" t="s">
        <v>225</v>
      </c>
      <c r="F3" s="42" t="s">
        <v>711</v>
      </c>
      <c r="G3" s="189" t="s">
        <v>173</v>
      </c>
      <c r="H3" s="189" t="s">
        <v>140</v>
      </c>
      <c r="I3" s="190" t="s">
        <v>712</v>
      </c>
      <c r="J3" s="189" t="s">
        <v>148</v>
      </c>
      <c r="K3" s="190" t="s">
        <v>713</v>
      </c>
    </row>
    <row r="4" ht="22.5" customHeight="1">
      <c r="A4" s="42" t="s">
        <v>714</v>
      </c>
      <c r="B4" s="68" t="s">
        <v>706</v>
      </c>
      <c r="C4" s="44" t="s">
        <v>707</v>
      </c>
      <c r="D4" s="69" t="s">
        <v>225</v>
      </c>
      <c r="E4" s="44" t="s">
        <v>225</v>
      </c>
      <c r="F4" s="42" t="s">
        <v>715</v>
      </c>
      <c r="G4" s="189" t="s">
        <v>173</v>
      </c>
      <c r="H4" s="189" t="s">
        <v>140</v>
      </c>
      <c r="I4" s="190" t="s">
        <v>716</v>
      </c>
      <c r="J4" s="189" t="s">
        <v>148</v>
      </c>
      <c r="K4" s="190" t="s">
        <v>713</v>
      </c>
    </row>
    <row r="5" ht="22.5" customHeight="1">
      <c r="A5" s="42" t="s">
        <v>717</v>
      </c>
      <c r="B5" s="68" t="s">
        <v>706</v>
      </c>
      <c r="C5" s="44" t="s">
        <v>707</v>
      </c>
      <c r="D5" s="69" t="s">
        <v>225</v>
      </c>
      <c r="E5" s="44" t="s">
        <v>225</v>
      </c>
      <c r="F5" s="42" t="s">
        <v>718</v>
      </c>
      <c r="G5" s="189" t="s">
        <v>173</v>
      </c>
      <c r="H5" s="189" t="s">
        <v>122</v>
      </c>
      <c r="I5" s="190" t="s">
        <v>719</v>
      </c>
      <c r="J5" s="189" t="s">
        <v>148</v>
      </c>
      <c r="K5" s="190" t="s">
        <v>720</v>
      </c>
    </row>
    <row r="6" ht="22.5" customHeight="1">
      <c r="A6" s="42" t="s">
        <v>721</v>
      </c>
      <c r="B6" s="68" t="s">
        <v>722</v>
      </c>
      <c r="C6" s="44" t="s">
        <v>707</v>
      </c>
      <c r="D6" s="69" t="s">
        <v>225</v>
      </c>
      <c r="E6" s="44" t="s">
        <v>225</v>
      </c>
      <c r="F6" s="42" t="s">
        <v>723</v>
      </c>
      <c r="G6" s="189" t="s">
        <v>173</v>
      </c>
      <c r="H6" s="189" t="s">
        <v>140</v>
      </c>
      <c r="I6" s="190" t="s">
        <v>724</v>
      </c>
      <c r="J6" s="189" t="s">
        <v>725</v>
      </c>
      <c r="K6" s="190" t="s">
        <v>713</v>
      </c>
    </row>
    <row r="7" ht="22.5" customHeight="1">
      <c r="A7" s="42" t="s">
        <v>726</v>
      </c>
      <c r="B7" s="42" t="s">
        <v>706</v>
      </c>
      <c r="C7" s="44" t="s">
        <v>707</v>
      </c>
      <c r="D7" s="69" t="s">
        <v>727</v>
      </c>
      <c r="E7" s="44" t="s">
        <v>225</v>
      </c>
      <c r="F7" s="42" t="s">
        <v>728</v>
      </c>
      <c r="G7" s="189" t="s">
        <v>173</v>
      </c>
      <c r="H7" s="189" t="s">
        <v>157</v>
      </c>
      <c r="I7" s="191" t="s">
        <v>729</v>
      </c>
      <c r="J7" s="189" t="s">
        <v>132</v>
      </c>
      <c r="K7" s="190" t="s">
        <v>157</v>
      </c>
    </row>
    <row r="8" ht="22.5" customHeight="1">
      <c r="A8" s="42" t="s">
        <v>730</v>
      </c>
      <c r="B8" s="68" t="s">
        <v>722</v>
      </c>
      <c r="C8" s="44" t="s">
        <v>707</v>
      </c>
      <c r="D8" s="69" t="s">
        <v>225</v>
      </c>
      <c r="E8" s="44" t="s">
        <v>225</v>
      </c>
      <c r="F8" s="42" t="s">
        <v>731</v>
      </c>
      <c r="G8" s="189" t="s">
        <v>173</v>
      </c>
      <c r="H8" s="189" t="s">
        <v>140</v>
      </c>
      <c r="I8" s="190" t="s">
        <v>732</v>
      </c>
      <c r="J8" s="41" t="s">
        <v>233</v>
      </c>
      <c r="K8" s="190" t="s">
        <v>713</v>
      </c>
    </row>
    <row r="9" ht="22.5" customHeight="1">
      <c r="A9" s="42" t="s">
        <v>733</v>
      </c>
      <c r="B9" s="68" t="s">
        <v>722</v>
      </c>
      <c r="C9" s="44" t="s">
        <v>707</v>
      </c>
      <c r="D9" s="69" t="s">
        <v>225</v>
      </c>
      <c r="E9" s="44" t="s">
        <v>225</v>
      </c>
      <c r="F9" s="42" t="s">
        <v>734</v>
      </c>
      <c r="G9" s="189" t="s">
        <v>173</v>
      </c>
      <c r="H9" s="189" t="s">
        <v>140</v>
      </c>
      <c r="I9" s="190" t="s">
        <v>732</v>
      </c>
      <c r="J9" s="41" t="s">
        <v>233</v>
      </c>
      <c r="K9" s="190" t="s">
        <v>713</v>
      </c>
    </row>
    <row r="10" ht="22.5" customHeight="1">
      <c r="A10" s="42" t="s">
        <v>735</v>
      </c>
      <c r="B10" s="68" t="s">
        <v>722</v>
      </c>
      <c r="C10" s="44" t="s">
        <v>707</v>
      </c>
      <c r="D10" s="69" t="s">
        <v>225</v>
      </c>
      <c r="E10" s="44" t="s">
        <v>225</v>
      </c>
      <c r="F10" s="42" t="s">
        <v>736</v>
      </c>
      <c r="G10" s="189" t="s">
        <v>173</v>
      </c>
      <c r="H10" s="189" t="s">
        <v>140</v>
      </c>
      <c r="I10" s="190" t="s">
        <v>732</v>
      </c>
      <c r="J10" s="41" t="s">
        <v>233</v>
      </c>
      <c r="K10" s="190" t="s">
        <v>713</v>
      </c>
    </row>
    <row r="11" ht="22.5" customHeight="1">
      <c r="A11" s="42" t="s">
        <v>737</v>
      </c>
      <c r="B11" s="68" t="s">
        <v>738</v>
      </c>
      <c r="C11" s="44" t="s">
        <v>707</v>
      </c>
      <c r="D11" s="69" t="s">
        <v>225</v>
      </c>
      <c r="E11" s="44" t="s">
        <v>225</v>
      </c>
      <c r="F11" s="42" t="s">
        <v>739</v>
      </c>
      <c r="G11" s="189" t="s">
        <v>173</v>
      </c>
      <c r="H11" s="189" t="s">
        <v>140</v>
      </c>
      <c r="I11" s="190" t="s">
        <v>732</v>
      </c>
      <c r="J11" s="41" t="s">
        <v>233</v>
      </c>
      <c r="K11" s="190" t="s">
        <v>713</v>
      </c>
    </row>
    <row r="12" ht="22.5" customHeight="1">
      <c r="A12" s="42" t="s">
        <v>740</v>
      </c>
      <c r="B12" s="68" t="s">
        <v>722</v>
      </c>
      <c r="C12" s="44" t="s">
        <v>707</v>
      </c>
      <c r="D12" s="69" t="s">
        <v>225</v>
      </c>
      <c r="E12" s="44" t="s">
        <v>225</v>
      </c>
      <c r="F12" s="42" t="s">
        <v>741</v>
      </c>
      <c r="G12" s="189" t="s">
        <v>173</v>
      </c>
      <c r="H12" s="189" t="s">
        <v>140</v>
      </c>
      <c r="I12" s="190" t="s">
        <v>732</v>
      </c>
      <c r="J12" s="41" t="s">
        <v>233</v>
      </c>
      <c r="K12" s="190" t="s">
        <v>713</v>
      </c>
    </row>
    <row r="13" ht="22.5" customHeight="1">
      <c r="A13" s="42" t="s">
        <v>742</v>
      </c>
      <c r="B13" s="68" t="s">
        <v>738</v>
      </c>
      <c r="C13" s="44" t="s">
        <v>707</v>
      </c>
      <c r="D13" s="69" t="s">
        <v>225</v>
      </c>
      <c r="E13" s="44" t="s">
        <v>225</v>
      </c>
      <c r="F13" s="42" t="s">
        <v>743</v>
      </c>
      <c r="G13" s="189" t="s">
        <v>173</v>
      </c>
      <c r="H13" s="189" t="s">
        <v>744</v>
      </c>
      <c r="I13" s="190" t="s">
        <v>745</v>
      </c>
      <c r="J13" s="41" t="s">
        <v>233</v>
      </c>
      <c r="K13" s="190" t="s">
        <v>713</v>
      </c>
    </row>
    <row r="14" ht="22.5" customHeight="1">
      <c r="A14" s="42" t="s">
        <v>746</v>
      </c>
      <c r="B14" s="68" t="s">
        <v>722</v>
      </c>
      <c r="C14" s="44" t="s">
        <v>707</v>
      </c>
      <c r="D14" s="69" t="s">
        <v>225</v>
      </c>
      <c r="E14" s="44" t="s">
        <v>225</v>
      </c>
      <c r="F14" s="42" t="s">
        <v>747</v>
      </c>
      <c r="G14" s="189" t="s">
        <v>173</v>
      </c>
      <c r="H14" s="189" t="s">
        <v>140</v>
      </c>
      <c r="I14" s="190" t="s">
        <v>732</v>
      </c>
      <c r="J14" s="41" t="s">
        <v>233</v>
      </c>
      <c r="K14" s="190" t="s">
        <v>713</v>
      </c>
    </row>
    <row r="15" ht="22.5" customHeight="1">
      <c r="A15" s="42" t="s">
        <v>748</v>
      </c>
      <c r="B15" s="68" t="s">
        <v>722</v>
      </c>
      <c r="C15" s="44" t="s">
        <v>707</v>
      </c>
      <c r="D15" s="69" t="s">
        <v>225</v>
      </c>
      <c r="E15" s="44" t="s">
        <v>225</v>
      </c>
      <c r="F15" s="42" t="s">
        <v>749</v>
      </c>
      <c r="G15" s="189" t="s">
        <v>173</v>
      </c>
      <c r="H15" s="189" t="s">
        <v>744</v>
      </c>
      <c r="I15" s="190" t="s">
        <v>745</v>
      </c>
      <c r="J15" s="41" t="s">
        <v>233</v>
      </c>
      <c r="K15" s="190" t="s">
        <v>713</v>
      </c>
    </row>
    <row r="16" ht="22.5" customHeight="1">
      <c r="A16" s="42" t="s">
        <v>750</v>
      </c>
      <c r="B16" s="68" t="s">
        <v>722</v>
      </c>
      <c r="C16" s="44" t="s">
        <v>707</v>
      </c>
      <c r="D16" s="69" t="s">
        <v>225</v>
      </c>
      <c r="E16" s="44" t="s">
        <v>225</v>
      </c>
      <c r="F16" s="42" t="s">
        <v>751</v>
      </c>
      <c r="G16" s="189" t="s">
        <v>173</v>
      </c>
      <c r="H16" s="189" t="s">
        <v>140</v>
      </c>
      <c r="I16" s="190" t="s">
        <v>732</v>
      </c>
      <c r="J16" s="41" t="s">
        <v>233</v>
      </c>
      <c r="K16" s="190" t="s">
        <v>713</v>
      </c>
    </row>
    <row r="17" ht="22.5" customHeight="1">
      <c r="A17" s="42" t="s">
        <v>752</v>
      </c>
      <c r="B17" s="68" t="s">
        <v>738</v>
      </c>
      <c r="C17" s="44" t="s">
        <v>707</v>
      </c>
      <c r="D17" s="69" t="s">
        <v>225</v>
      </c>
      <c r="E17" s="44" t="s">
        <v>225</v>
      </c>
      <c r="F17" s="42" t="s">
        <v>753</v>
      </c>
      <c r="G17" s="189" t="s">
        <v>173</v>
      </c>
      <c r="H17" s="189" t="s">
        <v>171</v>
      </c>
      <c r="I17" s="190" t="s">
        <v>732</v>
      </c>
      <c r="J17" s="189" t="s">
        <v>148</v>
      </c>
      <c r="K17" s="190" t="s">
        <v>713</v>
      </c>
    </row>
    <row r="18" ht="22.5" customHeight="1">
      <c r="A18" s="42" t="s">
        <v>754</v>
      </c>
      <c r="B18" s="68" t="s">
        <v>722</v>
      </c>
      <c r="C18" s="44" t="s">
        <v>707</v>
      </c>
      <c r="D18" s="69" t="s">
        <v>225</v>
      </c>
      <c r="E18" s="44" t="s">
        <v>225</v>
      </c>
      <c r="F18" s="42" t="s">
        <v>755</v>
      </c>
      <c r="G18" s="189" t="s">
        <v>173</v>
      </c>
      <c r="H18" s="189" t="s">
        <v>744</v>
      </c>
      <c r="I18" s="190" t="s">
        <v>129</v>
      </c>
      <c r="J18" s="41" t="s">
        <v>233</v>
      </c>
      <c r="K18" s="190" t="s">
        <v>713</v>
      </c>
    </row>
    <row r="19" ht="22.5" customHeight="1">
      <c r="A19" s="42" t="s">
        <v>756</v>
      </c>
      <c r="B19" s="68" t="s">
        <v>722</v>
      </c>
      <c r="C19" s="44" t="s">
        <v>707</v>
      </c>
      <c r="D19" s="69" t="s">
        <v>225</v>
      </c>
      <c r="E19" s="44" t="s">
        <v>225</v>
      </c>
      <c r="F19" s="42" t="s">
        <v>757</v>
      </c>
      <c r="G19" s="189" t="s">
        <v>173</v>
      </c>
      <c r="H19" s="189" t="s">
        <v>140</v>
      </c>
      <c r="I19" s="190" t="s">
        <v>732</v>
      </c>
      <c r="J19" s="41" t="s">
        <v>233</v>
      </c>
      <c r="K19" s="190" t="s">
        <v>713</v>
      </c>
    </row>
    <row r="20" ht="22.5" customHeight="1">
      <c r="A20" s="42" t="s">
        <v>758</v>
      </c>
      <c r="B20" s="68" t="s">
        <v>722</v>
      </c>
      <c r="C20" s="44" t="s">
        <v>707</v>
      </c>
      <c r="D20" s="69" t="s">
        <v>225</v>
      </c>
      <c r="E20" s="44" t="s">
        <v>225</v>
      </c>
      <c r="F20" s="42" t="s">
        <v>759</v>
      </c>
      <c r="G20" s="189" t="s">
        <v>173</v>
      </c>
      <c r="H20" s="189" t="s">
        <v>140</v>
      </c>
      <c r="I20" s="190" t="s">
        <v>732</v>
      </c>
      <c r="J20" s="41" t="s">
        <v>233</v>
      </c>
      <c r="K20" s="190" t="s">
        <v>713</v>
      </c>
    </row>
    <row r="21" ht="22.5" customHeight="1">
      <c r="A21" s="192" t="s">
        <v>760</v>
      </c>
      <c r="B21" s="68" t="s">
        <v>738</v>
      </c>
      <c r="C21" s="44" t="s">
        <v>707</v>
      </c>
      <c r="D21" s="69" t="s">
        <v>727</v>
      </c>
      <c r="E21" s="44" t="s">
        <v>225</v>
      </c>
      <c r="F21" s="193" t="s">
        <v>761</v>
      </c>
      <c r="G21" s="189" t="s">
        <v>173</v>
      </c>
      <c r="H21" s="194" t="s">
        <v>143</v>
      </c>
      <c r="I21" s="195" t="s">
        <v>148</v>
      </c>
      <c r="J21" s="189" t="s">
        <v>148</v>
      </c>
      <c r="K21" s="195" t="s">
        <v>148</v>
      </c>
    </row>
  </sheetData>
  <dataValidations>
    <dataValidation type="list" allowBlank="1" sqref="B2:B21">
      <formula1>"DEV,PROD"</formula1>
    </dataValidation>
    <dataValidation type="list" allowBlank="1" sqref="C2:C21">
      <formula1>"Activo,Inactivo,En mantenimiento,Suspendido"</formula1>
    </dataValidation>
    <dataValidation type="list" allowBlank="1" sqref="D2:D21">
      <formula1>"Academic,I+D"</formula1>
    </dataValidation>
    <dataValidation type="list" allowBlank="1" sqref="E2:E21">
      <formula1>"Academic,Sabbi,Togie,Atrevus"</formula1>
    </dataValidation>
  </dataValidations>
  <hyperlinks>
    <hyperlink r:id="rId1" ref="G2"/>
    <hyperlink r:id="rId2" ref="H2"/>
    <hyperlink r:id="rId3" ref="I2"/>
    <hyperlink r:id="rId4" ref="J2"/>
    <hyperlink r:id="rId5" ref="G3"/>
    <hyperlink r:id="rId6" ref="H3"/>
    <hyperlink r:id="rId7" ref="I3"/>
    <hyperlink r:id="rId8" ref="J3"/>
    <hyperlink r:id="rId9" ref="K3"/>
    <hyperlink r:id="rId10" ref="G4"/>
    <hyperlink r:id="rId11" ref="H4"/>
    <hyperlink r:id="rId12" ref="I4"/>
    <hyperlink r:id="rId13" ref="J4"/>
    <hyperlink r:id="rId14" ref="K4"/>
    <hyperlink r:id="rId15" ref="G5"/>
    <hyperlink r:id="rId16" ref="H5"/>
    <hyperlink r:id="rId17" ref="I5"/>
    <hyperlink r:id="rId18" ref="J5"/>
    <hyperlink r:id="rId19" ref="K5"/>
    <hyperlink r:id="rId20" ref="G6"/>
    <hyperlink r:id="rId21" ref="H6"/>
    <hyperlink r:id="rId22" ref="I6"/>
    <hyperlink r:id="rId23" ref="J6"/>
    <hyperlink r:id="rId24" ref="K6"/>
    <hyperlink r:id="rId25" ref="G7"/>
    <hyperlink r:id="rId26" ref="H7"/>
    <hyperlink r:id="rId27" ref="I7"/>
    <hyperlink r:id="rId28" ref="J7"/>
    <hyperlink r:id="rId29" ref="K7"/>
    <hyperlink r:id="rId30" ref="G8"/>
    <hyperlink r:id="rId31" ref="H8"/>
    <hyperlink r:id="rId32" ref="I8"/>
    <hyperlink r:id="rId33" ref="K8"/>
    <hyperlink r:id="rId34" ref="G9"/>
    <hyperlink r:id="rId35" ref="H9"/>
    <hyperlink r:id="rId36" ref="I9"/>
    <hyperlink r:id="rId37" ref="K9"/>
    <hyperlink r:id="rId38" ref="G10"/>
    <hyperlink r:id="rId39" ref="H10"/>
    <hyperlink r:id="rId40" ref="I10"/>
    <hyperlink r:id="rId41" ref="K10"/>
    <hyperlink r:id="rId42" ref="G11"/>
    <hyperlink r:id="rId43" ref="H11"/>
    <hyperlink r:id="rId44" ref="I11"/>
    <hyperlink r:id="rId45" ref="K11"/>
    <hyperlink r:id="rId46" ref="G12"/>
    <hyperlink r:id="rId47" ref="H12"/>
    <hyperlink r:id="rId48" ref="I12"/>
    <hyperlink r:id="rId49" ref="K12"/>
    <hyperlink r:id="rId50" ref="G13"/>
    <hyperlink r:id="rId51" ref="H13"/>
    <hyperlink r:id="rId52" ref="I13"/>
    <hyperlink r:id="rId53" ref="K13"/>
    <hyperlink r:id="rId54" ref="G14"/>
    <hyperlink r:id="rId55" ref="H14"/>
    <hyperlink r:id="rId56" ref="I14"/>
    <hyperlink r:id="rId57" ref="K14"/>
    <hyperlink r:id="rId58" ref="G15"/>
    <hyperlink r:id="rId59" ref="H15"/>
    <hyperlink r:id="rId60" ref="I15"/>
    <hyperlink r:id="rId61" ref="K15"/>
    <hyperlink r:id="rId62" ref="G16"/>
    <hyperlink r:id="rId63" ref="H16"/>
    <hyperlink r:id="rId64" ref="I16"/>
    <hyperlink r:id="rId65" ref="K16"/>
    <hyperlink r:id="rId66" ref="G17"/>
    <hyperlink r:id="rId67" ref="H17"/>
    <hyperlink r:id="rId68" ref="I17"/>
    <hyperlink r:id="rId69" ref="J17"/>
    <hyperlink r:id="rId70" ref="K17"/>
    <hyperlink r:id="rId71" ref="G18"/>
    <hyperlink r:id="rId72" ref="H18"/>
    <hyperlink r:id="rId73" ref="I18"/>
    <hyperlink r:id="rId74" ref="K18"/>
    <hyperlink r:id="rId75" ref="G19"/>
    <hyperlink r:id="rId76" ref="H19"/>
    <hyperlink r:id="rId77" ref="I19"/>
    <hyperlink r:id="rId78" ref="K19"/>
    <hyperlink r:id="rId79" ref="G20"/>
    <hyperlink r:id="rId80" ref="H20"/>
    <hyperlink r:id="rId81" ref="I20"/>
    <hyperlink r:id="rId82" ref="K20"/>
    <hyperlink r:id="rId83" ref="F21"/>
    <hyperlink r:id="rId84" ref="G21"/>
    <hyperlink r:id="rId85" ref="H21"/>
    <hyperlink r:id="rId86" ref="I21"/>
    <hyperlink r:id="rId87" ref="J21"/>
    <hyperlink r:id="rId88" ref="K21"/>
  </hyperlinks>
  <drawing r:id="rId89"/>
  <tableParts count="1">
    <tablePart r:id="rId9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hidden="1" min="1" max="1" width="12.63"/>
    <col customWidth="1" hidden="1" min="2" max="2" width="20.63"/>
    <col customWidth="1" min="3" max="3" width="29.13"/>
    <col hidden="1" min="4" max="4" width="12.63"/>
    <col customWidth="1" hidden="1" min="5" max="5" width="17.63"/>
    <col customWidth="1" hidden="1" min="6" max="6" width="27.0"/>
    <col hidden="1" min="7" max="7" width="12.63"/>
    <col customWidth="1" hidden="1" min="9" max="9" width="37.88"/>
    <col customWidth="1" min="10" max="10" width="19.63"/>
    <col customWidth="1" min="11" max="11" width="32.13"/>
    <col customWidth="1" min="12" max="13" width="31.88"/>
    <col customWidth="1" min="14" max="30" width="32.75"/>
    <col customWidth="1" min="31" max="31" width="4.25"/>
  </cols>
  <sheetData>
    <row r="1" ht="22.5" customHeight="1">
      <c r="A1" s="196" t="s">
        <v>29</v>
      </c>
      <c r="B1" s="197" t="s">
        <v>30</v>
      </c>
      <c r="C1" s="197" t="s">
        <v>27</v>
      </c>
      <c r="D1" s="197" t="s">
        <v>28</v>
      </c>
      <c r="E1" s="197" t="s">
        <v>31</v>
      </c>
      <c r="F1" s="197" t="s">
        <v>32</v>
      </c>
      <c r="G1" s="198" t="s">
        <v>108</v>
      </c>
      <c r="H1" s="197" t="s">
        <v>109</v>
      </c>
      <c r="I1" s="197" t="s">
        <v>110</v>
      </c>
      <c r="J1" s="197" t="s">
        <v>107</v>
      </c>
      <c r="K1" s="57" t="s">
        <v>705</v>
      </c>
      <c r="L1" s="57" t="s">
        <v>710</v>
      </c>
      <c r="M1" s="57" t="s">
        <v>714</v>
      </c>
      <c r="N1" s="57" t="s">
        <v>717</v>
      </c>
      <c r="O1" s="57" t="s">
        <v>721</v>
      </c>
      <c r="P1" s="57" t="s">
        <v>762</v>
      </c>
      <c r="Q1" s="57" t="s">
        <v>730</v>
      </c>
      <c r="R1" s="57" t="s">
        <v>733</v>
      </c>
      <c r="S1" s="57" t="s">
        <v>735</v>
      </c>
      <c r="T1" s="57" t="s">
        <v>737</v>
      </c>
      <c r="U1" s="57" t="s">
        <v>740</v>
      </c>
      <c r="V1" s="57" t="s">
        <v>742</v>
      </c>
      <c r="W1" s="57" t="s">
        <v>746</v>
      </c>
      <c r="X1" s="57" t="s">
        <v>748</v>
      </c>
      <c r="Y1" s="57" t="s">
        <v>750</v>
      </c>
      <c r="Z1" s="57" t="s">
        <v>752</v>
      </c>
      <c r="AA1" s="57" t="s">
        <v>754</v>
      </c>
      <c r="AB1" s="57" t="s">
        <v>756</v>
      </c>
      <c r="AC1" s="57" t="s">
        <v>758</v>
      </c>
      <c r="AD1" s="199" t="s">
        <v>760</v>
      </c>
      <c r="AE1" s="199" t="s">
        <v>763</v>
      </c>
    </row>
    <row r="2" ht="22.5" customHeight="1">
      <c r="A2" s="200">
        <v>4.0</v>
      </c>
      <c r="B2" s="201" t="s">
        <v>38</v>
      </c>
      <c r="C2" s="202" t="s">
        <v>36</v>
      </c>
      <c r="D2" s="202" t="s">
        <v>37</v>
      </c>
      <c r="E2" s="202" t="s">
        <v>121</v>
      </c>
      <c r="F2" s="203" t="s">
        <v>40</v>
      </c>
      <c r="G2" s="202" t="str">
        <f>LEFT(C2,FIND(" ",C2) - 1)</f>
        <v>Dulce</v>
      </c>
      <c r="H2" s="202" t="str">
        <f t="shared" ref="H2:H33" si="1">SUBSTITUTE(D2, "@bit.lat", "")</f>
        <v>dperez</v>
      </c>
      <c r="I2" s="202" t="s">
        <v>39</v>
      </c>
      <c r="J2" s="204" t="s">
        <v>120</v>
      </c>
      <c r="K2" s="205" t="s">
        <v>764</v>
      </c>
      <c r="L2" s="205" t="s">
        <v>765</v>
      </c>
      <c r="M2" s="205" t="s">
        <v>764</v>
      </c>
      <c r="N2" s="205" t="s">
        <v>766</v>
      </c>
      <c r="O2" s="205" t="s">
        <v>764</v>
      </c>
      <c r="P2" s="205" t="s">
        <v>764</v>
      </c>
      <c r="Q2" s="205" t="s">
        <v>764</v>
      </c>
      <c r="R2" s="205" t="s">
        <v>764</v>
      </c>
      <c r="S2" s="205" t="s">
        <v>764</v>
      </c>
      <c r="T2" s="205" t="s">
        <v>764</v>
      </c>
      <c r="U2" s="205" t="s">
        <v>764</v>
      </c>
      <c r="V2" s="205" t="s">
        <v>764</v>
      </c>
      <c r="W2" s="205" t="s">
        <v>764</v>
      </c>
      <c r="X2" s="205" t="s">
        <v>764</v>
      </c>
      <c r="Y2" s="205" t="s">
        <v>764</v>
      </c>
      <c r="Z2" s="205" t="s">
        <v>764</v>
      </c>
      <c r="AA2" s="205" t="s">
        <v>764</v>
      </c>
      <c r="AB2" s="205" t="s">
        <v>764</v>
      </c>
      <c r="AC2" s="205" t="s">
        <v>764</v>
      </c>
      <c r="AD2" s="205" t="s">
        <v>764</v>
      </c>
      <c r="AE2" s="205"/>
    </row>
    <row r="3" ht="22.5" customHeight="1">
      <c r="A3" s="206">
        <v>7.0</v>
      </c>
      <c r="B3" s="207" t="s">
        <v>44</v>
      </c>
      <c r="C3" s="208" t="s">
        <v>42</v>
      </c>
      <c r="D3" s="208" t="s">
        <v>43</v>
      </c>
      <c r="E3" s="208" t="s">
        <v>127</v>
      </c>
      <c r="F3" s="209" t="s">
        <v>40</v>
      </c>
      <c r="G3" s="208" t="s">
        <v>126</v>
      </c>
      <c r="H3" s="208" t="str">
        <f t="shared" si="1"/>
        <v>gmartinez</v>
      </c>
      <c r="I3" s="208" t="s">
        <v>45</v>
      </c>
      <c r="J3" s="210" t="s">
        <v>125</v>
      </c>
      <c r="K3" s="205" t="s">
        <v>764</v>
      </c>
      <c r="L3" s="205" t="s">
        <v>767</v>
      </c>
      <c r="M3" s="205" t="s">
        <v>764</v>
      </c>
      <c r="N3" s="205" t="s">
        <v>764</v>
      </c>
      <c r="O3" s="205" t="s">
        <v>764</v>
      </c>
      <c r="P3" s="205" t="s">
        <v>764</v>
      </c>
      <c r="Q3" s="205" t="s">
        <v>764</v>
      </c>
      <c r="R3" s="205" t="s">
        <v>764</v>
      </c>
      <c r="S3" s="205" t="s">
        <v>764</v>
      </c>
      <c r="T3" s="205" t="s">
        <v>764</v>
      </c>
      <c r="U3" s="205" t="s">
        <v>764</v>
      </c>
      <c r="V3" s="205" t="s">
        <v>764</v>
      </c>
      <c r="W3" s="205" t="s">
        <v>764</v>
      </c>
      <c r="X3" s="205" t="s">
        <v>764</v>
      </c>
      <c r="Y3" s="205" t="s">
        <v>764</v>
      </c>
      <c r="Z3" s="205" t="s">
        <v>764</v>
      </c>
      <c r="AA3" s="205" t="s">
        <v>764</v>
      </c>
      <c r="AB3" s="205" t="s">
        <v>764</v>
      </c>
      <c r="AC3" s="205" t="s">
        <v>764</v>
      </c>
      <c r="AD3" s="205" t="s">
        <v>764</v>
      </c>
      <c r="AE3" s="205"/>
    </row>
    <row r="4" ht="22.5" customHeight="1">
      <c r="A4" s="211">
        <v>32.0</v>
      </c>
      <c r="B4" s="212" t="s">
        <v>48</v>
      </c>
      <c r="C4" s="213" t="s">
        <v>53</v>
      </c>
      <c r="D4" s="213" t="s">
        <v>54</v>
      </c>
      <c r="E4" s="213" t="s">
        <v>181</v>
      </c>
      <c r="F4" s="214" t="s">
        <v>178</v>
      </c>
      <c r="G4" s="213" t="str">
        <f>LEFT(C4,FIND(" ",C4) - 1)</f>
        <v>Fabian</v>
      </c>
      <c r="H4" s="213" t="str">
        <f t="shared" si="1"/>
        <v>fgonzalezr</v>
      </c>
      <c r="I4" s="213" t="s">
        <v>180</v>
      </c>
      <c r="J4" s="215" t="s">
        <v>179</v>
      </c>
      <c r="K4" s="205" t="s">
        <v>764</v>
      </c>
      <c r="L4" s="205" t="s">
        <v>764</v>
      </c>
      <c r="M4" s="205" t="s">
        <v>764</v>
      </c>
      <c r="N4" s="205" t="s">
        <v>764</v>
      </c>
      <c r="O4" s="205" t="s">
        <v>764</v>
      </c>
      <c r="P4" s="205" t="s">
        <v>764</v>
      </c>
      <c r="Q4" s="205" t="s">
        <v>764</v>
      </c>
      <c r="R4" s="205" t="s">
        <v>764</v>
      </c>
      <c r="S4" s="205" t="s">
        <v>764</v>
      </c>
      <c r="T4" s="205" t="s">
        <v>764</v>
      </c>
      <c r="U4" s="205" t="s">
        <v>764</v>
      </c>
      <c r="V4" s="205" t="s">
        <v>764</v>
      </c>
      <c r="W4" s="205" t="s">
        <v>764</v>
      </c>
      <c r="X4" s="205" t="s">
        <v>764</v>
      </c>
      <c r="Y4" s="205" t="s">
        <v>764</v>
      </c>
      <c r="Z4" s="205" t="s">
        <v>764</v>
      </c>
      <c r="AA4" s="205" t="s">
        <v>764</v>
      </c>
      <c r="AB4" s="205" t="s">
        <v>764</v>
      </c>
      <c r="AC4" s="205" t="s">
        <v>764</v>
      </c>
      <c r="AD4" s="205" t="s">
        <v>764</v>
      </c>
      <c r="AE4" s="205"/>
    </row>
    <row r="5" ht="22.5" customHeight="1">
      <c r="A5" s="216">
        <v>22.0</v>
      </c>
      <c r="B5" s="217" t="s">
        <v>48</v>
      </c>
      <c r="C5" s="218" t="s">
        <v>50</v>
      </c>
      <c r="D5" s="218" t="s">
        <v>51</v>
      </c>
      <c r="E5" s="218" t="s">
        <v>152</v>
      </c>
      <c r="F5" s="219" t="s">
        <v>53</v>
      </c>
      <c r="G5" s="218" t="s">
        <v>151</v>
      </c>
      <c r="H5" s="218" t="str">
        <f t="shared" si="1"/>
        <v>hloredo</v>
      </c>
      <c r="I5" s="218" t="s">
        <v>52</v>
      </c>
      <c r="J5" s="220" t="s">
        <v>150</v>
      </c>
      <c r="K5" s="205" t="s">
        <v>764</v>
      </c>
      <c r="L5" s="205" t="s">
        <v>765</v>
      </c>
      <c r="M5" s="205" t="s">
        <v>764</v>
      </c>
      <c r="N5" s="205" t="s">
        <v>766</v>
      </c>
      <c r="O5" s="205" t="s">
        <v>764</v>
      </c>
      <c r="P5" s="205" t="s">
        <v>764</v>
      </c>
      <c r="Q5" s="205" t="s">
        <v>764</v>
      </c>
      <c r="R5" s="205" t="s">
        <v>764</v>
      </c>
      <c r="S5" s="205" t="s">
        <v>764</v>
      </c>
      <c r="T5" s="205" t="s">
        <v>764</v>
      </c>
      <c r="U5" s="205" t="s">
        <v>764</v>
      </c>
      <c r="V5" s="205" t="s">
        <v>764</v>
      </c>
      <c r="W5" s="205" t="s">
        <v>764</v>
      </c>
      <c r="X5" s="205" t="s">
        <v>764</v>
      </c>
      <c r="Y5" s="205" t="s">
        <v>764</v>
      </c>
      <c r="Z5" s="205" t="s">
        <v>764</v>
      </c>
      <c r="AA5" s="205" t="s">
        <v>764</v>
      </c>
      <c r="AB5" s="205" t="s">
        <v>764</v>
      </c>
      <c r="AC5" s="205" t="s">
        <v>764</v>
      </c>
      <c r="AD5" s="205" t="s">
        <v>764</v>
      </c>
      <c r="AE5" s="205"/>
    </row>
    <row r="6" ht="22.5" customHeight="1">
      <c r="A6" s="200">
        <v>3.0</v>
      </c>
      <c r="B6" s="221" t="s">
        <v>48</v>
      </c>
      <c r="C6" s="202" t="s">
        <v>46</v>
      </c>
      <c r="D6" s="202" t="s">
        <v>47</v>
      </c>
      <c r="E6" s="202" t="s">
        <v>119</v>
      </c>
      <c r="F6" s="203" t="s">
        <v>40</v>
      </c>
      <c r="G6" s="202" t="s">
        <v>118</v>
      </c>
      <c r="H6" s="202" t="str">
        <f t="shared" si="1"/>
        <v>aaguilar</v>
      </c>
      <c r="I6" s="202" t="s">
        <v>49</v>
      </c>
      <c r="J6" s="204" t="s">
        <v>117</v>
      </c>
      <c r="K6" s="205" t="s">
        <v>764</v>
      </c>
      <c r="L6" s="205" t="s">
        <v>765</v>
      </c>
      <c r="M6" s="205" t="s">
        <v>764</v>
      </c>
      <c r="N6" s="205" t="s">
        <v>766</v>
      </c>
      <c r="O6" s="205" t="s">
        <v>764</v>
      </c>
      <c r="P6" s="205" t="s">
        <v>764</v>
      </c>
      <c r="Q6" s="205" t="s">
        <v>764</v>
      </c>
      <c r="R6" s="205" t="s">
        <v>764</v>
      </c>
      <c r="S6" s="205" t="s">
        <v>764</v>
      </c>
      <c r="T6" s="205" t="s">
        <v>764</v>
      </c>
      <c r="U6" s="205" t="s">
        <v>764</v>
      </c>
      <c r="V6" s="205" t="s">
        <v>764</v>
      </c>
      <c r="W6" s="205" t="s">
        <v>764</v>
      </c>
      <c r="X6" s="205" t="s">
        <v>764</v>
      </c>
      <c r="Y6" s="205" t="s">
        <v>764</v>
      </c>
      <c r="Z6" s="205" t="s">
        <v>764</v>
      </c>
      <c r="AA6" s="205" t="s">
        <v>764</v>
      </c>
      <c r="AB6" s="205" t="s">
        <v>764</v>
      </c>
      <c r="AC6" s="205" t="s">
        <v>764</v>
      </c>
      <c r="AD6" s="205" t="s">
        <v>764</v>
      </c>
      <c r="AE6" s="205"/>
    </row>
    <row r="7" ht="22.5" customHeight="1">
      <c r="A7" s="216">
        <v>20.0</v>
      </c>
      <c r="B7" s="217" t="s">
        <v>48</v>
      </c>
      <c r="C7" s="218" t="s">
        <v>146</v>
      </c>
      <c r="D7" s="218" t="s">
        <v>147</v>
      </c>
      <c r="E7" s="218" t="s">
        <v>119</v>
      </c>
      <c r="F7" s="219" t="s">
        <v>50</v>
      </c>
      <c r="G7" s="218" t="str">
        <f>LEFT(C7,FIND(" ",C7) - 1)</f>
        <v>Carlos</v>
      </c>
      <c r="H7" s="218" t="str">
        <f t="shared" si="1"/>
        <v>czamudio</v>
      </c>
      <c r="I7" s="218" t="s">
        <v>49</v>
      </c>
      <c r="J7" s="220" t="s">
        <v>146</v>
      </c>
      <c r="K7" s="205" t="s">
        <v>764</v>
      </c>
      <c r="L7" s="205" t="s">
        <v>765</v>
      </c>
      <c r="M7" s="205" t="s">
        <v>764</v>
      </c>
      <c r="N7" s="205" t="s">
        <v>766</v>
      </c>
      <c r="O7" s="205" t="s">
        <v>764</v>
      </c>
      <c r="P7" s="205" t="s">
        <v>764</v>
      </c>
      <c r="Q7" s="205" t="s">
        <v>764</v>
      </c>
      <c r="R7" s="205" t="s">
        <v>764</v>
      </c>
      <c r="S7" s="205" t="s">
        <v>764</v>
      </c>
      <c r="T7" s="205" t="s">
        <v>764</v>
      </c>
      <c r="U7" s="205" t="s">
        <v>764</v>
      </c>
      <c r="V7" s="205" t="s">
        <v>764</v>
      </c>
      <c r="W7" s="205" t="s">
        <v>764</v>
      </c>
      <c r="X7" s="205" t="s">
        <v>764</v>
      </c>
      <c r="Y7" s="205" t="s">
        <v>764</v>
      </c>
      <c r="Z7" s="205" t="s">
        <v>764</v>
      </c>
      <c r="AA7" s="205" t="s">
        <v>764</v>
      </c>
      <c r="AB7" s="205" t="s">
        <v>764</v>
      </c>
      <c r="AC7" s="205" t="s">
        <v>764</v>
      </c>
      <c r="AD7" s="205" t="s">
        <v>764</v>
      </c>
      <c r="AE7" s="205"/>
    </row>
    <row r="8" ht="22.5" customHeight="1">
      <c r="A8" s="200">
        <v>21.0</v>
      </c>
      <c r="B8" s="221" t="s">
        <v>48</v>
      </c>
      <c r="C8" s="202" t="s">
        <v>55</v>
      </c>
      <c r="D8" s="202" t="s">
        <v>56</v>
      </c>
      <c r="E8" s="202" t="s">
        <v>119</v>
      </c>
      <c r="F8" s="203" t="s">
        <v>57</v>
      </c>
      <c r="G8" s="202" t="s">
        <v>149</v>
      </c>
      <c r="H8" s="202" t="str">
        <f t="shared" si="1"/>
        <v>dgonzalez</v>
      </c>
      <c r="I8" s="202" t="s">
        <v>49</v>
      </c>
      <c r="J8" s="204" t="s">
        <v>148</v>
      </c>
      <c r="K8" s="205" t="s">
        <v>768</v>
      </c>
      <c r="L8" s="205" t="s">
        <v>769</v>
      </c>
      <c r="M8" s="205" t="s">
        <v>768</v>
      </c>
      <c r="N8" s="205" t="s">
        <v>768</v>
      </c>
      <c r="O8" s="205" t="s">
        <v>764</v>
      </c>
      <c r="P8" s="205" t="s">
        <v>764</v>
      </c>
      <c r="Q8" s="205" t="s">
        <v>764</v>
      </c>
      <c r="R8" s="205" t="s">
        <v>764</v>
      </c>
      <c r="S8" s="205" t="s">
        <v>764</v>
      </c>
      <c r="T8" s="205" t="s">
        <v>764</v>
      </c>
      <c r="U8" s="205" t="s">
        <v>764</v>
      </c>
      <c r="V8" s="205" t="s">
        <v>764</v>
      </c>
      <c r="W8" s="205" t="s">
        <v>764</v>
      </c>
      <c r="X8" s="205" t="s">
        <v>764</v>
      </c>
      <c r="Y8" s="205" t="s">
        <v>764</v>
      </c>
      <c r="Z8" s="205" t="s">
        <v>768</v>
      </c>
      <c r="AA8" s="205" t="s">
        <v>764</v>
      </c>
      <c r="AB8" s="205" t="s">
        <v>764</v>
      </c>
      <c r="AC8" s="205" t="s">
        <v>764</v>
      </c>
      <c r="AD8" s="205" t="s">
        <v>770</v>
      </c>
      <c r="AE8" s="205"/>
    </row>
    <row r="9" ht="22.5" customHeight="1">
      <c r="A9" s="216">
        <v>27.0</v>
      </c>
      <c r="B9" s="217" t="s">
        <v>48</v>
      </c>
      <c r="C9" s="218" t="s">
        <v>163</v>
      </c>
      <c r="D9" s="218" t="s">
        <v>164</v>
      </c>
      <c r="E9" s="218" t="s">
        <v>119</v>
      </c>
      <c r="F9" s="219" t="s">
        <v>57</v>
      </c>
      <c r="G9" s="218" t="s">
        <v>166</v>
      </c>
      <c r="H9" s="218" t="str">
        <f t="shared" si="1"/>
        <v>nmejia</v>
      </c>
      <c r="I9" s="218" t="s">
        <v>49</v>
      </c>
      <c r="J9" s="220" t="s">
        <v>165</v>
      </c>
      <c r="K9" s="205" t="s">
        <v>764</v>
      </c>
      <c r="L9" s="205" t="s">
        <v>765</v>
      </c>
      <c r="M9" s="205" t="s">
        <v>764</v>
      </c>
      <c r="N9" s="205" t="s">
        <v>766</v>
      </c>
      <c r="O9" s="205" t="s">
        <v>764</v>
      </c>
      <c r="P9" s="205" t="s">
        <v>764</v>
      </c>
      <c r="Q9" s="205" t="s">
        <v>764</v>
      </c>
      <c r="R9" s="205" t="s">
        <v>764</v>
      </c>
      <c r="S9" s="205" t="s">
        <v>764</v>
      </c>
      <c r="T9" s="205" t="s">
        <v>764</v>
      </c>
      <c r="U9" s="205" t="s">
        <v>764</v>
      </c>
      <c r="V9" s="205" t="s">
        <v>764</v>
      </c>
      <c r="W9" s="205" t="s">
        <v>764</v>
      </c>
      <c r="X9" s="205" t="s">
        <v>764</v>
      </c>
      <c r="Y9" s="205" t="s">
        <v>764</v>
      </c>
      <c r="Z9" s="205" t="s">
        <v>764</v>
      </c>
      <c r="AA9" s="205" t="s">
        <v>764</v>
      </c>
      <c r="AB9" s="205" t="s">
        <v>764</v>
      </c>
      <c r="AC9" s="205" t="s">
        <v>764</v>
      </c>
      <c r="AD9" s="205" t="s">
        <v>766</v>
      </c>
      <c r="AE9" s="205"/>
    </row>
    <row r="10" ht="22.5" customHeight="1">
      <c r="A10" s="222">
        <v>31.0</v>
      </c>
      <c r="B10" s="212" t="s">
        <v>48</v>
      </c>
      <c r="C10" s="213" t="s">
        <v>40</v>
      </c>
      <c r="D10" s="213" t="s">
        <v>41</v>
      </c>
      <c r="E10" s="213" t="s">
        <v>177</v>
      </c>
      <c r="F10" s="214" t="s">
        <v>178</v>
      </c>
      <c r="G10" s="213" t="str">
        <f t="shared" ref="G10:G14" si="2">LEFT(C10,FIND(" ",C10) - 1)</f>
        <v>Favio</v>
      </c>
      <c r="H10" s="213" t="str">
        <f t="shared" si="1"/>
        <v>fgonzalez</v>
      </c>
      <c r="I10" s="213" t="s">
        <v>176</v>
      </c>
      <c r="J10" s="215" t="s">
        <v>175</v>
      </c>
      <c r="K10" s="205" t="s">
        <v>764</v>
      </c>
      <c r="L10" s="205" t="s">
        <v>765</v>
      </c>
      <c r="M10" s="205" t="s">
        <v>764</v>
      </c>
      <c r="N10" s="205" t="s">
        <v>766</v>
      </c>
      <c r="O10" s="205" t="s">
        <v>764</v>
      </c>
      <c r="P10" s="205" t="s">
        <v>764</v>
      </c>
      <c r="Q10" s="205" t="s">
        <v>764</v>
      </c>
      <c r="R10" s="205" t="s">
        <v>764</v>
      </c>
      <c r="S10" s="205" t="s">
        <v>764</v>
      </c>
      <c r="T10" s="205" t="s">
        <v>764</v>
      </c>
      <c r="U10" s="205" t="s">
        <v>764</v>
      </c>
      <c r="V10" s="205" t="s">
        <v>764</v>
      </c>
      <c r="W10" s="205" t="s">
        <v>764</v>
      </c>
      <c r="X10" s="205" t="s">
        <v>764</v>
      </c>
      <c r="Y10" s="205" t="s">
        <v>764</v>
      </c>
      <c r="Z10" s="205" t="s">
        <v>764</v>
      </c>
      <c r="AA10" s="205" t="s">
        <v>764</v>
      </c>
      <c r="AB10" s="205" t="s">
        <v>764</v>
      </c>
      <c r="AC10" s="205" t="s">
        <v>764</v>
      </c>
      <c r="AD10" s="205" t="s">
        <v>764</v>
      </c>
      <c r="AE10" s="205"/>
    </row>
    <row r="11" ht="22.5" customHeight="1">
      <c r="A11" s="206">
        <v>23.0</v>
      </c>
      <c r="B11" s="223" t="s">
        <v>48</v>
      </c>
      <c r="C11" s="208" t="s">
        <v>153</v>
      </c>
      <c r="D11" s="208" t="s">
        <v>154</v>
      </c>
      <c r="E11" s="208" t="s">
        <v>156</v>
      </c>
      <c r="F11" s="209" t="s">
        <v>53</v>
      </c>
      <c r="G11" s="208" t="str">
        <f t="shared" si="2"/>
        <v>Edin</v>
      </c>
      <c r="H11" s="208" t="str">
        <f t="shared" si="1"/>
        <v>eramirez</v>
      </c>
      <c r="I11" s="208" t="s">
        <v>155</v>
      </c>
      <c r="J11" s="210" t="s">
        <v>153</v>
      </c>
      <c r="K11" s="205" t="s">
        <v>764</v>
      </c>
      <c r="L11" s="205" t="s">
        <v>765</v>
      </c>
      <c r="M11" s="205" t="s">
        <v>764</v>
      </c>
      <c r="N11" s="205" t="s">
        <v>766</v>
      </c>
      <c r="O11" s="205" t="s">
        <v>764</v>
      </c>
      <c r="P11" s="205" t="s">
        <v>764</v>
      </c>
      <c r="Q11" s="205" t="s">
        <v>764</v>
      </c>
      <c r="R11" s="205" t="s">
        <v>764</v>
      </c>
      <c r="S11" s="205" t="s">
        <v>764</v>
      </c>
      <c r="T11" s="205" t="s">
        <v>764</v>
      </c>
      <c r="U11" s="205" t="s">
        <v>764</v>
      </c>
      <c r="V11" s="205" t="s">
        <v>764</v>
      </c>
      <c r="W11" s="205" t="s">
        <v>764</v>
      </c>
      <c r="X11" s="205" t="s">
        <v>764</v>
      </c>
      <c r="Y11" s="205" t="s">
        <v>764</v>
      </c>
      <c r="Z11" s="205" t="s">
        <v>764</v>
      </c>
      <c r="AA11" s="205" t="s">
        <v>764</v>
      </c>
      <c r="AB11" s="205" t="s">
        <v>764</v>
      </c>
      <c r="AC11" s="205" t="s">
        <v>764</v>
      </c>
      <c r="AD11" s="205" t="s">
        <v>766</v>
      </c>
      <c r="AE11" s="205"/>
    </row>
    <row r="12" ht="22.5" customHeight="1">
      <c r="A12" s="211">
        <v>13.0</v>
      </c>
      <c r="B12" s="224" t="s">
        <v>61</v>
      </c>
      <c r="C12" s="213" t="s">
        <v>105</v>
      </c>
      <c r="D12" s="213" t="s">
        <v>106</v>
      </c>
      <c r="E12" s="213" t="s">
        <v>137</v>
      </c>
      <c r="F12" s="214" t="s">
        <v>69</v>
      </c>
      <c r="G12" s="213" t="str">
        <f t="shared" si="2"/>
        <v>Josue</v>
      </c>
      <c r="H12" s="213" t="str">
        <f t="shared" si="1"/>
        <v>jpatino</v>
      </c>
      <c r="I12" s="213" t="s">
        <v>65</v>
      </c>
      <c r="J12" s="215" t="s">
        <v>136</v>
      </c>
      <c r="K12" s="205" t="s">
        <v>771</v>
      </c>
      <c r="L12" s="205" t="s">
        <v>772</v>
      </c>
      <c r="M12" s="205" t="s">
        <v>764</v>
      </c>
      <c r="N12" s="205" t="s">
        <v>764</v>
      </c>
      <c r="O12" s="205" t="s">
        <v>764</v>
      </c>
      <c r="P12" s="205" t="s">
        <v>764</v>
      </c>
      <c r="Q12" s="205" t="s">
        <v>764</v>
      </c>
      <c r="R12" s="205" t="s">
        <v>764</v>
      </c>
      <c r="S12" s="225" t="s">
        <v>764</v>
      </c>
      <c r="T12" s="225" t="s">
        <v>764</v>
      </c>
      <c r="U12" s="225" t="s">
        <v>764</v>
      </c>
      <c r="V12" s="225" t="s">
        <v>764</v>
      </c>
      <c r="W12" s="225" t="s">
        <v>764</v>
      </c>
      <c r="X12" s="225" t="s">
        <v>764</v>
      </c>
      <c r="Y12" s="225" t="s">
        <v>764</v>
      </c>
      <c r="Z12" s="225" t="s">
        <v>764</v>
      </c>
      <c r="AA12" s="225" t="s">
        <v>764</v>
      </c>
      <c r="AB12" s="225" t="s">
        <v>764</v>
      </c>
      <c r="AC12" s="225" t="s">
        <v>764</v>
      </c>
      <c r="AD12" s="225" t="s">
        <v>764</v>
      </c>
      <c r="AE12" s="225"/>
    </row>
    <row r="13" ht="22.5" customHeight="1">
      <c r="A13" s="226">
        <v>15.0</v>
      </c>
      <c r="B13" s="227" t="s">
        <v>61</v>
      </c>
      <c r="C13" s="208" t="s">
        <v>92</v>
      </c>
      <c r="D13" s="208" t="s">
        <v>93</v>
      </c>
      <c r="E13" s="208" t="s">
        <v>137</v>
      </c>
      <c r="F13" s="209" t="s">
        <v>69</v>
      </c>
      <c r="G13" s="208" t="str">
        <f t="shared" si="2"/>
        <v>Luis</v>
      </c>
      <c r="H13" s="208" t="str">
        <f t="shared" si="1"/>
        <v>lbernal</v>
      </c>
      <c r="I13" s="208" t="s">
        <v>68</v>
      </c>
      <c r="J13" s="210" t="s">
        <v>140</v>
      </c>
      <c r="K13" s="205" t="s">
        <v>773</v>
      </c>
      <c r="L13" s="205" t="s">
        <v>774</v>
      </c>
      <c r="M13" s="205" t="s">
        <v>774</v>
      </c>
      <c r="N13" s="205" t="s">
        <v>774</v>
      </c>
      <c r="O13" s="205" t="s">
        <v>774</v>
      </c>
      <c r="P13" s="205" t="s">
        <v>774</v>
      </c>
      <c r="Q13" s="205" t="s">
        <v>774</v>
      </c>
      <c r="R13" s="205" t="s">
        <v>774</v>
      </c>
      <c r="S13" s="205" t="s">
        <v>774</v>
      </c>
      <c r="T13" s="205" t="s">
        <v>774</v>
      </c>
      <c r="U13" s="205" t="s">
        <v>774</v>
      </c>
      <c r="V13" s="205" t="s">
        <v>774</v>
      </c>
      <c r="W13" s="205" t="s">
        <v>774</v>
      </c>
      <c r="X13" s="205" t="s">
        <v>774</v>
      </c>
      <c r="Y13" s="205" t="s">
        <v>774</v>
      </c>
      <c r="Z13" s="205" t="s">
        <v>774</v>
      </c>
      <c r="AA13" s="205" t="s">
        <v>774</v>
      </c>
      <c r="AB13" s="205" t="s">
        <v>774</v>
      </c>
      <c r="AC13" s="205" t="s">
        <v>774</v>
      </c>
      <c r="AD13" s="205" t="s">
        <v>764</v>
      </c>
      <c r="AE13" s="205"/>
    </row>
    <row r="14" ht="22.5" customHeight="1">
      <c r="A14" s="211">
        <v>17.0</v>
      </c>
      <c r="B14" s="224" t="s">
        <v>61</v>
      </c>
      <c r="C14" s="213" t="s">
        <v>66</v>
      </c>
      <c r="D14" s="213" t="s">
        <v>67</v>
      </c>
      <c r="E14" s="213" t="s">
        <v>137</v>
      </c>
      <c r="F14" s="214" t="s">
        <v>69</v>
      </c>
      <c r="G14" s="213" t="str">
        <f t="shared" si="2"/>
        <v>Raúl</v>
      </c>
      <c r="H14" s="213" t="str">
        <f t="shared" si="1"/>
        <v>rbernal</v>
      </c>
      <c r="I14" s="213" t="s">
        <v>68</v>
      </c>
      <c r="J14" s="215" t="s">
        <v>142</v>
      </c>
      <c r="K14" s="205" t="s">
        <v>764</v>
      </c>
      <c r="L14" s="205" t="s">
        <v>764</v>
      </c>
      <c r="M14" s="205" t="s">
        <v>764</v>
      </c>
      <c r="N14" s="205" t="s">
        <v>764</v>
      </c>
      <c r="O14" s="205" t="s">
        <v>764</v>
      </c>
      <c r="P14" s="205" t="s">
        <v>764</v>
      </c>
      <c r="Q14" s="205" t="s">
        <v>764</v>
      </c>
      <c r="R14" s="205" t="s">
        <v>764</v>
      </c>
      <c r="S14" s="205" t="s">
        <v>764</v>
      </c>
      <c r="T14" s="205" t="s">
        <v>764</v>
      </c>
      <c r="U14" s="205" t="s">
        <v>764</v>
      </c>
      <c r="V14" s="205" t="s">
        <v>764</v>
      </c>
      <c r="W14" s="205" t="s">
        <v>764</v>
      </c>
      <c r="X14" s="205" t="s">
        <v>764</v>
      </c>
      <c r="Y14" s="205" t="s">
        <v>764</v>
      </c>
      <c r="Z14" s="205" t="s">
        <v>764</v>
      </c>
      <c r="AA14" s="205" t="s">
        <v>764</v>
      </c>
      <c r="AB14" s="205" t="s">
        <v>764</v>
      </c>
      <c r="AC14" s="205" t="s">
        <v>764</v>
      </c>
      <c r="AD14" s="205" t="s">
        <v>764</v>
      </c>
      <c r="AE14" s="205"/>
    </row>
    <row r="15" ht="22.5" customHeight="1">
      <c r="A15" s="226">
        <v>24.0</v>
      </c>
      <c r="B15" s="227" t="s">
        <v>61</v>
      </c>
      <c r="C15" s="208" t="s">
        <v>63</v>
      </c>
      <c r="D15" s="208" t="s">
        <v>64</v>
      </c>
      <c r="E15" s="208" t="s">
        <v>137</v>
      </c>
      <c r="F15" s="209" t="s">
        <v>53</v>
      </c>
      <c r="G15" s="208" t="s">
        <v>158</v>
      </c>
      <c r="H15" s="208" t="str">
        <f t="shared" si="1"/>
        <v>emontano</v>
      </c>
      <c r="I15" s="208" t="s">
        <v>65</v>
      </c>
      <c r="J15" s="210" t="s">
        <v>157</v>
      </c>
      <c r="K15" s="205" t="s">
        <v>764</v>
      </c>
      <c r="L15" s="205" t="s">
        <v>775</v>
      </c>
      <c r="M15" s="205" t="s">
        <v>764</v>
      </c>
      <c r="N15" s="205" t="s">
        <v>764</v>
      </c>
      <c r="O15" s="205" t="s">
        <v>764</v>
      </c>
      <c r="P15" s="205" t="s">
        <v>776</v>
      </c>
      <c r="Q15" s="205" t="s">
        <v>764</v>
      </c>
      <c r="R15" s="205" t="s">
        <v>764</v>
      </c>
      <c r="S15" s="205" t="s">
        <v>764</v>
      </c>
      <c r="T15" s="205" t="s">
        <v>764</v>
      </c>
      <c r="U15" s="205" t="s">
        <v>764</v>
      </c>
      <c r="V15" s="205" t="s">
        <v>764</v>
      </c>
      <c r="W15" s="205" t="s">
        <v>764</v>
      </c>
      <c r="X15" s="205" t="s">
        <v>764</v>
      </c>
      <c r="Y15" s="205" t="s">
        <v>764</v>
      </c>
      <c r="Z15" s="205" t="s">
        <v>764</v>
      </c>
      <c r="AA15" s="205" t="s">
        <v>764</v>
      </c>
      <c r="AB15" s="205" t="s">
        <v>764</v>
      </c>
      <c r="AC15" s="205" t="s">
        <v>764</v>
      </c>
      <c r="AD15" s="205" t="s">
        <v>764</v>
      </c>
      <c r="AE15" s="205"/>
    </row>
    <row r="16" ht="22.5" customHeight="1">
      <c r="A16" s="211">
        <v>29.0</v>
      </c>
      <c r="B16" s="224" t="s">
        <v>61</v>
      </c>
      <c r="C16" s="213" t="s">
        <v>57</v>
      </c>
      <c r="D16" s="213" t="s">
        <v>58</v>
      </c>
      <c r="E16" s="213" t="s">
        <v>137</v>
      </c>
      <c r="F16" s="214" t="s">
        <v>53</v>
      </c>
      <c r="G16" s="213" t="s">
        <v>172</v>
      </c>
      <c r="H16" s="213" t="str">
        <f t="shared" si="1"/>
        <v>rcuevas</v>
      </c>
      <c r="I16" s="213" t="s">
        <v>65</v>
      </c>
      <c r="J16" s="215" t="s">
        <v>171</v>
      </c>
      <c r="K16" s="205" t="s">
        <v>774</v>
      </c>
      <c r="L16" s="205" t="s">
        <v>777</v>
      </c>
      <c r="M16" s="205" t="s">
        <v>774</v>
      </c>
      <c r="N16" s="205" t="s">
        <v>774</v>
      </c>
      <c r="O16" s="205" t="s">
        <v>774</v>
      </c>
      <c r="P16" s="205" t="s">
        <v>774</v>
      </c>
      <c r="Q16" s="205" t="s">
        <v>774</v>
      </c>
      <c r="R16" s="205" t="s">
        <v>774</v>
      </c>
      <c r="S16" s="205" t="s">
        <v>774</v>
      </c>
      <c r="T16" s="205" t="s">
        <v>774</v>
      </c>
      <c r="U16" s="205" t="s">
        <v>774</v>
      </c>
      <c r="V16" s="205" t="s">
        <v>774</v>
      </c>
      <c r="W16" s="205" t="s">
        <v>774</v>
      </c>
      <c r="X16" s="205" t="s">
        <v>774</v>
      </c>
      <c r="Y16" s="205" t="s">
        <v>774</v>
      </c>
      <c r="Z16" s="205" t="s">
        <v>774</v>
      </c>
      <c r="AA16" s="205" t="s">
        <v>774</v>
      </c>
      <c r="AB16" s="205" t="s">
        <v>774</v>
      </c>
      <c r="AC16" s="205" t="s">
        <v>774</v>
      </c>
      <c r="AD16" s="205" t="s">
        <v>764</v>
      </c>
      <c r="AE16" s="205"/>
    </row>
    <row r="17" ht="22.5" customHeight="1">
      <c r="A17" s="226">
        <v>30.0</v>
      </c>
      <c r="B17" s="227" t="s">
        <v>61</v>
      </c>
      <c r="C17" s="208" t="s">
        <v>69</v>
      </c>
      <c r="D17" s="208" t="s">
        <v>70</v>
      </c>
      <c r="E17" s="208" t="s">
        <v>137</v>
      </c>
      <c r="F17" s="209" t="s">
        <v>53</v>
      </c>
      <c r="G17" s="208" t="s">
        <v>174</v>
      </c>
      <c r="H17" s="208" t="str">
        <f t="shared" si="1"/>
        <v>jenriquez</v>
      </c>
      <c r="I17" s="208" t="s">
        <v>65</v>
      </c>
      <c r="J17" s="210" t="s">
        <v>173</v>
      </c>
      <c r="K17" s="205" t="s">
        <v>778</v>
      </c>
      <c r="L17" s="205" t="s">
        <v>779</v>
      </c>
      <c r="M17" s="205" t="s">
        <v>780</v>
      </c>
      <c r="N17" s="205" t="s">
        <v>780</v>
      </c>
      <c r="O17" s="205" t="s">
        <v>780</v>
      </c>
      <c r="P17" s="205" t="s">
        <v>780</v>
      </c>
      <c r="Q17" s="205" t="s">
        <v>780</v>
      </c>
      <c r="R17" s="205" t="s">
        <v>780</v>
      </c>
      <c r="S17" s="205" t="s">
        <v>780</v>
      </c>
      <c r="T17" s="205" t="s">
        <v>780</v>
      </c>
      <c r="U17" s="205" t="s">
        <v>780</v>
      </c>
      <c r="V17" s="205" t="s">
        <v>780</v>
      </c>
      <c r="W17" s="205" t="s">
        <v>780</v>
      </c>
      <c r="X17" s="205" t="s">
        <v>780</v>
      </c>
      <c r="Y17" s="205" t="s">
        <v>780</v>
      </c>
      <c r="Z17" s="205" t="s">
        <v>780</v>
      </c>
      <c r="AA17" s="205" t="s">
        <v>780</v>
      </c>
      <c r="AB17" s="205" t="s">
        <v>780</v>
      </c>
      <c r="AC17" s="205" t="s">
        <v>780</v>
      </c>
      <c r="AD17" s="205" t="s">
        <v>780</v>
      </c>
      <c r="AE17" s="205" t="s">
        <v>780</v>
      </c>
    </row>
    <row r="18" ht="22.5" customHeight="1">
      <c r="A18" s="228">
        <v>1.0</v>
      </c>
      <c r="B18" s="229" t="s">
        <v>61</v>
      </c>
      <c r="C18" s="202" t="s">
        <v>71</v>
      </c>
      <c r="D18" s="202" t="s">
        <v>72</v>
      </c>
      <c r="E18" s="202" t="s">
        <v>114</v>
      </c>
      <c r="F18" s="203" t="s">
        <v>69</v>
      </c>
      <c r="G18" s="202" t="s">
        <v>113</v>
      </c>
      <c r="H18" s="202" t="str">
        <f t="shared" si="1"/>
        <v>aserrano</v>
      </c>
      <c r="I18" s="202" t="s">
        <v>73</v>
      </c>
      <c r="J18" s="204" t="s">
        <v>112</v>
      </c>
      <c r="K18" s="205" t="s">
        <v>764</v>
      </c>
      <c r="L18" s="205" t="s">
        <v>772</v>
      </c>
      <c r="M18" s="205" t="s">
        <v>764</v>
      </c>
      <c r="N18" s="205" t="s">
        <v>764</v>
      </c>
      <c r="O18" s="205" t="s">
        <v>764</v>
      </c>
      <c r="P18" s="205" t="s">
        <v>764</v>
      </c>
      <c r="Q18" s="205" t="s">
        <v>764</v>
      </c>
      <c r="R18" s="205" t="s">
        <v>764</v>
      </c>
      <c r="S18" s="205" t="s">
        <v>764</v>
      </c>
      <c r="T18" s="205" t="s">
        <v>764</v>
      </c>
      <c r="U18" s="205" t="s">
        <v>764</v>
      </c>
      <c r="V18" s="205" t="s">
        <v>764</v>
      </c>
      <c r="W18" s="205" t="s">
        <v>764</v>
      </c>
      <c r="X18" s="205" t="s">
        <v>764</v>
      </c>
      <c r="Y18" s="205" t="s">
        <v>764</v>
      </c>
      <c r="Z18" s="205" t="s">
        <v>764</v>
      </c>
      <c r="AA18" s="205" t="s">
        <v>764</v>
      </c>
      <c r="AB18" s="205" t="s">
        <v>764</v>
      </c>
      <c r="AC18" s="205" t="s">
        <v>764</v>
      </c>
      <c r="AD18" s="205" t="s">
        <v>764</v>
      </c>
      <c r="AE18" s="205"/>
    </row>
    <row r="19" ht="22.5" customHeight="1">
      <c r="A19" s="230">
        <v>10.0</v>
      </c>
      <c r="B19" s="231" t="s">
        <v>61</v>
      </c>
      <c r="C19" s="218" t="s">
        <v>94</v>
      </c>
      <c r="D19" s="218" t="s">
        <v>95</v>
      </c>
      <c r="E19" s="218" t="s">
        <v>114</v>
      </c>
      <c r="F19" s="219" t="s">
        <v>69</v>
      </c>
      <c r="G19" s="218" t="str">
        <f>LEFT(C19,FIND(" ",C19) - 1)</f>
        <v>Jasiel</v>
      </c>
      <c r="H19" s="218" t="str">
        <f t="shared" si="1"/>
        <v>jlopez</v>
      </c>
      <c r="I19" s="218" t="s">
        <v>73</v>
      </c>
      <c r="J19" s="220" t="s">
        <v>131</v>
      </c>
      <c r="K19" s="205" t="s">
        <v>764</v>
      </c>
      <c r="L19" s="205" t="s">
        <v>767</v>
      </c>
      <c r="M19" s="205" t="s">
        <v>773</v>
      </c>
      <c r="N19" s="205" t="s">
        <v>766</v>
      </c>
      <c r="O19" s="205" t="s">
        <v>773</v>
      </c>
      <c r="P19" s="205" t="s">
        <v>781</v>
      </c>
      <c r="Q19" s="205" t="s">
        <v>773</v>
      </c>
      <c r="R19" s="205" t="s">
        <v>773</v>
      </c>
      <c r="S19" s="205" t="s">
        <v>773</v>
      </c>
      <c r="T19" s="205" t="s">
        <v>773</v>
      </c>
      <c r="U19" s="205" t="s">
        <v>773</v>
      </c>
      <c r="V19" s="205" t="s">
        <v>773</v>
      </c>
      <c r="W19" s="205" t="s">
        <v>773</v>
      </c>
      <c r="X19" s="205" t="s">
        <v>773</v>
      </c>
      <c r="Y19" s="205" t="s">
        <v>773</v>
      </c>
      <c r="Z19" s="205" t="s">
        <v>764</v>
      </c>
      <c r="AA19" s="205" t="s">
        <v>764</v>
      </c>
      <c r="AB19" s="205" t="s">
        <v>764</v>
      </c>
      <c r="AC19" s="205" t="s">
        <v>764</v>
      </c>
      <c r="AD19" s="205" t="s">
        <v>764</v>
      </c>
      <c r="AE19" s="205"/>
    </row>
    <row r="20" ht="22.5" customHeight="1">
      <c r="A20" s="230">
        <v>2.0</v>
      </c>
      <c r="B20" s="231" t="s">
        <v>61</v>
      </c>
      <c r="C20" s="218" t="s">
        <v>83</v>
      </c>
      <c r="D20" s="218" t="s">
        <v>84</v>
      </c>
      <c r="E20" s="218" t="s">
        <v>114</v>
      </c>
      <c r="F20" s="219" t="s">
        <v>69</v>
      </c>
      <c r="G20" s="218" t="s">
        <v>116</v>
      </c>
      <c r="H20" s="218" t="str">
        <f t="shared" si="1"/>
        <v>alara</v>
      </c>
      <c r="I20" s="218" t="s">
        <v>73</v>
      </c>
      <c r="J20" s="220" t="s">
        <v>115</v>
      </c>
      <c r="K20" s="205" t="s">
        <v>764</v>
      </c>
      <c r="L20" s="205" t="s">
        <v>767</v>
      </c>
      <c r="M20" s="205" t="s">
        <v>773</v>
      </c>
      <c r="N20" s="205" t="s">
        <v>766</v>
      </c>
      <c r="O20" s="205" t="s">
        <v>773</v>
      </c>
      <c r="P20" s="205" t="s">
        <v>781</v>
      </c>
      <c r="Q20" s="205" t="s">
        <v>773</v>
      </c>
      <c r="R20" s="205" t="s">
        <v>773</v>
      </c>
      <c r="S20" s="205" t="s">
        <v>773</v>
      </c>
      <c r="T20" s="205" t="s">
        <v>773</v>
      </c>
      <c r="U20" s="205" t="s">
        <v>773</v>
      </c>
      <c r="V20" s="205" t="s">
        <v>764</v>
      </c>
      <c r="W20" s="205" t="s">
        <v>773</v>
      </c>
      <c r="X20" s="205" t="s">
        <v>773</v>
      </c>
      <c r="Y20" s="205" t="s">
        <v>773</v>
      </c>
      <c r="Z20" s="205" t="s">
        <v>764</v>
      </c>
      <c r="AA20" s="205" t="s">
        <v>764</v>
      </c>
      <c r="AB20" s="205" t="s">
        <v>764</v>
      </c>
      <c r="AC20" s="205" t="s">
        <v>764</v>
      </c>
      <c r="AD20" s="205" t="s">
        <v>764</v>
      </c>
      <c r="AE20" s="205"/>
    </row>
    <row r="21" ht="22.5" customHeight="1">
      <c r="A21" s="228">
        <v>5.0</v>
      </c>
      <c r="B21" s="229" t="s">
        <v>61</v>
      </c>
      <c r="C21" s="202" t="s">
        <v>98</v>
      </c>
      <c r="D21" s="202" t="s">
        <v>99</v>
      </c>
      <c r="E21" s="202" t="s">
        <v>114</v>
      </c>
      <c r="F21" s="203" t="s">
        <v>69</v>
      </c>
      <c r="G21" s="202" t="str">
        <f>LEFT(C21,FIND(" ",C21) - 1)</f>
        <v>Edgar</v>
      </c>
      <c r="H21" s="202" t="str">
        <f t="shared" si="1"/>
        <v>etorres</v>
      </c>
      <c r="I21" s="202" t="s">
        <v>91</v>
      </c>
      <c r="J21" s="204" t="s">
        <v>122</v>
      </c>
      <c r="K21" s="205" t="s">
        <v>782</v>
      </c>
      <c r="L21" s="205" t="s">
        <v>783</v>
      </c>
      <c r="M21" s="205" t="s">
        <v>764</v>
      </c>
      <c r="N21" s="205" t="s">
        <v>784</v>
      </c>
      <c r="O21" s="205" t="s">
        <v>764</v>
      </c>
      <c r="P21" s="205" t="s">
        <v>764</v>
      </c>
      <c r="Q21" s="205" t="s">
        <v>764</v>
      </c>
      <c r="R21" s="205" t="s">
        <v>764</v>
      </c>
      <c r="S21" s="205" t="s">
        <v>764</v>
      </c>
      <c r="T21" s="205" t="s">
        <v>764</v>
      </c>
      <c r="U21" s="205" t="s">
        <v>764</v>
      </c>
      <c r="V21" s="205" t="s">
        <v>764</v>
      </c>
      <c r="W21" s="205" t="s">
        <v>764</v>
      </c>
      <c r="X21" s="205" t="s">
        <v>764</v>
      </c>
      <c r="Y21" s="205" t="s">
        <v>764</v>
      </c>
      <c r="Z21" s="205" t="s">
        <v>764</v>
      </c>
      <c r="AA21" s="205" t="s">
        <v>764</v>
      </c>
      <c r="AB21" s="205" t="s">
        <v>764</v>
      </c>
      <c r="AC21" s="205" t="s">
        <v>764</v>
      </c>
      <c r="AD21" s="205" t="s">
        <v>764</v>
      </c>
      <c r="AE21" s="205"/>
    </row>
    <row r="22" ht="22.5" customHeight="1">
      <c r="A22" s="228">
        <v>12.0</v>
      </c>
      <c r="B22" s="229" t="s">
        <v>61</v>
      </c>
      <c r="C22" s="202" t="s">
        <v>89</v>
      </c>
      <c r="D22" s="202" t="s">
        <v>90</v>
      </c>
      <c r="E22" s="202" t="s">
        <v>114</v>
      </c>
      <c r="F22" s="203" t="s">
        <v>69</v>
      </c>
      <c r="G22" s="202" t="s">
        <v>135</v>
      </c>
      <c r="H22" s="202" t="str">
        <f t="shared" si="1"/>
        <v>ameza</v>
      </c>
      <c r="I22" s="202" t="s">
        <v>91</v>
      </c>
      <c r="J22" s="204" t="s">
        <v>134</v>
      </c>
      <c r="K22" s="205" t="s">
        <v>764</v>
      </c>
      <c r="L22" s="205" t="s">
        <v>785</v>
      </c>
      <c r="M22" s="205" t="s">
        <v>764</v>
      </c>
      <c r="N22" s="205" t="s">
        <v>784</v>
      </c>
      <c r="O22" s="205" t="s">
        <v>764</v>
      </c>
      <c r="P22" s="205" t="s">
        <v>764</v>
      </c>
      <c r="Q22" s="205" t="s">
        <v>764</v>
      </c>
      <c r="R22" s="205" t="s">
        <v>764</v>
      </c>
      <c r="S22" s="205" t="s">
        <v>764</v>
      </c>
      <c r="T22" s="205" t="s">
        <v>764</v>
      </c>
      <c r="U22" s="205" t="s">
        <v>764</v>
      </c>
      <c r="V22" s="205" t="s">
        <v>764</v>
      </c>
      <c r="W22" s="205" t="s">
        <v>764</v>
      </c>
      <c r="X22" s="205" t="s">
        <v>764</v>
      </c>
      <c r="Y22" s="205" t="s">
        <v>764</v>
      </c>
      <c r="Z22" s="205" t="s">
        <v>764</v>
      </c>
      <c r="AA22" s="205" t="s">
        <v>764</v>
      </c>
      <c r="AB22" s="205" t="s">
        <v>764</v>
      </c>
      <c r="AC22" s="205" t="s">
        <v>764</v>
      </c>
      <c r="AD22" s="205" t="s">
        <v>764</v>
      </c>
      <c r="AE22" s="205"/>
    </row>
    <row r="23" ht="22.5" customHeight="1">
      <c r="A23" s="216">
        <v>14.0</v>
      </c>
      <c r="B23" s="231" t="s">
        <v>61</v>
      </c>
      <c r="C23" s="218" t="s">
        <v>96</v>
      </c>
      <c r="D23" s="218" t="s">
        <v>97</v>
      </c>
      <c r="E23" s="218" t="s">
        <v>114</v>
      </c>
      <c r="F23" s="219" t="s">
        <v>69</v>
      </c>
      <c r="G23" s="218" t="s">
        <v>139</v>
      </c>
      <c r="H23" s="218" t="str">
        <f t="shared" si="1"/>
        <v>jrojas</v>
      </c>
      <c r="I23" s="218" t="s">
        <v>73</v>
      </c>
      <c r="J23" s="220" t="s">
        <v>138</v>
      </c>
      <c r="K23" s="205" t="s">
        <v>764</v>
      </c>
      <c r="L23" s="205" t="s">
        <v>764</v>
      </c>
      <c r="M23" s="205" t="s">
        <v>764</v>
      </c>
      <c r="N23" s="205" t="s">
        <v>764</v>
      </c>
      <c r="O23" s="205" t="s">
        <v>764</v>
      </c>
      <c r="P23" s="205" t="s">
        <v>764</v>
      </c>
      <c r="Q23" s="205" t="s">
        <v>764</v>
      </c>
      <c r="R23" s="205" t="s">
        <v>764</v>
      </c>
      <c r="S23" s="205" t="s">
        <v>764</v>
      </c>
      <c r="T23" s="205" t="s">
        <v>764</v>
      </c>
      <c r="U23" s="205" t="s">
        <v>764</v>
      </c>
      <c r="V23" s="205" t="s">
        <v>764</v>
      </c>
      <c r="W23" s="205" t="s">
        <v>764</v>
      </c>
      <c r="X23" s="205" t="s">
        <v>764</v>
      </c>
      <c r="Y23" s="205" t="s">
        <v>764</v>
      </c>
      <c r="Z23" s="205" t="s">
        <v>764</v>
      </c>
      <c r="AA23" s="205" t="s">
        <v>764</v>
      </c>
      <c r="AB23" s="205" t="s">
        <v>764</v>
      </c>
      <c r="AC23" s="205" t="s">
        <v>764</v>
      </c>
      <c r="AD23" s="205" t="s">
        <v>764</v>
      </c>
      <c r="AE23" s="205"/>
    </row>
    <row r="24" ht="22.5" customHeight="1">
      <c r="A24" s="200">
        <v>19.0</v>
      </c>
      <c r="B24" s="229" t="s">
        <v>61</v>
      </c>
      <c r="C24" s="202" t="s">
        <v>144</v>
      </c>
      <c r="D24" s="202" t="s">
        <v>145</v>
      </c>
      <c r="E24" s="202" t="s">
        <v>114</v>
      </c>
      <c r="F24" s="203" t="s">
        <v>53</v>
      </c>
      <c r="G24" s="202" t="str">
        <f>LEFT(C24,FIND(" ",C24) - 1)</f>
        <v>Angel</v>
      </c>
      <c r="H24" s="202" t="str">
        <f t="shared" si="1"/>
        <v>amorales</v>
      </c>
      <c r="I24" s="202" t="s">
        <v>73</v>
      </c>
      <c r="J24" s="204" t="s">
        <v>144</v>
      </c>
      <c r="K24" s="205" t="s">
        <v>764</v>
      </c>
      <c r="L24" s="205" t="s">
        <v>786</v>
      </c>
      <c r="M24" s="205" t="s">
        <v>764</v>
      </c>
      <c r="N24" s="205" t="s">
        <v>764</v>
      </c>
      <c r="O24" s="205" t="s">
        <v>764</v>
      </c>
      <c r="P24" s="205" t="s">
        <v>764</v>
      </c>
      <c r="Q24" s="205" t="s">
        <v>764</v>
      </c>
      <c r="R24" s="205" t="s">
        <v>764</v>
      </c>
      <c r="S24" s="205" t="s">
        <v>764</v>
      </c>
      <c r="T24" s="205" t="s">
        <v>764</v>
      </c>
      <c r="U24" s="205" t="s">
        <v>764</v>
      </c>
      <c r="V24" s="205" t="s">
        <v>764</v>
      </c>
      <c r="W24" s="205" t="s">
        <v>764</v>
      </c>
      <c r="X24" s="205" t="s">
        <v>764</v>
      </c>
      <c r="Y24" s="205" t="s">
        <v>764</v>
      </c>
      <c r="Z24" s="205" t="s">
        <v>764</v>
      </c>
      <c r="AA24" s="205" t="s">
        <v>764</v>
      </c>
      <c r="AB24" s="205" t="s">
        <v>764</v>
      </c>
      <c r="AC24" s="205" t="s">
        <v>764</v>
      </c>
      <c r="AD24" s="205" t="s">
        <v>764</v>
      </c>
      <c r="AE24" s="205"/>
    </row>
    <row r="25" ht="22.5" customHeight="1">
      <c r="A25" s="216">
        <v>26.0</v>
      </c>
      <c r="B25" s="231" t="s">
        <v>61</v>
      </c>
      <c r="C25" s="218" t="s">
        <v>74</v>
      </c>
      <c r="D25" s="218" t="s">
        <v>75</v>
      </c>
      <c r="E25" s="218" t="s">
        <v>114</v>
      </c>
      <c r="F25" s="219" t="s">
        <v>69</v>
      </c>
      <c r="G25" s="218" t="s">
        <v>162</v>
      </c>
      <c r="H25" s="218" t="str">
        <f t="shared" si="1"/>
        <v>lolvera</v>
      </c>
      <c r="I25" s="218" t="s">
        <v>76</v>
      </c>
      <c r="J25" s="220" t="s">
        <v>161</v>
      </c>
      <c r="K25" s="205" t="s">
        <v>787</v>
      </c>
      <c r="L25" s="205" t="s">
        <v>788</v>
      </c>
      <c r="M25" s="205" t="s">
        <v>773</v>
      </c>
      <c r="N25" s="205" t="s">
        <v>766</v>
      </c>
      <c r="O25" s="205" t="s">
        <v>764</v>
      </c>
      <c r="P25" s="205" t="s">
        <v>764</v>
      </c>
      <c r="Q25" s="205" t="s">
        <v>764</v>
      </c>
      <c r="R25" s="205" t="s">
        <v>764</v>
      </c>
      <c r="S25" s="205" t="s">
        <v>764</v>
      </c>
      <c r="T25" s="205" t="s">
        <v>764</v>
      </c>
      <c r="U25" s="205" t="s">
        <v>764</v>
      </c>
      <c r="V25" s="205" t="s">
        <v>764</v>
      </c>
      <c r="W25" s="205" t="s">
        <v>764</v>
      </c>
      <c r="X25" s="205" t="s">
        <v>764</v>
      </c>
      <c r="Y25" s="205" t="s">
        <v>764</v>
      </c>
      <c r="Z25" s="205" t="s">
        <v>773</v>
      </c>
      <c r="AA25" s="205" t="s">
        <v>764</v>
      </c>
      <c r="AB25" s="205" t="s">
        <v>764</v>
      </c>
      <c r="AC25" s="205" t="s">
        <v>764</v>
      </c>
      <c r="AD25" s="205" t="s">
        <v>764</v>
      </c>
      <c r="AE25" s="205"/>
    </row>
    <row r="26" ht="22.5" customHeight="1">
      <c r="A26" s="222">
        <v>11.0</v>
      </c>
      <c r="B26" s="224" t="s">
        <v>61</v>
      </c>
      <c r="C26" s="213" t="s">
        <v>102</v>
      </c>
      <c r="D26" s="213" t="s">
        <v>103</v>
      </c>
      <c r="E26" s="213" t="s">
        <v>127</v>
      </c>
      <c r="F26" s="214" t="s">
        <v>69</v>
      </c>
      <c r="G26" s="213" t="s">
        <v>133</v>
      </c>
      <c r="H26" s="213" t="str">
        <f t="shared" si="1"/>
        <v>asierra</v>
      </c>
      <c r="I26" s="213" t="s">
        <v>104</v>
      </c>
      <c r="J26" s="215" t="s">
        <v>132</v>
      </c>
      <c r="K26" s="205" t="s">
        <v>764</v>
      </c>
      <c r="L26" s="205" t="s">
        <v>764</v>
      </c>
      <c r="M26" s="205" t="s">
        <v>764</v>
      </c>
      <c r="N26" s="205" t="s">
        <v>764</v>
      </c>
      <c r="O26" s="205" t="s">
        <v>764</v>
      </c>
      <c r="P26" s="205" t="s">
        <v>773</v>
      </c>
      <c r="Q26" s="205" t="s">
        <v>764</v>
      </c>
      <c r="R26" s="205" t="s">
        <v>764</v>
      </c>
      <c r="S26" s="205" t="s">
        <v>764</v>
      </c>
      <c r="T26" s="205" t="s">
        <v>764</v>
      </c>
      <c r="U26" s="205" t="s">
        <v>764</v>
      </c>
      <c r="V26" s="205" t="s">
        <v>764</v>
      </c>
      <c r="W26" s="205" t="s">
        <v>764</v>
      </c>
      <c r="X26" s="205" t="s">
        <v>764</v>
      </c>
      <c r="Y26" s="205" t="s">
        <v>764</v>
      </c>
      <c r="Z26" s="205" t="s">
        <v>764</v>
      </c>
      <c r="AA26" s="205" t="s">
        <v>764</v>
      </c>
      <c r="AB26" s="205" t="s">
        <v>764</v>
      </c>
      <c r="AC26" s="205" t="s">
        <v>764</v>
      </c>
      <c r="AD26" s="205" t="s">
        <v>764</v>
      </c>
      <c r="AE26" s="205"/>
    </row>
    <row r="27" ht="22.5" customHeight="1">
      <c r="A27" s="206">
        <v>16.0</v>
      </c>
      <c r="B27" s="227" t="s">
        <v>61</v>
      </c>
      <c r="C27" s="208" t="s">
        <v>77</v>
      </c>
      <c r="D27" s="208" t="s">
        <v>78</v>
      </c>
      <c r="E27" s="208" t="s">
        <v>127</v>
      </c>
      <c r="F27" s="209" t="s">
        <v>69</v>
      </c>
      <c r="G27" s="208" t="str">
        <f t="shared" ref="G27:G30" si="3">LEFT(C27,FIND(" ",C27) - 1)</f>
        <v>Mario</v>
      </c>
      <c r="H27" s="208" t="str">
        <f t="shared" si="1"/>
        <v>mramirez</v>
      </c>
      <c r="I27" s="208" t="s">
        <v>79</v>
      </c>
      <c r="J27" s="210" t="s">
        <v>141</v>
      </c>
      <c r="K27" s="205" t="s">
        <v>764</v>
      </c>
      <c r="L27" s="205" t="s">
        <v>789</v>
      </c>
      <c r="M27" s="205" t="s">
        <v>773</v>
      </c>
      <c r="N27" s="205" t="s">
        <v>766</v>
      </c>
      <c r="O27" s="205" t="s">
        <v>773</v>
      </c>
      <c r="P27" s="205" t="s">
        <v>764</v>
      </c>
      <c r="Q27" s="205" t="s">
        <v>773</v>
      </c>
      <c r="R27" s="205" t="s">
        <v>773</v>
      </c>
      <c r="S27" s="205" t="s">
        <v>773</v>
      </c>
      <c r="T27" s="205" t="s">
        <v>773</v>
      </c>
      <c r="U27" s="205" t="s">
        <v>773</v>
      </c>
      <c r="V27" s="205" t="s">
        <v>773</v>
      </c>
      <c r="W27" s="205" t="s">
        <v>773</v>
      </c>
      <c r="X27" s="205" t="s">
        <v>773</v>
      </c>
      <c r="Y27" s="205" t="s">
        <v>773</v>
      </c>
      <c r="Z27" s="205" t="s">
        <v>773</v>
      </c>
      <c r="AA27" s="205" t="s">
        <v>773</v>
      </c>
      <c r="AB27" s="205" t="s">
        <v>773</v>
      </c>
      <c r="AC27" s="205" t="s">
        <v>773</v>
      </c>
      <c r="AD27" s="205" t="s">
        <v>764</v>
      </c>
      <c r="AE27" s="205"/>
    </row>
    <row r="28" ht="22.5" customHeight="1">
      <c r="A28" s="222">
        <v>18.0</v>
      </c>
      <c r="B28" s="224" t="s">
        <v>61</v>
      </c>
      <c r="C28" s="213" t="s">
        <v>100</v>
      </c>
      <c r="D28" s="213" t="s">
        <v>101</v>
      </c>
      <c r="E28" s="213" t="s">
        <v>127</v>
      </c>
      <c r="F28" s="214" t="s">
        <v>69</v>
      </c>
      <c r="G28" s="213" t="str">
        <f t="shared" si="3"/>
        <v>Alejandro</v>
      </c>
      <c r="H28" s="213" t="str">
        <f t="shared" si="1"/>
        <v>avazquez</v>
      </c>
      <c r="I28" s="213" t="s">
        <v>73</v>
      </c>
      <c r="J28" s="215" t="s">
        <v>143</v>
      </c>
      <c r="K28" s="205" t="s">
        <v>764</v>
      </c>
      <c r="L28" s="205" t="s">
        <v>788</v>
      </c>
      <c r="M28" s="205" t="s">
        <v>764</v>
      </c>
      <c r="N28" s="205" t="s">
        <v>764</v>
      </c>
      <c r="O28" s="205" t="s">
        <v>764</v>
      </c>
      <c r="P28" s="205" t="s">
        <v>764</v>
      </c>
      <c r="Q28" s="205" t="s">
        <v>764</v>
      </c>
      <c r="R28" s="205" t="s">
        <v>764</v>
      </c>
      <c r="S28" s="205" t="s">
        <v>764</v>
      </c>
      <c r="T28" s="205" t="s">
        <v>764</v>
      </c>
      <c r="U28" s="205" t="s">
        <v>764</v>
      </c>
      <c r="V28" s="205" t="s">
        <v>764</v>
      </c>
      <c r="W28" s="205" t="s">
        <v>764</v>
      </c>
      <c r="X28" s="205" t="s">
        <v>764</v>
      </c>
      <c r="Y28" s="205" t="s">
        <v>764</v>
      </c>
      <c r="Z28" s="205" t="s">
        <v>764</v>
      </c>
      <c r="AA28" s="205" t="s">
        <v>764</v>
      </c>
      <c r="AB28" s="205" t="s">
        <v>764</v>
      </c>
      <c r="AC28" s="205" t="s">
        <v>764</v>
      </c>
      <c r="AD28" s="205" t="s">
        <v>790</v>
      </c>
      <c r="AE28" s="205"/>
    </row>
    <row r="29" ht="22.5" customHeight="1">
      <c r="A29" s="206">
        <v>6.0</v>
      </c>
      <c r="B29" s="227" t="s">
        <v>61</v>
      </c>
      <c r="C29" s="208" t="s">
        <v>85</v>
      </c>
      <c r="D29" s="208" t="s">
        <v>86</v>
      </c>
      <c r="E29" s="208" t="s">
        <v>124</v>
      </c>
      <c r="F29" s="209" t="s">
        <v>69</v>
      </c>
      <c r="G29" s="208" t="str">
        <f t="shared" si="3"/>
        <v>Emilio</v>
      </c>
      <c r="H29" s="208" t="str">
        <f t="shared" si="1"/>
        <v>econtreras</v>
      </c>
      <c r="I29" s="208" t="s">
        <v>82</v>
      </c>
      <c r="J29" s="210" t="s">
        <v>123</v>
      </c>
      <c r="K29" s="205" t="s">
        <v>764</v>
      </c>
      <c r="L29" s="205" t="s">
        <v>783</v>
      </c>
      <c r="M29" s="205" t="s">
        <v>781</v>
      </c>
      <c r="N29" s="205" t="s">
        <v>764</v>
      </c>
      <c r="O29" s="205" t="s">
        <v>781</v>
      </c>
      <c r="P29" s="205" t="s">
        <v>764</v>
      </c>
      <c r="Q29" s="205" t="s">
        <v>764</v>
      </c>
      <c r="R29" s="205" t="s">
        <v>764</v>
      </c>
      <c r="S29" s="205" t="s">
        <v>764</v>
      </c>
      <c r="T29" s="205" t="s">
        <v>764</v>
      </c>
      <c r="U29" s="205" t="s">
        <v>773</v>
      </c>
      <c r="V29" s="205" t="s">
        <v>764</v>
      </c>
      <c r="W29" s="205" t="s">
        <v>764</v>
      </c>
      <c r="X29" s="205" t="s">
        <v>764</v>
      </c>
      <c r="Y29" s="205" t="s">
        <v>764</v>
      </c>
      <c r="Z29" s="205" t="s">
        <v>764</v>
      </c>
      <c r="AA29" s="205" t="s">
        <v>764</v>
      </c>
      <c r="AB29" s="205" t="s">
        <v>764</v>
      </c>
      <c r="AC29" s="205" t="s">
        <v>764</v>
      </c>
      <c r="AD29" s="205" t="s">
        <v>764</v>
      </c>
      <c r="AE29" s="205"/>
    </row>
    <row r="30" ht="22.5" customHeight="1">
      <c r="A30" s="222">
        <v>8.0</v>
      </c>
      <c r="B30" s="224" t="s">
        <v>61</v>
      </c>
      <c r="C30" s="213" t="s">
        <v>80</v>
      </c>
      <c r="D30" s="213" t="s">
        <v>81</v>
      </c>
      <c r="E30" s="213" t="s">
        <v>124</v>
      </c>
      <c r="F30" s="214" t="s">
        <v>69</v>
      </c>
      <c r="G30" s="213" t="str">
        <f t="shared" si="3"/>
        <v>Gregorio</v>
      </c>
      <c r="H30" s="213" t="str">
        <f t="shared" si="1"/>
        <v>gguadarrama</v>
      </c>
      <c r="I30" s="213" t="s">
        <v>82</v>
      </c>
      <c r="J30" s="215" t="s">
        <v>128</v>
      </c>
      <c r="K30" s="205" t="s">
        <v>764</v>
      </c>
      <c r="L30" s="205" t="s">
        <v>783</v>
      </c>
      <c r="M30" s="205" t="s">
        <v>781</v>
      </c>
      <c r="N30" s="205" t="s">
        <v>764</v>
      </c>
      <c r="O30" s="205" t="s">
        <v>781</v>
      </c>
      <c r="P30" s="205" t="s">
        <v>764</v>
      </c>
      <c r="Q30" s="205" t="s">
        <v>764</v>
      </c>
      <c r="R30" s="205" t="s">
        <v>764</v>
      </c>
      <c r="S30" s="205" t="s">
        <v>764</v>
      </c>
      <c r="T30" s="205" t="s">
        <v>764</v>
      </c>
      <c r="U30" s="205" t="s">
        <v>764</v>
      </c>
      <c r="V30" s="205" t="s">
        <v>764</v>
      </c>
      <c r="W30" s="205" t="s">
        <v>764</v>
      </c>
      <c r="X30" s="205" t="s">
        <v>764</v>
      </c>
      <c r="Y30" s="205" t="s">
        <v>764</v>
      </c>
      <c r="Z30" s="205" t="s">
        <v>764</v>
      </c>
      <c r="AA30" s="205" t="s">
        <v>764</v>
      </c>
      <c r="AB30" s="205" t="s">
        <v>764</v>
      </c>
      <c r="AC30" s="205" t="s">
        <v>764</v>
      </c>
      <c r="AD30" s="205" t="s">
        <v>764</v>
      </c>
      <c r="AE30" s="205"/>
    </row>
    <row r="31" ht="22.5" customHeight="1">
      <c r="A31" s="206">
        <v>9.0</v>
      </c>
      <c r="B31" s="227" t="s">
        <v>61</v>
      </c>
      <c r="C31" s="208" t="s">
        <v>87</v>
      </c>
      <c r="D31" s="208" t="s">
        <v>88</v>
      </c>
      <c r="E31" s="208" t="s">
        <v>124</v>
      </c>
      <c r="F31" s="209" t="s">
        <v>69</v>
      </c>
      <c r="G31" s="208" t="s">
        <v>130</v>
      </c>
      <c r="H31" s="208" t="str">
        <f t="shared" si="1"/>
        <v>henriquez</v>
      </c>
      <c r="I31" s="208" t="s">
        <v>82</v>
      </c>
      <c r="J31" s="210" t="s">
        <v>129</v>
      </c>
      <c r="K31" s="205" t="s">
        <v>764</v>
      </c>
      <c r="L31" s="205" t="s">
        <v>791</v>
      </c>
      <c r="M31" s="205" t="s">
        <v>791</v>
      </c>
      <c r="N31" s="205" t="s">
        <v>764</v>
      </c>
      <c r="O31" s="205" t="s">
        <v>792</v>
      </c>
      <c r="P31" s="205" t="s">
        <v>764</v>
      </c>
      <c r="Q31" s="205" t="s">
        <v>787</v>
      </c>
      <c r="R31" s="205" t="s">
        <v>787</v>
      </c>
      <c r="S31" s="205" t="s">
        <v>787</v>
      </c>
      <c r="T31" s="205" t="s">
        <v>787</v>
      </c>
      <c r="U31" s="205" t="s">
        <v>787</v>
      </c>
      <c r="V31" s="205" t="s">
        <v>793</v>
      </c>
      <c r="W31" s="205" t="s">
        <v>787</v>
      </c>
      <c r="X31" s="205" t="s">
        <v>793</v>
      </c>
      <c r="Y31" s="205" t="s">
        <v>787</v>
      </c>
      <c r="Z31" s="205" t="s">
        <v>764</v>
      </c>
      <c r="AA31" s="205" t="s">
        <v>793</v>
      </c>
      <c r="AB31" s="205" t="s">
        <v>787</v>
      </c>
      <c r="AC31" s="205" t="s">
        <v>787</v>
      </c>
      <c r="AD31" s="205" t="s">
        <v>764</v>
      </c>
      <c r="AE31" s="205"/>
    </row>
    <row r="32" ht="22.5" customHeight="1">
      <c r="A32" s="222">
        <v>28.0</v>
      </c>
      <c r="B32" s="224" t="s">
        <v>61</v>
      </c>
      <c r="C32" s="213" t="s">
        <v>167</v>
      </c>
      <c r="D32" s="213" t="s">
        <v>168</v>
      </c>
      <c r="E32" s="213" t="s">
        <v>170</v>
      </c>
      <c r="F32" s="214" t="s">
        <v>69</v>
      </c>
      <c r="G32" s="213" t="s">
        <v>169</v>
      </c>
      <c r="H32" s="213" t="str">
        <f t="shared" si="1"/>
        <v>rescobar</v>
      </c>
      <c r="I32" s="213" t="s">
        <v>91</v>
      </c>
      <c r="J32" s="215" t="s">
        <v>167</v>
      </c>
      <c r="K32" s="205" t="s">
        <v>782</v>
      </c>
      <c r="L32" s="205" t="s">
        <v>785</v>
      </c>
      <c r="M32" s="205" t="s">
        <v>764</v>
      </c>
      <c r="N32" s="205" t="s">
        <v>764</v>
      </c>
      <c r="O32" s="205" t="s">
        <v>764</v>
      </c>
      <c r="P32" s="205" t="s">
        <v>764</v>
      </c>
      <c r="Q32" s="205" t="s">
        <v>764</v>
      </c>
      <c r="R32" s="205" t="s">
        <v>764</v>
      </c>
      <c r="S32" s="205" t="s">
        <v>764</v>
      </c>
      <c r="T32" s="205" t="s">
        <v>764</v>
      </c>
      <c r="U32" s="205" t="s">
        <v>764</v>
      </c>
      <c r="V32" s="205" t="s">
        <v>764</v>
      </c>
      <c r="W32" s="205" t="s">
        <v>764</v>
      </c>
      <c r="X32" s="205" t="s">
        <v>764</v>
      </c>
      <c r="Y32" s="205" t="s">
        <v>764</v>
      </c>
      <c r="Z32" s="205" t="s">
        <v>764</v>
      </c>
      <c r="AA32" s="205" t="s">
        <v>764</v>
      </c>
      <c r="AB32" s="205" t="s">
        <v>764</v>
      </c>
      <c r="AC32" s="205" t="s">
        <v>764</v>
      </c>
      <c r="AD32" s="205" t="s">
        <v>764</v>
      </c>
      <c r="AE32" s="205"/>
    </row>
    <row r="33" ht="22.5" customHeight="1">
      <c r="A33" s="232">
        <v>25.0</v>
      </c>
      <c r="B33" s="233" t="s">
        <v>61</v>
      </c>
      <c r="C33" s="234" t="s">
        <v>59</v>
      </c>
      <c r="D33" s="234" t="s">
        <v>60</v>
      </c>
      <c r="E33" s="234" t="s">
        <v>160</v>
      </c>
      <c r="F33" s="235" t="s">
        <v>40</v>
      </c>
      <c r="G33" s="234" t="str">
        <f>LEFT(C33,FIND(" ",C33) - 1)</f>
        <v>Erithan</v>
      </c>
      <c r="H33" s="234" t="str">
        <f t="shared" si="1"/>
        <v>egonzalez</v>
      </c>
      <c r="I33" s="234" t="s">
        <v>62</v>
      </c>
      <c r="J33" s="236" t="s">
        <v>159</v>
      </c>
      <c r="K33" s="205" t="s">
        <v>764</v>
      </c>
      <c r="L33" s="205" t="s">
        <v>794</v>
      </c>
      <c r="M33" s="205" t="s">
        <v>764</v>
      </c>
      <c r="N33" s="205" t="s">
        <v>766</v>
      </c>
      <c r="O33" s="205" t="s">
        <v>764</v>
      </c>
      <c r="P33" s="205" t="s">
        <v>764</v>
      </c>
      <c r="Q33" s="205" t="s">
        <v>764</v>
      </c>
      <c r="R33" s="205" t="s">
        <v>764</v>
      </c>
      <c r="S33" s="205" t="s">
        <v>764</v>
      </c>
      <c r="T33" s="205" t="s">
        <v>764</v>
      </c>
      <c r="U33" s="205" t="s">
        <v>764</v>
      </c>
      <c r="V33" s="205" t="s">
        <v>764</v>
      </c>
      <c r="W33" s="205" t="s">
        <v>764</v>
      </c>
      <c r="X33" s="205" t="s">
        <v>764</v>
      </c>
      <c r="Y33" s="205" t="s">
        <v>764</v>
      </c>
      <c r="Z33" s="205" t="s">
        <v>764</v>
      </c>
      <c r="AA33" s="205" t="s">
        <v>764</v>
      </c>
      <c r="AB33" s="205" t="s">
        <v>764</v>
      </c>
      <c r="AC33" s="205" t="s">
        <v>764</v>
      </c>
      <c r="AD33" s="205" t="s">
        <v>766</v>
      </c>
      <c r="AE33" s="205"/>
    </row>
  </sheetData>
  <dataValidations>
    <dataValidation type="list" allowBlank="1" sqref="K2:K33">
      <formula1>"Sin acceso,Visulizador,Gestor de cambios,BBDD Prod,Adminsitrador,Contributor"</formula1>
    </dataValidation>
    <dataValidation type="list" allowBlank="1" sqref="M8 M10 M12:M13 O8:AC13 M16:M17 O16:AC17 AE17 M33 O33:AC33">
      <formula1>"Sin acceso,Visulizador,Gestor de cambios,BBDD Prod,Adminsitrador,Contributor"</formula1>
    </dataValidation>
    <dataValidation type="list" allowBlank="1" sqref="M31 O31:AC31">
      <formula1>"Sin acceso,Visulizador,Gestor de cambios,BBDD Prod,Adminsitrador,Contributor,BBDD Test,Super Usuario Plataforma ,Usuario test"</formula1>
    </dataValidation>
    <dataValidation type="list" allowBlank="1" sqref="M2:M7 O2:AC7 M9 M11 M14:M15 O14:AC15 M18:M30 O18:AC30 M32 O32:AC32">
      <formula1>"Sin acceso,Visulizador,Gestor de cambios,BBDD Prod,Adminsitrador,Contributor,BBDD Test,Super Usuario Plataforma "</formula1>
    </dataValidation>
    <dataValidation type="list" allowBlank="1" sqref="B2:B33">
      <formula1>"Tech Ambition,Growth Experiences,Allies Networking,Analytics Solutions"</formula1>
    </dataValidation>
    <dataValidation type="list" allowBlank="1" sqref="N2:N33 AD2:AD33">
      <formula1>"Sin acceso,Visulizador,Gestor de cambios,BBDD Prod,Adminsitrador,Contributor,Usuario de plataforma"</formula1>
    </dataValidation>
    <dataValidation type="list" allowBlank="1" sqref="L2:L33">
      <formula1>"Sin acceso,Visulizador,Gestor de cambios,BBDD Prod,Adminsitrador,Contributor,BBDD Test,Super Usuario Plataforma ,Usuario test"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</hyperlinks>
  <drawing r:id="rId33"/>
  <tableParts count="1">
    <tablePart r:id="rId35"/>
  </tableParts>
</worksheet>
</file>